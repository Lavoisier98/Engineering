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EstaPasta_de_trabalho" defaultThemeVersion="124226"/>
  <bookViews>
    <workbookView xWindow="120" yWindow="60" windowWidth="20115" windowHeight="8010" activeTab="1"/>
  </bookViews>
  <sheets>
    <sheet name="Sat" sheetId="1" r:id="rId1"/>
    <sheet name="Ovht" sheetId="2" r:id="rId2"/>
    <sheet name="Geral" sheetId="4" r:id="rId3"/>
    <sheet name="Plano" sheetId="3" r:id="rId4"/>
  </sheets>
  <calcPr calcId="145621"/>
</workbook>
</file>

<file path=xl/calcChain.xml><?xml version="1.0" encoding="utf-8"?>
<calcChain xmlns="http://schemas.openxmlformats.org/spreadsheetml/2006/main">
  <c r="I2" i="4" l="1"/>
  <c r="C75" i="4"/>
  <c r="D55" i="4" l="1"/>
  <c r="D54" i="4"/>
  <c r="D53" i="4"/>
  <c r="D52" i="4"/>
  <c r="D51" i="4"/>
  <c r="D50" i="4"/>
  <c r="D49" i="4"/>
  <c r="D48" i="4"/>
  <c r="D47" i="4"/>
  <c r="D46" i="4"/>
  <c r="D44" i="4"/>
  <c r="D43" i="4"/>
  <c r="D42" i="4"/>
  <c r="D45" i="4"/>
  <c r="D41" i="4"/>
  <c r="E42" i="4" s="1"/>
  <c r="O195" i="1" l="1"/>
</calcChain>
</file>

<file path=xl/sharedStrings.xml><?xml version="1.0" encoding="utf-8"?>
<sst xmlns="http://schemas.openxmlformats.org/spreadsheetml/2006/main" count="882" uniqueCount="218">
  <si>
    <t>TEMP.</t>
  </si>
  <si>
    <r>
      <t>o</t>
    </r>
    <r>
      <rPr>
        <sz val="12"/>
        <color theme="1"/>
        <rFont val="Courier New"/>
        <family val="3"/>
      </rPr>
      <t>c</t>
    </r>
  </si>
  <si>
    <t>PRESSURE</t>
  </si>
  <si>
    <t>VOLUME</t>
  </si>
  <si>
    <r>
      <t>m</t>
    </r>
    <r>
      <rPr>
        <b/>
        <sz val="6.5"/>
        <color theme="1"/>
        <rFont val="Times New Roman"/>
        <family val="1"/>
      </rPr>
      <t>3</t>
    </r>
    <r>
      <rPr>
        <b/>
        <sz val="7.5"/>
        <color theme="1"/>
        <rFont val="Arial"/>
        <family val="2"/>
      </rPr>
      <t>/kg</t>
    </r>
  </si>
  <si>
    <t>DENSITY</t>
  </si>
  <si>
    <r>
      <t>kg/m</t>
    </r>
    <r>
      <rPr>
        <b/>
        <sz val="6.5"/>
        <color theme="1"/>
        <rFont val="Times New Roman"/>
        <family val="1"/>
      </rPr>
      <t>3</t>
    </r>
  </si>
  <si>
    <t>ENTHALPY</t>
  </si>
  <si>
    <t>kJ/kg</t>
  </si>
  <si>
    <t>ENTROPY</t>
  </si>
  <si>
    <t>kJ/(kg)(K)</t>
  </si>
  <si>
    <r>
      <t>o</t>
    </r>
    <r>
      <rPr>
        <b/>
        <sz val="11.5"/>
        <color theme="1"/>
        <rFont val="Times New Roman"/>
        <family val="1"/>
      </rPr>
      <t>c</t>
    </r>
  </si>
  <si>
    <t>kPa (abs)</t>
  </si>
  <si>
    <t>LIQUID</t>
  </si>
  <si>
    <t>Vf</t>
  </si>
  <si>
    <t>VAPOR</t>
  </si>
  <si>
    <t>Vg</t>
  </si>
  <si>
    <t>1/vi</t>
  </si>
  <si>
    <r>
      <t>1/v</t>
    </r>
    <r>
      <rPr>
        <b/>
        <sz val="6"/>
        <color theme="1"/>
        <rFont val="Arial"/>
        <family val="2"/>
      </rPr>
      <t>9</t>
    </r>
  </si>
  <si>
    <t>h1</t>
  </si>
  <si>
    <t>LATENT</t>
  </si>
  <si>
    <t>h19</t>
  </si>
  <si>
    <t>hg</t>
  </si>
  <si>
    <t>Sf</t>
  </si>
  <si>
    <t>Sg</t>
  </si>
  <si>
    <t>TEMP</t>
  </si>
  <si>
    <r>
      <t>o</t>
    </r>
    <r>
      <rPr>
        <sz val="10.5"/>
        <color theme="1"/>
        <rFont val="Times New Roman"/>
        <family val="1"/>
      </rPr>
      <t>c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</si>
  <si>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10</t>
    </r>
    <r>
      <rPr>
        <b/>
        <sz val="6.5"/>
        <color rgb="FF343434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</si>
  <si>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20.00 kPa (abs)</t>
    </r>
  </si>
  <si>
    <r>
      <t>o</t>
    </r>
    <r>
      <rPr>
        <b/>
        <sz val="10"/>
        <color theme="1"/>
        <rFont val="Times New Roman"/>
        <family val="1"/>
      </rPr>
      <t>c</t>
    </r>
  </si>
  <si>
    <t>V</t>
  </si>
  <si>
    <t>H</t>
  </si>
  <si>
    <t>s</t>
  </si>
  <si>
    <t>Cp</t>
  </si>
  <si>
    <t>Cp/Cv</t>
  </si>
  <si>
    <r>
      <t>V</t>
    </r>
    <r>
      <rPr>
        <b/>
        <sz val="5"/>
        <color rgb="FF343434"/>
        <rFont val="Arial"/>
        <family val="2"/>
      </rPr>
      <t>s</t>
    </r>
  </si>
  <si>
    <t>Vs</t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</si>
  <si>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30</t>
    </r>
    <r>
      <rPr>
        <b/>
        <sz val="6.5"/>
        <color rgb="FF181818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</si>
  <si>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40.00 kPa (abs)</t>
    </r>
  </si>
  <si>
    <r>
      <t>V</t>
    </r>
    <r>
      <rPr>
        <b/>
        <sz val="5"/>
        <color rgb="FF181818"/>
        <rFont val="Arial"/>
        <family val="2"/>
      </rPr>
      <t>s</t>
    </r>
  </si>
  <si>
    <r>
      <t xml:space="preserve">PRESSURE </t>
    </r>
    <r>
      <rPr>
        <b/>
        <sz val="6"/>
        <color rgb="FF0F0F0F"/>
        <rFont val="Arial"/>
        <family val="2"/>
      </rPr>
      <t xml:space="preserve">= </t>
    </r>
    <r>
      <rPr>
        <b/>
        <sz val="6.5"/>
        <color theme="1"/>
        <rFont val="Arial"/>
        <family val="2"/>
      </rPr>
      <t>50.00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</si>
  <si>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60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</si>
  <si>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>V</t>
    </r>
    <r>
      <rPr>
        <b/>
        <sz val="5"/>
        <color rgb="FF262626"/>
        <rFont val="Arial"/>
        <family val="2"/>
      </rPr>
      <t>s</t>
    </r>
  </si>
  <si>
    <r>
      <t xml:space="preserve">PRESSURE </t>
    </r>
    <r>
      <rPr>
        <b/>
        <sz val="6"/>
        <color rgb="FF0F0F0F"/>
        <rFont val="Arial"/>
        <family val="2"/>
      </rPr>
      <t xml:space="preserve">= </t>
    </r>
    <r>
      <rPr>
        <b/>
        <sz val="6.5"/>
        <color theme="1"/>
        <rFont val="Arial"/>
        <family val="2"/>
      </rPr>
      <t>70.00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</si>
  <si>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 xml:space="preserve">80.00 kPa </t>
    </r>
    <r>
      <rPr>
        <b/>
        <sz val="6.5"/>
        <color rgb="FF0F0F0F"/>
        <rFont val="Arial"/>
        <family val="2"/>
      </rPr>
      <t>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</si>
  <si>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90</t>
    </r>
    <r>
      <rPr>
        <b/>
        <sz val="6.5"/>
        <color rgb="FF1C1C1C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</si>
  <si>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</si>
  <si>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>V</t>
    </r>
    <r>
      <rPr>
        <b/>
        <sz val="5"/>
        <color rgb="FF1C1C1C"/>
        <rFont val="Arial"/>
        <family val="2"/>
      </rPr>
      <t>s</t>
    </r>
  </si>
  <si>
    <r>
      <t xml:space="preserve">PRESSURE  </t>
    </r>
    <r>
      <rPr>
        <b/>
        <sz val="6"/>
        <color theme="1"/>
        <rFont val="Arial"/>
        <family val="2"/>
      </rPr>
      <t xml:space="preserve">=  </t>
    </r>
    <r>
      <rPr>
        <b/>
        <sz val="6.5"/>
        <color theme="1"/>
        <rFont val="Arial"/>
        <family val="2"/>
      </rPr>
      <t>101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325kPa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</si>
  <si>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110</t>
    </r>
    <r>
      <rPr>
        <b/>
        <sz val="6.5"/>
        <color rgb="FF494949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</si>
  <si>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120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</si>
  <si>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130.00 kPa (abs)</t>
    </r>
  </si>
  <si>
    <r>
      <t>V</t>
    </r>
    <r>
      <rPr>
        <b/>
        <sz val="5"/>
        <color rgb="FF242424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</si>
  <si>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140</t>
    </r>
    <r>
      <rPr>
        <b/>
        <sz val="6.5"/>
        <color rgb="FF242424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</si>
  <si>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150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</si>
  <si>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 xml:space="preserve">PRESSURE </t>
    </r>
    <r>
      <rPr>
        <b/>
        <sz val="6"/>
        <color rgb="FF0F0F0F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160</t>
    </r>
    <r>
      <rPr>
        <b/>
        <sz val="6.5"/>
        <color rgb="FF4B4B4B"/>
        <rFont val="Arial"/>
        <family val="2"/>
      </rPr>
      <t>.</t>
    </r>
    <r>
      <rPr>
        <b/>
        <sz val="6.5"/>
        <color theme="1"/>
        <rFont val="Arial"/>
        <family val="2"/>
      </rPr>
      <t xml:space="preserve">00 </t>
    </r>
    <r>
      <rPr>
        <b/>
        <sz val="6.5"/>
        <color rgb="FF0F0F0F"/>
        <rFont val="Arial"/>
        <family val="2"/>
      </rPr>
      <t xml:space="preserve">kPa </t>
    </r>
    <r>
      <rPr>
        <b/>
        <sz val="6.5"/>
        <color theme="1"/>
        <rFont val="Arial"/>
        <family val="2"/>
      </rPr>
      <t>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</si>
  <si>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170</t>
    </r>
    <r>
      <rPr>
        <b/>
        <sz val="6.5"/>
        <color rgb="FF383838"/>
        <rFont val="Arial"/>
        <family val="2"/>
      </rPr>
      <t>.</t>
    </r>
    <r>
      <rPr>
        <b/>
        <sz val="6.5"/>
        <color theme="1"/>
        <rFont val="Arial"/>
        <family val="2"/>
      </rPr>
      <t xml:space="preserve">00 </t>
    </r>
    <r>
      <rPr>
        <b/>
        <sz val="6.5"/>
        <color rgb="FF0F0F0F"/>
        <rFont val="Arial"/>
        <family val="2"/>
      </rPr>
      <t xml:space="preserve">kPa </t>
    </r>
    <r>
      <rPr>
        <b/>
        <sz val="6.5"/>
        <color theme="1"/>
        <rFont val="Arial"/>
        <family val="2"/>
      </rPr>
      <t>(abs)</t>
    </r>
  </si>
  <si>
    <r>
      <t xml:space="preserve">PRESSURE </t>
    </r>
    <r>
      <rPr>
        <b/>
        <sz val="6"/>
        <color rgb="FF0F0F0F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180</t>
    </r>
    <r>
      <rPr>
        <b/>
        <sz val="6.5"/>
        <color rgb="FF383838"/>
        <rFont val="Arial"/>
        <family val="2"/>
      </rPr>
      <t>.</t>
    </r>
    <r>
      <rPr>
        <b/>
        <sz val="6.5"/>
        <color theme="1"/>
        <rFont val="Arial"/>
        <family val="2"/>
      </rPr>
      <t xml:space="preserve">00 </t>
    </r>
    <r>
      <rPr>
        <b/>
        <sz val="6.5"/>
        <color rgb="FF0F0F0F"/>
        <rFont val="Arial"/>
        <family val="2"/>
      </rPr>
      <t>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</si>
  <si>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190</t>
    </r>
    <r>
      <rPr>
        <b/>
        <sz val="6.5"/>
        <color rgb="FF4B4B4B"/>
        <rFont val="Arial"/>
        <family val="2"/>
      </rPr>
      <t>.</t>
    </r>
    <r>
      <rPr>
        <b/>
        <sz val="6.5"/>
        <color theme="1"/>
        <rFont val="Arial"/>
        <family val="2"/>
      </rPr>
      <t>00</t>
    </r>
    <r>
      <rPr>
        <b/>
        <sz val="6.5"/>
        <color rgb="FF0F0F0F"/>
        <rFont val="Arial"/>
        <family val="2"/>
      </rPr>
      <t xml:space="preserve">kPa </t>
    </r>
    <r>
      <rPr>
        <b/>
        <sz val="6.5"/>
        <color theme="1"/>
        <rFont val="Arial"/>
        <family val="2"/>
      </rPr>
      <t>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</si>
  <si>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</si>
  <si>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210.00 kPa (abs)</t>
    </r>
  </si>
  <si>
    <r>
      <t>V</t>
    </r>
    <r>
      <rPr>
        <b/>
        <sz val="5"/>
        <color rgb="FF232323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</si>
  <si>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220</t>
    </r>
    <r>
      <rPr>
        <b/>
        <sz val="6.5"/>
        <color rgb="FF232323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</si>
  <si>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230.00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</si>
  <si>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240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</si>
  <si>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250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</si>
  <si>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260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</si>
  <si>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270</t>
    </r>
    <r>
      <rPr>
        <b/>
        <sz val="6.5"/>
        <color rgb="FF525252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</si>
  <si>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>V</t>
    </r>
    <r>
      <rPr>
        <b/>
        <sz val="5"/>
        <color rgb="FF363636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</si>
  <si>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280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</si>
  <si>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290.00 kPa (abs)</t>
    </r>
  </si>
  <si>
    <r>
      <t xml:space="preserve">PRESSURE </t>
    </r>
    <r>
      <rPr>
        <b/>
        <sz val="6"/>
        <color rgb="FF11111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</si>
  <si>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310.00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</si>
  <si>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320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</si>
  <si>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330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</si>
  <si>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340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</si>
  <si>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350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</si>
  <si>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>V</t>
    </r>
    <r>
      <rPr>
        <b/>
        <sz val="5"/>
        <color rgb="FF2A2A2A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</si>
  <si>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360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</si>
  <si>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370.00 kPa (abs)</t>
    </r>
  </si>
  <si>
    <r>
      <t>V</t>
    </r>
    <r>
      <rPr>
        <b/>
        <sz val="5"/>
        <color rgb="FF212121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</si>
  <si>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380.00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</si>
  <si>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390.00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</si>
  <si>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400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</si>
  <si>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425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</si>
  <si>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450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</si>
  <si>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475</t>
    </r>
    <r>
      <rPr>
        <b/>
        <sz val="6.5"/>
        <color rgb="FF525252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</si>
  <si>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500.00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</si>
  <si>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525.00 kPa (abs)</t>
    </r>
  </si>
  <si>
    <r>
      <t>V</t>
    </r>
    <r>
      <rPr>
        <b/>
        <sz val="5"/>
        <color rgb="FF1D1D1D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</si>
  <si>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550.00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</si>
  <si>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575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</si>
  <si>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600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</si>
  <si>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625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</si>
  <si>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>V</t>
    </r>
    <r>
      <rPr>
        <b/>
        <sz val="5"/>
        <color rgb="FF282828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</si>
  <si>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650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</si>
  <si>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675</t>
    </r>
    <r>
      <rPr>
        <b/>
        <sz val="6.5"/>
        <color rgb="FF282828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</si>
  <si>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700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</si>
  <si>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725.00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</si>
  <si>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750</t>
    </r>
    <r>
      <rPr>
        <b/>
        <sz val="6.5"/>
        <color rgb="FF212121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</si>
  <si>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800.00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</si>
  <si>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850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</si>
  <si>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900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</si>
  <si>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>V</t>
    </r>
    <r>
      <rPr>
        <b/>
        <sz val="5"/>
        <color rgb="FF1A1A1A"/>
        <rFont val="Arial"/>
        <family val="2"/>
      </rPr>
      <t>s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</si>
  <si>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950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</si>
  <si>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1000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</si>
  <si>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 </t>
    </r>
    <r>
      <rPr>
        <b/>
        <sz val="6"/>
        <color rgb="FF111111"/>
        <rFont val="Arial"/>
        <family val="2"/>
      </rPr>
      <t xml:space="preserve">=  </t>
    </r>
    <r>
      <rPr>
        <b/>
        <sz val="6.5"/>
        <color theme="1"/>
        <rFont val="Arial"/>
        <family val="2"/>
      </rPr>
      <t>1100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</si>
  <si>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1200.00 kPa (abs)</t>
    </r>
  </si>
  <si>
    <r>
      <t xml:space="preserve">PRESSURE  </t>
    </r>
    <r>
      <rPr>
        <b/>
        <sz val="6"/>
        <color rgb="FF111111"/>
        <rFont val="Arial"/>
        <family val="2"/>
      </rPr>
      <t xml:space="preserve">=  </t>
    </r>
    <r>
      <rPr>
        <b/>
        <sz val="6.5"/>
        <color theme="1"/>
        <rFont val="Arial"/>
        <family val="2"/>
      </rPr>
      <t>1300</t>
    </r>
    <r>
      <rPr>
        <b/>
        <sz val="6.5"/>
        <color rgb="FF232323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</si>
  <si>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rgb="FF111111"/>
        <rFont val="Arial"/>
        <family val="2"/>
      </rPr>
      <t>1400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</t>
    </r>
    <r>
      <rPr>
        <b/>
        <sz val="6.5"/>
        <color rgb="FF111111"/>
        <rFont val="Arial"/>
        <family val="2"/>
      </rPr>
      <t xml:space="preserve">kPa </t>
    </r>
    <r>
      <rPr>
        <b/>
        <sz val="6.5"/>
        <color theme="1"/>
        <rFont val="Arial"/>
        <family val="2"/>
      </rPr>
      <t>(abs)</t>
    </r>
  </si>
  <si>
    <r>
      <t xml:space="preserve">PRESSURE  </t>
    </r>
    <r>
      <rPr>
        <b/>
        <sz val="6"/>
        <color theme="1"/>
        <rFont val="Arial"/>
        <family val="2"/>
      </rPr>
      <t xml:space="preserve">=  </t>
    </r>
    <r>
      <rPr>
        <b/>
        <sz val="6.5"/>
        <color theme="1"/>
        <rFont val="Arial"/>
        <family val="2"/>
      </rPr>
      <t>1500</t>
    </r>
    <r>
      <rPr>
        <b/>
        <sz val="6.5"/>
        <color rgb="FF232323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</si>
  <si>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1600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</si>
  <si>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1700</t>
    </r>
    <r>
      <rPr>
        <b/>
        <sz val="6.5"/>
        <color rgb="FF484848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</si>
  <si>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1800</t>
    </r>
    <r>
      <rPr>
        <b/>
        <sz val="6.5"/>
        <color rgb="FF363636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</si>
  <si>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1900.00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</si>
  <si>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2000.00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</si>
  <si>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2200.00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</si>
  <si>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2400.00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</si>
  <si>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2600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</si>
  <si>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2800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</si>
  <si>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3000</t>
    </r>
    <r>
      <rPr>
        <b/>
        <sz val="6.5"/>
        <color rgb="FF525252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</si>
  <si>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3200</t>
    </r>
    <r>
      <rPr>
        <b/>
        <sz val="6.5"/>
        <color rgb="FF3A3A3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</si>
  <si>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rgb="FF11111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3400</t>
    </r>
    <r>
      <rPr>
        <b/>
        <sz val="6.5"/>
        <color rgb="FF2A2A2A"/>
        <rFont val="Arial"/>
        <family val="2"/>
      </rPr>
      <t>.</t>
    </r>
    <r>
      <rPr>
        <b/>
        <sz val="6.5"/>
        <color theme="1"/>
        <rFont val="Arial"/>
        <family val="2"/>
      </rPr>
      <t>00 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</si>
  <si>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3600.00 kPa (abs)</t>
    </r>
  </si>
  <si>
    <r>
      <t xml:space="preserve">PRESSURE </t>
    </r>
    <r>
      <rPr>
        <b/>
        <sz val="6"/>
        <color rgb="FF111111"/>
        <rFont val="Arial"/>
        <family val="2"/>
      </rPr>
      <t xml:space="preserve">= </t>
    </r>
    <r>
      <rPr>
        <b/>
        <sz val="6.5"/>
        <color rgb="FF111111"/>
        <rFont val="Arial"/>
        <family val="2"/>
      </rPr>
      <t xml:space="preserve">3800.00 </t>
    </r>
    <r>
      <rPr>
        <b/>
        <sz val="6.5"/>
        <color theme="1"/>
        <rFont val="Arial"/>
        <family val="2"/>
      </rPr>
      <t>kPa (abs)</t>
    </r>
  </si>
  <si>
    <r>
      <t xml:space="preserve">PRESSURE </t>
    </r>
    <r>
      <rPr>
        <b/>
        <sz val="6"/>
        <color theme="1"/>
        <rFont val="Arial"/>
        <family val="2"/>
      </rPr>
      <t xml:space="preserve">= </t>
    </r>
    <r>
      <rPr>
        <b/>
        <sz val="6.5"/>
        <color theme="1"/>
        <rFont val="Arial"/>
        <family val="2"/>
      </rPr>
      <t>4000.00 kPa (abs)</t>
    </r>
  </si>
  <si>
    <t>SATLIQ,SAT,VAP</t>
  </si>
  <si>
    <t>SATLIQ,SATVAP</t>
  </si>
  <si>
    <t>SAT,LIQ,SAT,VAP</t>
  </si>
  <si>
    <t>-11,3,7</t>
  </si>
  <si>
    <t>1,1,203</t>
  </si>
  <si>
    <t>1,1,03</t>
  </si>
  <si>
    <t>1,,10,70</t>
  </si>
  <si>
    <t>1,1,813</t>
  </si>
  <si>
    <t>1,1,848</t>
  </si>
  <si>
    <t>1,1,5</t>
  </si>
  <si>
    <t>MW SUVA [kg/kmol]</t>
  </si>
  <si>
    <t>Mollier SUVA</t>
  </si>
  <si>
    <t>Entalpia em kJ/kg</t>
  </si>
  <si>
    <t>P [kPa]</t>
  </si>
  <si>
    <t>Tsat [°C]</t>
  </si>
  <si>
    <t>S mínimo</t>
  </si>
  <si>
    <r>
      <t>P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[atm-a]</t>
    </r>
  </si>
  <si>
    <r>
      <t>T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[°C]</t>
    </r>
  </si>
  <si>
    <r>
      <t>ρ</t>
    </r>
    <r>
      <rPr>
        <b/>
        <sz val="9"/>
        <rFont val="Calibri"/>
        <family val="2"/>
        <scheme val="minor"/>
      </rPr>
      <t>c</t>
    </r>
    <r>
      <rPr>
        <b/>
        <sz val="11"/>
        <rFont val="Calibri"/>
        <family val="2"/>
        <scheme val="minor"/>
      </rPr>
      <t>[kg/m³]</t>
    </r>
  </si>
  <si>
    <t>R[barL/(molK)]</t>
  </si>
  <si>
    <t>Coeficientes MBWR: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</si>
  <si>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</si>
  <si>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</si>
  <si>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</si>
  <si>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</si>
  <si>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</si>
  <si>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</si>
  <si>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</si>
  <si>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</si>
  <si>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</si>
  <si>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</si>
  <si>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</si>
  <si>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</si>
  <si>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</si>
  <si>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</si>
  <si>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</si>
  <si>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</si>
  <si>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</si>
  <si>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</si>
  <si>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</si>
  <si>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</si>
  <si>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</si>
  <si>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</si>
  <si>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</si>
  <si>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</si>
  <si>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</si>
  <si>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</si>
  <si>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</si>
  <si>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</si>
  <si>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</si>
  <si>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</si>
  <si>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</si>
  <si>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</si>
  <si>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↓Temp [°C] | Press [kPa]→</t>
  </si>
  <si>
    <t>T [K]</t>
  </si>
  <si>
    <r>
      <t>V</t>
    </r>
    <r>
      <rPr>
        <b/>
        <sz val="9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[L/mol]</t>
    </r>
  </si>
  <si>
    <t>Ans(V[L/mol])</t>
  </si>
  <si>
    <t>V [m³/kg]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</si>
  <si>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</si>
  <si>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</si>
  <si>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</si>
  <si>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</si>
  <si>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</si>
  <si>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</si>
  <si>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</si>
  <si>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</si>
  <si>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</si>
  <si>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</si>
  <si>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</si>
  <si>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</si>
  <si>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</si>
  <si>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</si>
  <si>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</si>
  <si>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MBWR [0]</t>
  </si>
  <si>
    <t>Coeficientes MH:</t>
  </si>
  <si>
    <t>A2</t>
  </si>
  <si>
    <t>B2</t>
  </si>
  <si>
    <t>C2</t>
  </si>
  <si>
    <t>A3</t>
  </si>
  <si>
    <t>B3</t>
  </si>
  <si>
    <t>C3</t>
  </si>
  <si>
    <t>A4</t>
  </si>
  <si>
    <t>B4</t>
  </si>
  <si>
    <t>C4</t>
  </si>
  <si>
    <t>A5</t>
  </si>
  <si>
    <t>B5</t>
  </si>
  <si>
    <t>C5</t>
  </si>
  <si>
    <t>b</t>
  </si>
  <si>
    <t>k</t>
  </si>
  <si>
    <t>R</t>
  </si>
  <si>
    <t>MH [0]:</t>
  </si>
  <si>
    <t>Ans(V[m³/kg])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</si>
</sst>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0"/>
    <numFmt numFmtId="166" formatCode="#,##0.0000"/>
    <numFmt numFmtId="167" formatCode="0.0000000"/>
    <numFmt numFmtId="168" formatCode="#,##0.000000"/>
    <numFmt numFmtId="169" formatCode="0.00000"/>
    <numFmt numFmtId="170" formatCode="0.0000000000E+00"/>
    <numFmt numFmtId="171" formatCode="0.000000E+00"/>
    <numFmt numFmtId="172" formatCode="0.000"/>
  </numFmts>
  <fonts count="130" x14ac:knownFonts="1">
    <font>
      <sz val="11"/>
      <color theme="1"/>
      <name val="Calibri"/>
      <family val="2"/>
      <scheme val="minor"/>
    </font>
    <font>
      <b/>
      <sz val="6"/>
      <color theme="1"/>
      <name val="Arial"/>
      <family val="2"/>
    </font>
    <font>
      <b/>
      <sz val="7.5"/>
      <color theme="1"/>
      <name val="Arial"/>
      <family val="2"/>
    </font>
    <font>
      <sz val="12"/>
      <color rgb="FF424242"/>
      <name val="Courier New"/>
      <family val="3"/>
    </font>
    <font>
      <sz val="12"/>
      <color theme="1"/>
      <name val="Courier New"/>
      <family val="3"/>
    </font>
    <font>
      <b/>
      <sz val="6.5"/>
      <color theme="1"/>
      <name val="Times New Roman"/>
      <family val="1"/>
    </font>
    <font>
      <b/>
      <sz val="11.5"/>
      <color rgb="FF424242"/>
      <name val="Times New Roman"/>
      <family val="1"/>
    </font>
    <font>
      <b/>
      <sz val="11.5"/>
      <color theme="1"/>
      <name val="Times New Roman"/>
      <family val="1"/>
    </font>
    <font>
      <b/>
      <sz val="8.5"/>
      <color theme="1"/>
      <name val="Times New Roman"/>
      <family val="1"/>
    </font>
    <font>
      <sz val="8"/>
      <color rgb="FF2D2D2D"/>
      <name val="Times New Roman"/>
      <family val="1"/>
    </font>
    <font>
      <sz val="8"/>
      <color theme="1"/>
      <name val="Times New Roman"/>
      <family val="1"/>
    </font>
    <font>
      <sz val="8"/>
      <color rgb="FF161616"/>
      <name val="Times New Roman"/>
      <family val="1"/>
    </font>
    <font>
      <sz val="8"/>
      <color rgb="FF424242"/>
      <name val="Times New Roman"/>
      <family val="1"/>
    </font>
    <font>
      <sz val="8"/>
      <color rgb="FF2B2B2B"/>
      <name val="Times New Roman"/>
      <family val="1"/>
    </font>
    <font>
      <sz val="8"/>
      <color rgb="FF0F0F0F"/>
      <name val="Times New Roman"/>
      <family val="1"/>
    </font>
    <font>
      <sz val="8"/>
      <color rgb="FF444444"/>
      <name val="Times New Roman"/>
      <family val="1"/>
    </font>
    <font>
      <sz val="7.5"/>
      <color rgb="FF2B2B2B"/>
      <name val="Arial"/>
      <family val="2"/>
    </font>
    <font>
      <b/>
      <sz val="6.5"/>
      <color theme="1"/>
      <name val="Arial"/>
      <family val="2"/>
    </font>
    <font>
      <sz val="10.5"/>
      <color rgb="FF464646"/>
      <name val="Times New Roman"/>
      <family val="1"/>
    </font>
    <font>
      <sz val="10.5"/>
      <color theme="1"/>
      <name val="Times New Roman"/>
      <family val="1"/>
    </font>
    <font>
      <b/>
      <sz val="6.5"/>
      <color rgb="FF343434"/>
      <name val="Arial"/>
      <family val="2"/>
    </font>
    <font>
      <sz val="7"/>
      <color theme="1"/>
      <name val="Times New Roman"/>
      <family val="1"/>
    </font>
    <font>
      <b/>
      <sz val="10"/>
      <color rgb="FF565656"/>
      <name val="Times New Roman"/>
      <family val="1"/>
    </font>
    <font>
      <b/>
      <sz val="10"/>
      <color theme="1"/>
      <name val="Times New Roman"/>
      <family val="1"/>
    </font>
    <font>
      <b/>
      <sz val="7"/>
      <color theme="1"/>
      <name val="Times New Roman"/>
      <family val="1"/>
    </font>
    <font>
      <b/>
      <sz val="7"/>
      <color theme="1"/>
      <name val="Arial"/>
      <family val="2"/>
    </font>
    <font>
      <b/>
      <sz val="7.5"/>
      <color theme="1"/>
      <name val="Times New Roman"/>
      <family val="1"/>
    </font>
    <font>
      <b/>
      <sz val="5"/>
      <color theme="1"/>
      <name val="Arial"/>
      <family val="2"/>
    </font>
    <font>
      <b/>
      <sz val="5"/>
      <color rgb="FF343434"/>
      <name val="Arial"/>
      <family val="2"/>
    </font>
    <font>
      <sz val="7.5"/>
      <color rgb="FF343434"/>
      <name val="Times New Roman"/>
      <family val="1"/>
    </font>
    <font>
      <sz val="7.5"/>
      <color theme="1"/>
      <name val="Times New Roman"/>
      <family val="1"/>
    </font>
    <font>
      <sz val="7.5"/>
      <color rgb="FF464646"/>
      <name val="Times New Roman"/>
      <family val="1"/>
    </font>
    <font>
      <sz val="7"/>
      <color rgb="FF343434"/>
      <name val="Arial"/>
      <family val="2"/>
    </font>
    <font>
      <sz val="7.5"/>
      <color rgb="FF565656"/>
      <name val="Times New Roman"/>
      <family val="1"/>
    </font>
    <font>
      <sz val="7.5"/>
      <color rgb="FF181818"/>
      <name val="Times New Roman"/>
      <family val="1"/>
    </font>
    <font>
      <b/>
      <sz val="10"/>
      <color rgb="FF464646"/>
      <name val="Times New Roman"/>
      <family val="1"/>
    </font>
    <font>
      <b/>
      <sz val="6.5"/>
      <color rgb="FF181818"/>
      <name val="Arial"/>
      <family val="2"/>
    </font>
    <font>
      <b/>
      <sz val="5"/>
      <color rgb="FF181818"/>
      <name val="Arial"/>
      <family val="2"/>
    </font>
    <font>
      <sz val="10.5"/>
      <color rgb="FF484848"/>
      <name val="Times New Roman"/>
      <family val="1"/>
    </font>
    <font>
      <b/>
      <sz val="6"/>
      <color rgb="FF0F0F0F"/>
      <name val="Arial"/>
      <family val="2"/>
    </font>
    <font>
      <b/>
      <sz val="6.5"/>
      <color rgb="FF363636"/>
      <name val="Arial"/>
      <family val="2"/>
    </font>
    <font>
      <b/>
      <sz val="10"/>
      <color rgb="FF484848"/>
      <name val="Times New Roman"/>
      <family val="1"/>
    </font>
    <font>
      <b/>
      <sz val="5"/>
      <color rgb="FF262626"/>
      <name val="Arial"/>
      <family val="2"/>
    </font>
    <font>
      <b/>
      <sz val="5"/>
      <color rgb="FF0F0F0F"/>
      <name val="Arial"/>
      <family val="2"/>
    </font>
    <font>
      <sz val="7.5"/>
      <color rgb="FF363636"/>
      <name val="Times New Roman"/>
      <family val="1"/>
    </font>
    <font>
      <sz val="7.5"/>
      <color rgb="FF484848"/>
      <name val="Times New Roman"/>
      <family val="1"/>
    </font>
    <font>
      <sz val="7.5"/>
      <color rgb="FF262626"/>
      <name val="Times New Roman"/>
      <family val="1"/>
    </font>
    <font>
      <sz val="7.5"/>
      <color rgb="FF0F0F0F"/>
      <name val="Times New Roman"/>
      <family val="1"/>
    </font>
    <font>
      <sz val="7"/>
      <color rgb="FF363636"/>
      <name val="Times New Roman"/>
      <family val="1"/>
    </font>
    <font>
      <b/>
      <sz val="6.5"/>
      <color rgb="FF0F0F0F"/>
      <name val="Arial"/>
      <family val="2"/>
    </font>
    <font>
      <b/>
      <sz val="10"/>
      <color rgb="FF494949"/>
      <name val="Times New Roman"/>
      <family val="1"/>
    </font>
    <font>
      <b/>
      <sz val="6.5"/>
      <color rgb="FF1C1C1C"/>
      <name val="Arial"/>
      <family val="2"/>
    </font>
    <font>
      <b/>
      <sz val="10"/>
      <color rgb="FF5D5D5D"/>
      <name val="Times New Roman"/>
      <family val="1"/>
    </font>
    <font>
      <b/>
      <sz val="5"/>
      <color rgb="FF1C1C1C"/>
      <name val="Arial"/>
      <family val="2"/>
    </font>
    <font>
      <sz val="7.5"/>
      <color rgb="FF494949"/>
      <name val="Times New Roman"/>
      <family val="1"/>
    </font>
    <font>
      <sz val="7.5"/>
      <color rgb="FF1C1C1C"/>
      <name val="Times New Roman"/>
      <family val="1"/>
    </font>
    <font>
      <sz val="7"/>
      <color rgb="FF363636"/>
      <name val="Arial"/>
      <family val="2"/>
    </font>
    <font>
      <sz val="6.5"/>
      <color rgb="FF363636"/>
      <name val="Arial"/>
      <family val="2"/>
    </font>
    <font>
      <b/>
      <sz val="6.5"/>
      <color rgb="FF494949"/>
      <name val="Arial"/>
      <family val="2"/>
    </font>
    <font>
      <b/>
      <sz val="5"/>
      <color rgb="FF242424"/>
      <name val="Arial"/>
      <family val="2"/>
    </font>
    <font>
      <sz val="7.5"/>
      <color rgb="FF242424"/>
      <name val="Times New Roman"/>
      <family val="1"/>
    </font>
    <font>
      <b/>
      <sz val="6.5"/>
      <color rgb="FF242424"/>
      <name val="Arial"/>
      <family val="2"/>
    </font>
    <font>
      <sz val="7.5"/>
      <color rgb="FF363636"/>
      <name val="Courier New"/>
      <family val="3"/>
    </font>
    <font>
      <b/>
      <sz val="10"/>
      <color rgb="FF4B4B4B"/>
      <name val="Times New Roman"/>
      <family val="1"/>
    </font>
    <font>
      <b/>
      <sz val="6.5"/>
      <color rgb="FF4B4B4B"/>
      <name val="Arial"/>
      <family val="2"/>
    </font>
    <font>
      <b/>
      <sz val="6.5"/>
      <color rgb="FF383838"/>
      <name val="Arial"/>
      <family val="2"/>
    </font>
    <font>
      <sz val="7.5"/>
      <color rgb="FF383838"/>
      <name val="Times New Roman"/>
      <family val="1"/>
    </font>
    <font>
      <sz val="7.5"/>
      <color rgb="FF4B4B4B"/>
      <name val="Times New Roman"/>
      <family val="1"/>
    </font>
    <font>
      <sz val="7.5"/>
      <color rgb="FF282828"/>
      <name val="Times New Roman"/>
      <family val="1"/>
    </font>
    <font>
      <sz val="7"/>
      <color rgb="FF383838"/>
      <name val="Times New Roman"/>
      <family val="1"/>
    </font>
    <font>
      <b/>
      <sz val="10"/>
      <color rgb="FF5B5B5B"/>
      <name val="Times New Roman"/>
      <family val="1"/>
    </font>
    <font>
      <b/>
      <sz val="5"/>
      <color rgb="FF232323"/>
      <name val="Arial"/>
      <family val="2"/>
    </font>
    <font>
      <b/>
      <sz val="5"/>
      <color rgb="FF111111"/>
      <name val="Arial"/>
      <family val="2"/>
    </font>
    <font>
      <sz val="7.5"/>
      <color rgb="FF111111"/>
      <name val="Times New Roman"/>
      <family val="1"/>
    </font>
    <font>
      <sz val="7.5"/>
      <color rgb="FF232323"/>
      <name val="Times New Roman"/>
      <family val="1"/>
    </font>
    <font>
      <b/>
      <sz val="6.5"/>
      <color rgb="FF232323"/>
      <name val="Arial"/>
      <family val="2"/>
    </font>
    <font>
      <sz val="10.5"/>
      <color rgb="FF363636"/>
      <name val="Times New Roman"/>
      <family val="1"/>
    </font>
    <font>
      <b/>
      <sz val="10"/>
      <color rgb="FF525252"/>
      <name val="Times New Roman"/>
      <family val="1"/>
    </font>
    <font>
      <sz val="7.5"/>
      <color rgb="FF525252"/>
      <name val="Times New Roman"/>
      <family val="1"/>
    </font>
    <font>
      <sz val="7.5"/>
      <color rgb="FF161616"/>
      <name val="Times New Roman"/>
      <family val="1"/>
    </font>
    <font>
      <sz val="10.5"/>
      <color rgb="FF525252"/>
      <name val="Times New Roman"/>
      <family val="1"/>
    </font>
    <font>
      <b/>
      <sz val="6.5"/>
      <color rgb="FF525252"/>
      <name val="Arial"/>
      <family val="2"/>
    </font>
    <font>
      <b/>
      <sz val="5"/>
      <color rgb="FF363636"/>
      <name val="Arial"/>
      <family val="2"/>
    </font>
    <font>
      <sz val="10.5"/>
      <color rgb="FF494949"/>
      <name val="Times New Roman"/>
      <family val="1"/>
    </font>
    <font>
      <b/>
      <sz val="10"/>
      <color rgb="FF595959"/>
      <name val="Times New Roman"/>
      <family val="1"/>
    </font>
    <font>
      <b/>
      <sz val="6"/>
      <color rgb="FF111111"/>
      <name val="Arial"/>
      <family val="2"/>
    </font>
    <font>
      <sz val="10.5"/>
      <color rgb="FF3A3A3A"/>
      <name val="Times New Roman"/>
      <family val="1"/>
    </font>
    <font>
      <b/>
      <sz val="6.5"/>
      <color rgb="FF3A3A3A"/>
      <name val="Arial"/>
      <family val="2"/>
    </font>
    <font>
      <b/>
      <sz val="6.5"/>
      <color rgb="FF2A2A2A"/>
      <name val="Arial"/>
      <family val="2"/>
    </font>
    <font>
      <sz val="7.5"/>
      <color rgb="FF2A2A2A"/>
      <name val="Times New Roman"/>
      <family val="1"/>
    </font>
    <font>
      <sz val="7.5"/>
      <color rgb="FF3A3A3A"/>
      <name val="Times New Roman"/>
      <family val="1"/>
    </font>
    <font>
      <sz val="7"/>
      <color rgb="FF3A3A3A"/>
      <name val="Arial"/>
      <family val="2"/>
    </font>
    <font>
      <sz val="6.5"/>
      <color rgb="FF2A2A2A"/>
      <name val="Arial"/>
      <family val="2"/>
    </font>
    <font>
      <sz val="6.5"/>
      <color rgb="FF3A3A3A"/>
      <name val="Arial"/>
      <family val="2"/>
    </font>
    <font>
      <b/>
      <sz val="5"/>
      <color rgb="FF2A2A2A"/>
      <name val="Arial"/>
      <family val="2"/>
    </font>
    <font>
      <b/>
      <sz val="5"/>
      <color rgb="FF212121"/>
      <name val="Arial"/>
      <family val="2"/>
    </font>
    <font>
      <sz val="7.5"/>
      <color rgb="FF212121"/>
      <name val="Times New Roman"/>
      <family val="1"/>
    </font>
    <font>
      <b/>
      <sz val="10"/>
      <color rgb="FF363636"/>
      <name val="Times New Roman"/>
      <family val="1"/>
    </font>
    <font>
      <b/>
      <sz val="5"/>
      <color rgb="FF1D1D1D"/>
      <name val="Arial"/>
      <family val="2"/>
    </font>
    <font>
      <sz val="7.5"/>
      <color rgb="FF1D1D1D"/>
      <name val="Times New Roman"/>
      <family val="1"/>
    </font>
    <font>
      <b/>
      <sz val="10"/>
      <color rgb="FF3A3A3A"/>
      <name val="Times New Roman"/>
      <family val="1"/>
    </font>
    <font>
      <b/>
      <sz val="5"/>
      <color rgb="FF282828"/>
      <name val="Arial"/>
      <family val="2"/>
    </font>
    <font>
      <sz val="7"/>
      <color rgb="FF3A3A3A"/>
      <name val="Times New Roman"/>
      <family val="1"/>
    </font>
    <font>
      <b/>
      <sz val="6.5"/>
      <color rgb="FF282828"/>
      <name val="Arial"/>
      <family val="2"/>
    </font>
    <font>
      <sz val="6.5"/>
      <color rgb="FF282828"/>
      <name val="Arial"/>
      <family val="2"/>
    </font>
    <font>
      <b/>
      <sz val="6.5"/>
      <color rgb="FF212121"/>
      <name val="Arial"/>
      <family val="2"/>
    </font>
    <font>
      <b/>
      <sz val="10"/>
      <color rgb="FF505050"/>
      <name val="Times New Roman"/>
      <family val="1"/>
    </font>
    <font>
      <b/>
      <sz val="5"/>
      <color rgb="FF1A1A1A"/>
      <name val="Arial"/>
      <family val="2"/>
    </font>
    <font>
      <sz val="7.5"/>
      <color rgb="FF1A1A1A"/>
      <name val="Times New Roman"/>
      <family val="1"/>
    </font>
    <font>
      <sz val="7"/>
      <color rgb="FF2A2A2A"/>
      <name val="Arial"/>
      <family val="2"/>
    </font>
    <font>
      <sz val="7.5"/>
      <color rgb="FF505050"/>
      <name val="Times New Roman"/>
      <family val="1"/>
    </font>
    <font>
      <b/>
      <sz val="6.5"/>
      <color rgb="FF111111"/>
      <name val="Arial"/>
      <family val="2"/>
    </font>
    <font>
      <b/>
      <sz val="6.5"/>
      <color rgb="FF484848"/>
      <name val="Arial"/>
      <family val="2"/>
    </font>
    <font>
      <sz val="6.5"/>
      <color rgb="FF232323"/>
      <name val="Arial"/>
      <family val="2"/>
    </font>
    <font>
      <b/>
      <sz val="10"/>
      <color rgb="FF383838"/>
      <name val="Times New Roman"/>
      <family val="1"/>
    </font>
    <font>
      <b/>
      <sz val="5"/>
      <color rgb="FF131313"/>
      <name val="Arial"/>
      <family val="2"/>
    </font>
    <font>
      <sz val="7.5"/>
      <color rgb="FF383838"/>
      <name val="Courier New"/>
      <family val="3"/>
    </font>
    <font>
      <sz val="7.5"/>
      <color rgb="FF232323"/>
      <name val="Courier New"/>
      <family val="3"/>
    </font>
    <font>
      <b/>
      <sz val="10"/>
      <color rgb="FF545454"/>
      <name val="Times New Roman"/>
      <family val="1"/>
    </font>
    <font>
      <sz val="10.5"/>
      <color rgb="FF545454"/>
      <name val="Times New Roman"/>
      <family val="1"/>
    </font>
    <font>
      <b/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rgb="FF3A3A3A"/>
      <name val="Arial"/>
      <family val="2"/>
    </font>
    <font>
      <sz val="7.5"/>
      <color rgb="FF131313"/>
      <name val="Times New Roman"/>
      <family val="1"/>
    </font>
    <font>
      <sz val="7.5"/>
      <color rgb="FF3A3A3A"/>
      <name val="Courier New"/>
      <family val="3"/>
    </font>
    <font>
      <i/>
      <u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D5A4D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5">
    <border>
      <left/>
      <right/>
      <top/>
      <bottom/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55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" fillId="0" borderId="5" xfId="0" applyFont="1" applyBorder="1" applyAlignment="1">
      <alignment vertical="center" wrapText="1"/>
    </xf>
    <xf numFmtId="0" fontId="0" fillId="0" borderId="6" xfId="0" applyBorder="1" applyAlignment="1">
      <alignment vertical="top" wrapText="1"/>
    </xf>
    <xf numFmtId="0" fontId="1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left" vertical="center" wrapText="1" indent="1"/>
    </xf>
    <xf numFmtId="0" fontId="9" fillId="0" borderId="3" xfId="0" applyFont="1" applyBorder="1" applyAlignment="1">
      <alignment horizontal="right" vertical="center" wrapText="1"/>
    </xf>
    <xf numFmtId="0" fontId="9" fillId="0" borderId="0" xfId="0" applyFont="1" applyAlignment="1">
      <alignment horizontal="right" vertical="center" wrapText="1"/>
    </xf>
    <xf numFmtId="0" fontId="12" fillId="0" borderId="3" xfId="0" applyFont="1" applyBorder="1" applyAlignment="1">
      <alignment horizontal="left" vertical="center" wrapText="1" indent="1"/>
    </xf>
    <xf numFmtId="0" fontId="12" fillId="0" borderId="0" xfId="0" applyFont="1" applyAlignment="1">
      <alignment horizontal="right" vertical="center" wrapText="1"/>
    </xf>
    <xf numFmtId="0" fontId="12" fillId="0" borderId="4" xfId="0" applyFont="1" applyBorder="1" applyAlignment="1">
      <alignment horizontal="left" vertical="center" wrapText="1" indent="1"/>
    </xf>
    <xf numFmtId="0" fontId="12" fillId="0" borderId="6" xfId="0" applyFont="1" applyBorder="1" applyAlignment="1">
      <alignment horizontal="right" vertical="center" wrapText="1"/>
    </xf>
    <xf numFmtId="0" fontId="13" fillId="0" borderId="12" xfId="0" applyFont="1" applyBorder="1" applyAlignment="1">
      <alignment horizontal="right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right" vertical="center" wrapText="1"/>
    </xf>
    <xf numFmtId="0" fontId="15" fillId="0" borderId="3" xfId="0" applyFont="1" applyBorder="1" applyAlignment="1">
      <alignment horizontal="right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right" vertical="center" wrapText="1"/>
    </xf>
    <xf numFmtId="0" fontId="15" fillId="0" borderId="0" xfId="0" applyFont="1" applyAlignment="1">
      <alignment horizontal="right" vertical="center" wrapText="1"/>
    </xf>
    <xf numFmtId="0" fontId="13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3" fillId="0" borderId="4" xfId="0" applyFont="1" applyBorder="1" applyAlignment="1">
      <alignment horizontal="right" vertical="center" wrapText="1"/>
    </xf>
    <xf numFmtId="0" fontId="13" fillId="0" borderId="4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right" vertical="center" wrapText="1"/>
    </xf>
    <xf numFmtId="0" fontId="12" fillId="0" borderId="3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right" vertical="center" wrapText="1"/>
    </xf>
    <xf numFmtId="0" fontId="13" fillId="0" borderId="14" xfId="0" applyFont="1" applyBorder="1" applyAlignment="1">
      <alignment horizontal="right" vertical="center" wrapText="1"/>
    </xf>
    <xf numFmtId="0" fontId="13" fillId="0" borderId="15" xfId="0" applyFont="1" applyBorder="1" applyAlignment="1">
      <alignment horizontal="right" vertical="center" wrapText="1"/>
    </xf>
    <xf numFmtId="2" fontId="9" fillId="0" borderId="3" xfId="0" applyNumberFormat="1" applyFont="1" applyBorder="1" applyAlignment="1">
      <alignment horizontal="left" vertical="center" wrapText="1" indent="3"/>
    </xf>
    <xf numFmtId="2" fontId="0" fillId="0" borderId="0" xfId="0" applyNumberFormat="1"/>
    <xf numFmtId="2" fontId="11" fillId="0" borderId="3" xfId="0" applyNumberFormat="1" applyFont="1" applyBorder="1" applyAlignment="1">
      <alignment horizontal="left" vertical="center" wrapText="1" indent="3"/>
    </xf>
    <xf numFmtId="2" fontId="11" fillId="0" borderId="3" xfId="0" applyNumberFormat="1" applyFont="1" applyBorder="1" applyAlignment="1">
      <alignment horizontal="left" vertical="center" wrapText="1" indent="2"/>
    </xf>
    <xf numFmtId="2" fontId="9" fillId="0" borderId="3" xfId="0" applyNumberFormat="1" applyFont="1" applyBorder="1" applyAlignment="1">
      <alignment horizontal="left" vertical="center" wrapText="1" indent="2"/>
    </xf>
    <xf numFmtId="2" fontId="12" fillId="0" borderId="3" xfId="0" applyNumberFormat="1" applyFont="1" applyBorder="1" applyAlignment="1">
      <alignment horizontal="left" vertical="center" wrapText="1" indent="2"/>
    </xf>
    <xf numFmtId="2" fontId="12" fillId="0" borderId="4" xfId="0" applyNumberFormat="1" applyFont="1" applyBorder="1" applyAlignment="1">
      <alignment horizontal="left" vertical="center" wrapText="1" indent="2"/>
    </xf>
    <xf numFmtId="2" fontId="13" fillId="0" borderId="12" xfId="0" applyNumberFormat="1" applyFont="1" applyBorder="1" applyAlignment="1">
      <alignment horizontal="center" vertical="center" wrapText="1"/>
    </xf>
    <xf numFmtId="2" fontId="13" fillId="0" borderId="3" xfId="0" applyNumberFormat="1" applyFont="1" applyBorder="1" applyAlignment="1">
      <alignment horizontal="center" vertical="center" wrapText="1"/>
    </xf>
    <xf numFmtId="2" fontId="15" fillId="0" borderId="3" xfId="0" applyNumberFormat="1" applyFont="1" applyBorder="1" applyAlignment="1">
      <alignment horizontal="center" vertical="center" wrapText="1"/>
    </xf>
    <xf numFmtId="2" fontId="13" fillId="0" borderId="4" xfId="0" applyNumberFormat="1" applyFont="1" applyBorder="1" applyAlignment="1">
      <alignment horizontal="center" vertical="center" wrapText="1"/>
    </xf>
    <xf numFmtId="2" fontId="13" fillId="0" borderId="12" xfId="0" applyNumberFormat="1" applyFont="1" applyBorder="1" applyAlignment="1">
      <alignment horizontal="left" vertical="center" wrapText="1" indent="2"/>
    </xf>
    <xf numFmtId="2" fontId="13" fillId="0" borderId="3" xfId="0" applyNumberFormat="1" applyFont="1" applyBorder="1" applyAlignment="1">
      <alignment horizontal="left" vertical="center" wrapText="1" indent="2"/>
    </xf>
    <xf numFmtId="2" fontId="13" fillId="0" borderId="3" xfId="0" applyNumberFormat="1" applyFont="1" applyBorder="1" applyAlignment="1">
      <alignment horizontal="left" vertical="center" wrapText="1" indent="1"/>
    </xf>
    <xf numFmtId="2" fontId="13" fillId="0" borderId="4" xfId="0" applyNumberFormat="1" applyFont="1" applyBorder="1" applyAlignment="1">
      <alignment horizontal="left" vertical="center" wrapText="1" indent="1"/>
    </xf>
    <xf numFmtId="2" fontId="13" fillId="0" borderId="14" xfId="0" applyNumberFormat="1" applyFont="1" applyBorder="1" applyAlignment="1">
      <alignment horizontal="center" vertical="center" wrapText="1"/>
    </xf>
    <xf numFmtId="165" fontId="13" fillId="0" borderId="3" xfId="0" applyNumberFormat="1" applyFont="1" applyBorder="1" applyAlignment="1">
      <alignment horizontal="right" vertical="center" wrapText="1"/>
    </xf>
    <xf numFmtId="166" fontId="9" fillId="0" borderId="3" xfId="0" applyNumberFormat="1" applyFont="1" applyBorder="1" applyAlignment="1">
      <alignment horizontal="right" vertical="center" wrapText="1"/>
    </xf>
    <xf numFmtId="166" fontId="11" fillId="0" borderId="3" xfId="0" applyNumberFormat="1" applyFont="1" applyBorder="1" applyAlignment="1">
      <alignment horizontal="right" vertical="center" wrapText="1"/>
    </xf>
    <xf numFmtId="166" fontId="12" fillId="0" borderId="3" xfId="0" applyNumberFormat="1" applyFont="1" applyBorder="1" applyAlignment="1">
      <alignment horizontal="right" vertical="center" wrapText="1"/>
    </xf>
    <xf numFmtId="166" fontId="9" fillId="0" borderId="4" xfId="0" applyNumberFormat="1" applyFont="1" applyBorder="1" applyAlignment="1">
      <alignment horizontal="right" vertical="center" wrapText="1"/>
    </xf>
    <xf numFmtId="166" fontId="13" fillId="0" borderId="12" xfId="0" applyNumberFormat="1" applyFont="1" applyBorder="1" applyAlignment="1">
      <alignment horizontal="right" vertical="center" wrapText="1"/>
    </xf>
    <xf numFmtId="166" fontId="13" fillId="0" borderId="3" xfId="0" applyNumberFormat="1" applyFont="1" applyBorder="1" applyAlignment="1">
      <alignment horizontal="right" vertical="center" wrapText="1"/>
    </xf>
    <xf numFmtId="166" fontId="13" fillId="0" borderId="4" xfId="0" applyNumberFormat="1" applyFont="1" applyBorder="1" applyAlignment="1">
      <alignment horizontal="right" vertical="center" wrapText="1"/>
    </xf>
    <xf numFmtId="166" fontId="13" fillId="0" borderId="14" xfId="0" applyNumberFormat="1" applyFont="1" applyBorder="1" applyAlignment="1">
      <alignment horizontal="right" vertical="center" wrapText="1"/>
    </xf>
    <xf numFmtId="164" fontId="9" fillId="0" borderId="3" xfId="0" applyNumberFormat="1" applyFont="1" applyBorder="1" applyAlignment="1">
      <alignment horizontal="right" vertical="center" wrapText="1"/>
    </xf>
    <xf numFmtId="164" fontId="11" fillId="0" borderId="3" xfId="0" applyNumberFormat="1" applyFont="1" applyBorder="1" applyAlignment="1">
      <alignment horizontal="right" vertical="center" wrapText="1"/>
    </xf>
    <xf numFmtId="164" fontId="11" fillId="0" borderId="4" xfId="0" applyNumberFormat="1" applyFont="1" applyBorder="1" applyAlignment="1">
      <alignment horizontal="right" vertical="center" wrapText="1"/>
    </xf>
    <xf numFmtId="164" fontId="14" fillId="0" borderId="12" xfId="0" applyNumberFormat="1" applyFont="1" applyBorder="1" applyAlignment="1">
      <alignment horizontal="center" vertical="center" wrapText="1"/>
    </xf>
    <xf numFmtId="164" fontId="14" fillId="0" borderId="3" xfId="0" applyNumberFormat="1" applyFont="1" applyBorder="1" applyAlignment="1">
      <alignment horizontal="center" vertical="center" wrapText="1"/>
    </xf>
    <xf numFmtId="164" fontId="13" fillId="0" borderId="3" xfId="0" applyNumberFormat="1" applyFont="1" applyBorder="1" applyAlignment="1">
      <alignment horizontal="center" vertical="center" wrapText="1"/>
    </xf>
    <xf numFmtId="164" fontId="14" fillId="0" borderId="4" xfId="0" applyNumberFormat="1" applyFont="1" applyBorder="1" applyAlignment="1">
      <alignment horizontal="center" vertical="center" wrapText="1"/>
    </xf>
    <xf numFmtId="164" fontId="14" fillId="0" borderId="12" xfId="0" applyNumberFormat="1" applyFont="1" applyBorder="1" applyAlignment="1">
      <alignment horizontal="right" vertical="center" wrapText="1"/>
    </xf>
    <xf numFmtId="164" fontId="14" fillId="0" borderId="3" xfId="0" applyNumberFormat="1" applyFont="1" applyBorder="1" applyAlignment="1">
      <alignment horizontal="right" vertical="center" wrapText="1"/>
    </xf>
    <xf numFmtId="164" fontId="13" fillId="0" borderId="3" xfId="0" applyNumberFormat="1" applyFont="1" applyBorder="1" applyAlignment="1">
      <alignment horizontal="right" vertical="center" wrapText="1"/>
    </xf>
    <xf numFmtId="164" fontId="13" fillId="0" borderId="4" xfId="0" applyNumberFormat="1" applyFont="1" applyBorder="1" applyAlignment="1">
      <alignment horizontal="right" vertical="center" wrapText="1"/>
    </xf>
    <xf numFmtId="164" fontId="13" fillId="0" borderId="12" xfId="0" applyNumberFormat="1" applyFont="1" applyBorder="1" applyAlignment="1">
      <alignment horizontal="center" vertical="center" wrapText="1"/>
    </xf>
    <xf numFmtId="164" fontId="13" fillId="0" borderId="14" xfId="0" applyNumberFormat="1" applyFont="1" applyBorder="1" applyAlignment="1">
      <alignment horizontal="center" vertical="center" wrapText="1"/>
    </xf>
    <xf numFmtId="164" fontId="9" fillId="0" borderId="3" xfId="0" applyNumberFormat="1" applyFont="1" applyBorder="1" applyAlignment="1">
      <alignment horizontal="center" vertical="center" wrapText="1"/>
    </xf>
    <xf numFmtId="164" fontId="11" fillId="0" borderId="3" xfId="0" applyNumberFormat="1" applyFont="1" applyBorder="1" applyAlignment="1">
      <alignment horizontal="center" vertical="center" wrapText="1"/>
    </xf>
    <xf numFmtId="164" fontId="10" fillId="0" borderId="3" xfId="0" applyNumberFormat="1" applyFont="1" applyBorder="1" applyAlignment="1">
      <alignment horizontal="center" vertical="center" wrapText="1"/>
    </xf>
    <xf numFmtId="164" fontId="10" fillId="0" borderId="4" xfId="0" applyNumberFormat="1" applyFont="1" applyBorder="1" applyAlignment="1">
      <alignment horizontal="center" vertical="center" wrapText="1"/>
    </xf>
    <xf numFmtId="164" fontId="14" fillId="0" borderId="12" xfId="0" applyNumberFormat="1" applyFont="1" applyBorder="1" applyAlignment="1">
      <alignment horizontal="left" vertical="center" wrapText="1" indent="2"/>
    </xf>
    <xf numFmtId="164" fontId="10" fillId="0" borderId="3" xfId="0" applyNumberFormat="1" applyFont="1" applyBorder="1" applyAlignment="1">
      <alignment horizontal="left" vertical="center" wrapText="1" indent="2"/>
    </xf>
    <xf numFmtId="164" fontId="14" fillId="0" borderId="3" xfId="0" applyNumberFormat="1" applyFont="1" applyBorder="1" applyAlignment="1">
      <alignment horizontal="left" vertical="center" wrapText="1" indent="2"/>
    </xf>
    <xf numFmtId="164" fontId="13" fillId="0" borderId="3" xfId="0" applyNumberFormat="1" applyFont="1" applyBorder="1" applyAlignment="1">
      <alignment horizontal="left" vertical="center" wrapText="1" indent="2"/>
    </xf>
    <xf numFmtId="164" fontId="13" fillId="0" borderId="4" xfId="0" applyNumberFormat="1" applyFont="1" applyBorder="1" applyAlignment="1">
      <alignment horizontal="left" vertical="center" wrapText="1" indent="2"/>
    </xf>
    <xf numFmtId="164" fontId="13" fillId="0" borderId="12" xfId="0" applyNumberFormat="1" applyFont="1" applyBorder="1" applyAlignment="1">
      <alignment horizontal="right" vertical="center" wrapText="1"/>
    </xf>
    <xf numFmtId="164" fontId="13" fillId="0" borderId="12" xfId="0" applyNumberFormat="1" applyFont="1" applyBorder="1" applyAlignment="1">
      <alignment horizontal="left" vertical="center" wrapText="1" indent="2"/>
    </xf>
    <xf numFmtId="164" fontId="13" fillId="0" borderId="14" xfId="0" applyNumberFormat="1" applyFont="1" applyBorder="1" applyAlignment="1">
      <alignment horizontal="left" vertical="center" wrapText="1" indent="2"/>
    </xf>
    <xf numFmtId="164" fontId="9" fillId="0" borderId="4" xfId="0" applyNumberFormat="1" applyFont="1" applyBorder="1" applyAlignment="1">
      <alignment horizontal="right" vertical="center" wrapText="1"/>
    </xf>
    <xf numFmtId="164" fontId="14" fillId="0" borderId="4" xfId="0" applyNumberFormat="1" applyFont="1" applyBorder="1" applyAlignment="1">
      <alignment horizontal="right" vertical="center" wrapText="1"/>
    </xf>
    <xf numFmtId="164" fontId="13" fillId="0" borderId="14" xfId="0" applyNumberFormat="1" applyFont="1" applyBorder="1" applyAlignment="1">
      <alignment horizontal="right" vertical="center" wrapText="1"/>
    </xf>
    <xf numFmtId="164" fontId="9" fillId="0" borderId="4" xfId="0" applyNumberFormat="1" applyFont="1" applyBorder="1" applyAlignment="1">
      <alignment horizontal="center" vertical="center" wrapText="1"/>
    </xf>
    <xf numFmtId="164" fontId="13" fillId="0" borderId="4" xfId="0" applyNumberFormat="1" applyFont="1" applyBorder="1" applyAlignment="1">
      <alignment horizontal="center" vertical="center" wrapText="1"/>
    </xf>
    <xf numFmtId="167" fontId="11" fillId="0" borderId="3" xfId="0" applyNumberFormat="1" applyFont="1" applyBorder="1" applyAlignment="1">
      <alignment horizontal="right" vertical="center" wrapText="1"/>
    </xf>
    <xf numFmtId="167" fontId="9" fillId="0" borderId="3" xfId="0" applyNumberFormat="1" applyFont="1" applyBorder="1" applyAlignment="1">
      <alignment horizontal="right" vertical="center" wrapText="1"/>
    </xf>
    <xf numFmtId="167" fontId="9" fillId="0" borderId="4" xfId="0" applyNumberFormat="1" applyFont="1" applyBorder="1" applyAlignment="1">
      <alignment horizontal="right" vertical="center" wrapText="1"/>
    </xf>
    <xf numFmtId="167" fontId="13" fillId="0" borderId="12" xfId="0" applyNumberFormat="1" applyFont="1" applyBorder="1" applyAlignment="1">
      <alignment horizontal="left" vertical="center" wrapText="1" indent="2"/>
    </xf>
    <xf numFmtId="167" fontId="13" fillId="0" borderId="3" xfId="0" applyNumberFormat="1" applyFont="1" applyBorder="1" applyAlignment="1">
      <alignment horizontal="left" vertical="center" wrapText="1" indent="2"/>
    </xf>
    <xf numFmtId="167" fontId="14" fillId="0" borderId="3" xfId="0" applyNumberFormat="1" applyFont="1" applyBorder="1" applyAlignment="1">
      <alignment horizontal="left" vertical="center" wrapText="1" indent="2"/>
    </xf>
    <xf numFmtId="167" fontId="14" fillId="0" borderId="4" xfId="0" applyNumberFormat="1" applyFont="1" applyBorder="1" applyAlignment="1">
      <alignment horizontal="left" vertical="center" wrapText="1" indent="2"/>
    </xf>
    <xf numFmtId="167" fontId="14" fillId="0" borderId="12" xfId="0" applyNumberFormat="1" applyFont="1" applyBorder="1" applyAlignment="1">
      <alignment horizontal="right" vertical="center" wrapText="1"/>
    </xf>
    <xf numFmtId="167" fontId="14" fillId="0" borderId="3" xfId="0" applyNumberFormat="1" applyFont="1" applyBorder="1" applyAlignment="1">
      <alignment horizontal="right" vertical="center" wrapText="1"/>
    </xf>
    <xf numFmtId="167" fontId="13" fillId="0" borderId="3" xfId="0" applyNumberFormat="1" applyFont="1" applyBorder="1" applyAlignment="1">
      <alignment horizontal="right" vertical="center" wrapText="1"/>
    </xf>
    <xf numFmtId="167" fontId="13" fillId="0" borderId="4" xfId="0" applyNumberFormat="1" applyFont="1" applyBorder="1" applyAlignment="1">
      <alignment horizontal="right" vertical="center" wrapText="1"/>
    </xf>
    <xf numFmtId="167" fontId="13" fillId="0" borderId="12" xfId="0" applyNumberFormat="1" applyFont="1" applyBorder="1" applyAlignment="1">
      <alignment horizontal="right" vertical="center" wrapText="1"/>
    </xf>
    <xf numFmtId="167" fontId="14" fillId="0" borderId="14" xfId="0" applyNumberFormat="1" applyFont="1" applyBorder="1" applyAlignment="1">
      <alignment horizontal="right" vertical="center" wrapText="1"/>
    </xf>
    <xf numFmtId="168" fontId="9" fillId="0" borderId="3" xfId="0" applyNumberFormat="1" applyFont="1" applyBorder="1" applyAlignment="1">
      <alignment horizontal="right" vertical="center" wrapText="1"/>
    </xf>
    <xf numFmtId="168" fontId="11" fillId="0" borderId="3" xfId="0" applyNumberFormat="1" applyFont="1" applyBorder="1" applyAlignment="1">
      <alignment horizontal="right" vertical="center" wrapText="1"/>
    </xf>
    <xf numFmtId="168" fontId="9" fillId="0" borderId="4" xfId="0" applyNumberFormat="1" applyFont="1" applyBorder="1" applyAlignment="1">
      <alignment horizontal="right" vertical="center" wrapText="1"/>
    </xf>
    <xf numFmtId="168" fontId="13" fillId="0" borderId="12" xfId="0" applyNumberFormat="1" applyFont="1" applyBorder="1" applyAlignment="1">
      <alignment horizontal="right" vertical="center" wrapText="1"/>
    </xf>
    <xf numFmtId="168" fontId="13" fillId="0" borderId="3" xfId="0" applyNumberFormat="1" applyFont="1" applyBorder="1" applyAlignment="1">
      <alignment horizontal="right" vertical="center" wrapText="1"/>
    </xf>
    <xf numFmtId="168" fontId="13" fillId="0" borderId="4" xfId="0" applyNumberFormat="1" applyFont="1" applyBorder="1" applyAlignment="1">
      <alignment horizontal="right" vertical="center" wrapText="1"/>
    </xf>
    <xf numFmtId="168" fontId="13" fillId="0" borderId="12" xfId="0" applyNumberFormat="1" applyFont="1" applyBorder="1" applyAlignment="1">
      <alignment horizontal="left" vertical="center" wrapText="1" indent="2"/>
    </xf>
    <xf numFmtId="168" fontId="13" fillId="0" borderId="3" xfId="0" applyNumberFormat="1" applyFont="1" applyBorder="1" applyAlignment="1">
      <alignment horizontal="left" vertical="center" wrapText="1" indent="2"/>
    </xf>
    <xf numFmtId="168" fontId="14" fillId="0" borderId="3" xfId="0" applyNumberFormat="1" applyFont="1" applyBorder="1" applyAlignment="1">
      <alignment horizontal="left" vertical="center" wrapText="1" indent="2"/>
    </xf>
    <xf numFmtId="168" fontId="13" fillId="0" borderId="4" xfId="0" applyNumberFormat="1" applyFont="1" applyBorder="1" applyAlignment="1">
      <alignment horizontal="left" vertical="center" wrapText="1" indent="2"/>
    </xf>
    <xf numFmtId="168" fontId="14" fillId="0" borderId="3" xfId="0" applyNumberFormat="1" applyFont="1" applyBorder="1" applyAlignment="1">
      <alignment horizontal="right" vertical="center" wrapText="1"/>
    </xf>
    <xf numFmtId="168" fontId="14" fillId="0" borderId="14" xfId="0" applyNumberFormat="1" applyFont="1" applyBorder="1" applyAlignment="1">
      <alignment horizontal="right" vertical="center" wrapText="1"/>
    </xf>
    <xf numFmtId="0" fontId="17" fillId="0" borderId="1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left" vertical="center" wrapText="1" indent="2"/>
    </xf>
    <xf numFmtId="0" fontId="23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left" vertical="center" wrapText="1" indent="1"/>
    </xf>
    <xf numFmtId="0" fontId="26" fillId="0" borderId="4" xfId="0" applyFont="1" applyBorder="1" applyAlignment="1">
      <alignment horizontal="left" vertical="center" wrapText="1" indent="2"/>
    </xf>
    <xf numFmtId="0" fontId="27" fillId="0" borderId="4" xfId="0" applyFont="1" applyBorder="1" applyAlignment="1">
      <alignment horizontal="left" vertical="center" wrapText="1" indent="2"/>
    </xf>
    <xf numFmtId="0" fontId="21" fillId="0" borderId="19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0" fontId="3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left" vertical="center" wrapText="1" indent="1"/>
    </xf>
    <xf numFmtId="0" fontId="27" fillId="0" borderId="4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17" fillId="0" borderId="17" xfId="0" applyFont="1" applyBorder="1" applyAlignment="1">
      <alignment vertical="center" wrapText="1"/>
    </xf>
    <xf numFmtId="0" fontId="17" fillId="0" borderId="5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left" vertical="center" wrapText="1" indent="3"/>
    </xf>
    <xf numFmtId="0" fontId="43" fillId="0" borderId="4" xfId="0" applyFont="1" applyBorder="1" applyAlignment="1">
      <alignment horizontal="center" vertical="center" wrapText="1"/>
    </xf>
    <xf numFmtId="0" fontId="43" fillId="0" borderId="4" xfId="0" applyFont="1" applyBorder="1" applyAlignment="1">
      <alignment horizontal="left" vertical="center" wrapText="1" indent="2"/>
    </xf>
    <xf numFmtId="0" fontId="50" fillId="0" borderId="4" xfId="0" applyFont="1" applyBorder="1" applyAlignment="1">
      <alignment horizontal="center" vertical="center" wrapText="1"/>
    </xf>
    <xf numFmtId="0" fontId="52" fillId="0" borderId="6" xfId="0" applyFont="1" applyBorder="1" applyAlignment="1">
      <alignment horizontal="center" vertical="center" wrapText="1"/>
    </xf>
    <xf numFmtId="0" fontId="41" fillId="0" borderId="4" xfId="0" applyFont="1" applyBorder="1" applyAlignment="1">
      <alignment horizontal="center" vertical="center" wrapText="1"/>
    </xf>
    <xf numFmtId="0" fontId="63" fillId="0" borderId="4" xfId="0" applyFont="1" applyBorder="1" applyAlignment="1">
      <alignment horizontal="center" vertical="center" wrapText="1"/>
    </xf>
    <xf numFmtId="0" fontId="63" fillId="0" borderId="6" xfId="0" applyFont="1" applyBorder="1" applyAlignment="1">
      <alignment horizontal="center" vertical="center" wrapText="1"/>
    </xf>
    <xf numFmtId="0" fontId="70" fillId="0" borderId="6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left" vertical="center" wrapText="1" indent="2"/>
    </xf>
    <xf numFmtId="0" fontId="76" fillId="0" borderId="4" xfId="0" applyFont="1" applyBorder="1" applyAlignment="1">
      <alignment horizontal="center" vertical="center" wrapText="1"/>
    </xf>
    <xf numFmtId="0" fontId="77" fillId="0" borderId="6" xfId="0" applyFont="1" applyBorder="1" applyAlignment="1">
      <alignment horizontal="center" vertical="center" wrapText="1"/>
    </xf>
    <xf numFmtId="0" fontId="80" fillId="0" borderId="4" xfId="0" applyFont="1" applyBorder="1" applyAlignment="1">
      <alignment horizontal="center" vertical="center" wrapText="1"/>
    </xf>
    <xf numFmtId="0" fontId="83" fillId="0" borderId="4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6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77" fillId="0" borderId="4" xfId="0" applyFont="1" applyBorder="1" applyAlignment="1">
      <alignment horizontal="center" vertical="center" wrapText="1"/>
    </xf>
    <xf numFmtId="0" fontId="97" fillId="0" borderId="4" xfId="0" applyFont="1" applyBorder="1" applyAlignment="1">
      <alignment horizontal="center" vertical="center" wrapText="1"/>
    </xf>
    <xf numFmtId="0" fontId="10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72" fillId="0" borderId="4" xfId="0" applyFont="1" applyBorder="1" applyAlignment="1">
      <alignment horizontal="left" vertical="center" wrapText="1" indent="1"/>
    </xf>
    <xf numFmtId="0" fontId="106" fillId="0" borderId="6" xfId="0" applyFont="1" applyBorder="1" applyAlignment="1">
      <alignment horizontal="center" vertical="center" wrapText="1"/>
    </xf>
    <xf numFmtId="0" fontId="106" fillId="0" borderId="4" xfId="0" applyFont="1" applyBorder="1" applyAlignment="1">
      <alignment horizontal="center" vertical="center" wrapText="1"/>
    </xf>
    <xf numFmtId="0" fontId="114" fillId="0" borderId="4" xfId="0" applyFont="1" applyBorder="1" applyAlignment="1">
      <alignment horizontal="center" vertical="center" wrapText="1"/>
    </xf>
    <xf numFmtId="0" fontId="115" fillId="0" borderId="4" xfId="0" applyFont="1" applyBorder="1" applyAlignment="1">
      <alignment horizontal="center" vertical="center" wrapText="1"/>
    </xf>
    <xf numFmtId="0" fontId="115" fillId="0" borderId="4" xfId="0" applyFont="1" applyBorder="1" applyAlignment="1">
      <alignment horizontal="left" vertical="center" wrapText="1" indent="2"/>
    </xf>
    <xf numFmtId="0" fontId="118" fillId="0" borderId="6" xfId="0" applyFont="1" applyBorder="1" applyAlignment="1">
      <alignment horizontal="center" vertical="center" wrapText="1"/>
    </xf>
    <xf numFmtId="0" fontId="119" fillId="0" borderId="4" xfId="0" applyFont="1" applyBorder="1" applyAlignment="1">
      <alignment horizontal="center" vertical="center" wrapText="1"/>
    </xf>
    <xf numFmtId="0" fontId="17" fillId="0" borderId="16" xfId="0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2" fontId="44" fillId="0" borderId="3" xfId="0" applyNumberFormat="1" applyFont="1" applyBorder="1" applyAlignment="1">
      <alignment horizontal="left" vertical="center" wrapText="1" indent="1"/>
    </xf>
    <xf numFmtId="2" fontId="29" fillId="0" borderId="3" xfId="0" applyNumberFormat="1" applyFont="1" applyBorder="1" applyAlignment="1">
      <alignment vertical="center" wrapText="1"/>
    </xf>
    <xf numFmtId="2" fontId="29" fillId="0" borderId="3" xfId="0" applyNumberFormat="1" applyFont="1" applyBorder="1" applyAlignment="1">
      <alignment horizontal="left" vertical="center" wrapText="1" indent="1"/>
    </xf>
    <xf numFmtId="2" fontId="31" fillId="0" borderId="0" xfId="0" applyNumberFormat="1" applyFont="1" applyAlignment="1">
      <alignment horizontal="left" vertical="center" wrapText="1" indent="1"/>
    </xf>
    <xf numFmtId="2" fontId="31" fillId="0" borderId="3" xfId="0" applyNumberFormat="1" applyFont="1" applyBorder="1" applyAlignment="1">
      <alignment vertical="center" wrapText="1"/>
    </xf>
    <xf numFmtId="2" fontId="44" fillId="0" borderId="3" xfId="0" applyNumberFormat="1" applyFont="1" applyBorder="1" applyAlignment="1">
      <alignment vertical="center" wrapText="1"/>
    </xf>
    <xf numFmtId="2" fontId="44" fillId="0" borderId="3" xfId="0" applyNumberFormat="1" applyFont="1" applyBorder="1" applyAlignment="1">
      <alignment horizontal="left" vertical="center" wrapText="1" indent="2"/>
    </xf>
    <xf numFmtId="2" fontId="44" fillId="0" borderId="0" xfId="0" applyNumberFormat="1" applyFont="1" applyAlignment="1">
      <alignment horizontal="left" vertical="center" wrapText="1" indent="1"/>
    </xf>
    <xf numFmtId="2" fontId="45" fillId="0" borderId="3" xfId="0" applyNumberFormat="1" applyFont="1" applyBorder="1" applyAlignment="1">
      <alignment vertical="center" wrapText="1"/>
    </xf>
    <xf numFmtId="2" fontId="45" fillId="0" borderId="0" xfId="0" applyNumberFormat="1" applyFont="1" applyAlignment="1">
      <alignment vertical="center" wrapText="1"/>
    </xf>
    <xf numFmtId="2" fontId="54" fillId="0" borderId="3" xfId="0" applyNumberFormat="1" applyFont="1" applyBorder="1" applyAlignment="1">
      <alignment vertical="center" wrapText="1"/>
    </xf>
    <xf numFmtId="2" fontId="54" fillId="0" borderId="0" xfId="0" applyNumberFormat="1" applyFont="1" applyAlignment="1">
      <alignment horizontal="left" vertical="center" wrapText="1" indent="1"/>
    </xf>
    <xf numFmtId="2" fontId="66" fillId="0" borderId="3" xfId="0" applyNumberFormat="1" applyFont="1" applyBorder="1" applyAlignment="1">
      <alignment vertical="center" wrapText="1"/>
    </xf>
    <xf numFmtId="2" fontId="66" fillId="0" borderId="3" xfId="0" applyNumberFormat="1" applyFont="1" applyBorder="1" applyAlignment="1">
      <alignment horizontal="left" vertical="center" wrapText="1" indent="1"/>
    </xf>
    <xf numFmtId="2" fontId="68" fillId="0" borderId="3" xfId="0" applyNumberFormat="1" applyFont="1" applyBorder="1" applyAlignment="1">
      <alignment horizontal="left" vertical="center" wrapText="1" indent="2"/>
    </xf>
    <xf numFmtId="2" fontId="66" fillId="0" borderId="3" xfId="0" applyNumberFormat="1" applyFont="1" applyBorder="1" applyAlignment="1">
      <alignment horizontal="left" vertical="center" wrapText="1" indent="2"/>
    </xf>
    <xf numFmtId="2" fontId="66" fillId="0" borderId="0" xfId="0" applyNumberFormat="1" applyFont="1" applyAlignment="1">
      <alignment horizontal="left" vertical="center" wrapText="1" indent="1"/>
    </xf>
    <xf numFmtId="2" fontId="67" fillId="0" borderId="3" xfId="0" applyNumberFormat="1" applyFont="1" applyBorder="1" applyAlignment="1">
      <alignment vertical="center" wrapText="1"/>
    </xf>
    <xf numFmtId="2" fontId="67" fillId="0" borderId="0" xfId="0" applyNumberFormat="1" applyFont="1" applyAlignment="1">
      <alignment horizontal="left" vertical="center" wrapText="1" indent="1"/>
    </xf>
    <xf numFmtId="2" fontId="31" fillId="0" borderId="3" xfId="0" applyNumberFormat="1" applyFont="1" applyBorder="1" applyAlignment="1">
      <alignment horizontal="left" vertical="center" wrapText="1" indent="1"/>
    </xf>
    <xf numFmtId="2" fontId="74" fillId="0" borderId="3" xfId="0" applyNumberFormat="1" applyFont="1" applyBorder="1" applyAlignment="1">
      <alignment horizontal="left" vertical="center" wrapText="1" indent="1"/>
    </xf>
    <xf numFmtId="2" fontId="89" fillId="0" borderId="3" xfId="0" applyNumberFormat="1" applyFont="1" applyBorder="1" applyAlignment="1">
      <alignment horizontal="left" vertical="center" wrapText="1" indent="1"/>
    </xf>
    <xf numFmtId="2" fontId="90" fillId="0" borderId="3" xfId="0" applyNumberFormat="1" applyFont="1" applyBorder="1" applyAlignment="1">
      <alignment horizontal="left" vertical="center" wrapText="1" indent="1"/>
    </xf>
    <xf numFmtId="2" fontId="90" fillId="0" borderId="3" xfId="0" applyNumberFormat="1" applyFont="1" applyBorder="1" applyAlignment="1">
      <alignment horizontal="left" vertical="center" wrapText="1" indent="2"/>
    </xf>
    <xf numFmtId="2" fontId="90" fillId="0" borderId="0" xfId="0" applyNumberFormat="1" applyFont="1" applyAlignment="1">
      <alignment horizontal="left" vertical="center" wrapText="1" indent="2"/>
    </xf>
    <xf numFmtId="2" fontId="90" fillId="0" borderId="0" xfId="0" applyNumberFormat="1" applyFont="1" applyAlignment="1">
      <alignment horizontal="left" vertical="center" wrapText="1" indent="1"/>
    </xf>
    <xf numFmtId="2" fontId="96" fillId="0" borderId="3" xfId="0" applyNumberFormat="1" applyFont="1" applyBorder="1" applyAlignment="1">
      <alignment horizontal="left" vertical="center" wrapText="1" indent="1"/>
    </xf>
    <xf numFmtId="2" fontId="30" fillId="0" borderId="0" xfId="0" applyNumberFormat="1" applyFont="1" applyAlignment="1">
      <alignment horizontal="left" vertical="center" wrapText="1" indent="1"/>
    </xf>
    <xf numFmtId="2" fontId="108" fillId="0" borderId="3" xfId="0" applyNumberFormat="1" applyFont="1" applyBorder="1" applyAlignment="1">
      <alignment horizontal="left" vertical="center" wrapText="1" indent="1"/>
    </xf>
    <xf numFmtId="2" fontId="89" fillId="0" borderId="3" xfId="0" applyNumberFormat="1" applyFont="1" applyBorder="1" applyAlignment="1">
      <alignment horizontal="left" vertical="center" wrapText="1" indent="2"/>
    </xf>
    <xf numFmtId="2" fontId="89" fillId="0" borderId="0" xfId="0" applyNumberFormat="1" applyFont="1" applyAlignment="1">
      <alignment horizontal="left" vertical="center" wrapText="1" indent="1"/>
    </xf>
    <xf numFmtId="2" fontId="45" fillId="0" borderId="0" xfId="0" applyNumberFormat="1" applyFont="1" applyAlignment="1">
      <alignment horizontal="left" vertical="center" wrapText="1" indent="1"/>
    </xf>
    <xf numFmtId="2" fontId="45" fillId="0" borderId="3" xfId="0" applyNumberFormat="1" applyFont="1" applyBorder="1" applyAlignment="1">
      <alignment horizontal="left" vertical="center" wrapText="1" indent="1"/>
    </xf>
    <xf numFmtId="2" fontId="90" fillId="0" borderId="0" xfId="0" applyNumberFormat="1" applyFont="1" applyAlignment="1">
      <alignment vertical="center" wrapText="1"/>
    </xf>
    <xf numFmtId="2" fontId="31" fillId="0" borderId="4" xfId="0" applyNumberFormat="1" applyFont="1" applyBorder="1" applyAlignment="1">
      <alignment vertical="center" wrapText="1"/>
    </xf>
    <xf numFmtId="2" fontId="29" fillId="0" borderId="4" xfId="0" applyNumberFormat="1" applyFont="1" applyBorder="1" applyAlignment="1">
      <alignment horizontal="left" vertical="center" wrapText="1" indent="1"/>
    </xf>
    <xf numFmtId="2" fontId="31" fillId="0" borderId="6" xfId="0" applyNumberFormat="1" applyFont="1" applyBorder="1" applyAlignment="1">
      <alignment horizontal="left" vertical="center" wrapText="1" indent="1"/>
    </xf>
    <xf numFmtId="2" fontId="33" fillId="0" borderId="4" xfId="0" applyNumberFormat="1" applyFont="1" applyBorder="1" applyAlignment="1">
      <alignment horizontal="left" vertical="center" wrapText="1" indent="1"/>
    </xf>
    <xf numFmtId="2" fontId="33" fillId="0" borderId="6" xfId="0" applyNumberFormat="1" applyFont="1" applyBorder="1" applyAlignment="1">
      <alignment horizontal="left" vertical="center" wrapText="1" indent="1"/>
    </xf>
    <xf numFmtId="2" fontId="45" fillId="0" borderId="4" xfId="0" applyNumberFormat="1" applyFont="1" applyBorder="1" applyAlignment="1">
      <alignment horizontal="left" vertical="center" wrapText="1" indent="1"/>
    </xf>
    <xf numFmtId="2" fontId="44" fillId="0" borderId="4" xfId="0" applyNumberFormat="1" applyFont="1" applyBorder="1" applyAlignment="1">
      <alignment horizontal="left" vertical="center" wrapText="1" indent="2"/>
    </xf>
    <xf numFmtId="2" fontId="44" fillId="0" borderId="4" xfId="0" applyNumberFormat="1" applyFont="1" applyBorder="1" applyAlignment="1">
      <alignment horizontal="left" vertical="center" wrapText="1" indent="1"/>
    </xf>
    <xf numFmtId="2" fontId="45" fillId="0" borderId="6" xfId="0" applyNumberFormat="1" applyFont="1" applyBorder="1" applyAlignment="1">
      <alignment horizontal="left" vertical="center" wrapText="1" indent="1"/>
    </xf>
    <xf numFmtId="2" fontId="45" fillId="0" borderId="6" xfId="0" applyNumberFormat="1" applyFont="1" applyBorder="1" applyAlignment="1">
      <alignment vertical="center" wrapText="1"/>
    </xf>
    <xf numFmtId="2" fontId="54" fillId="0" borderId="4" xfId="0" applyNumberFormat="1" applyFont="1" applyBorder="1" applyAlignment="1">
      <alignment horizontal="left" vertical="center" wrapText="1" indent="1"/>
    </xf>
    <xf numFmtId="2" fontId="54" fillId="0" borderId="6" xfId="0" applyNumberFormat="1" applyFont="1" applyBorder="1" applyAlignment="1">
      <alignment horizontal="left" vertical="center" wrapText="1" indent="1"/>
    </xf>
    <xf numFmtId="2" fontId="33" fillId="0" borderId="6" xfId="0" applyNumberFormat="1" applyFont="1" applyBorder="1" applyAlignment="1">
      <alignment vertical="center" wrapText="1"/>
    </xf>
    <xf numFmtId="2" fontId="67" fillId="0" borderId="4" xfId="0" applyNumberFormat="1" applyFont="1" applyBorder="1" applyAlignment="1">
      <alignment horizontal="left" vertical="center" wrapText="1" indent="1"/>
    </xf>
    <xf numFmtId="2" fontId="66" fillId="0" borderId="4" xfId="0" applyNumberFormat="1" applyFont="1" applyBorder="1" applyAlignment="1">
      <alignment horizontal="left" vertical="center" wrapText="1" indent="1"/>
    </xf>
    <xf numFmtId="2" fontId="66" fillId="0" borderId="4" xfId="0" applyNumberFormat="1" applyFont="1" applyBorder="1" applyAlignment="1">
      <alignment horizontal="left" vertical="center" wrapText="1" indent="2"/>
    </xf>
    <xf numFmtId="2" fontId="67" fillId="0" borderId="6" xfId="0" applyNumberFormat="1" applyFont="1" applyBorder="1" applyAlignment="1">
      <alignment horizontal="left" vertical="center" wrapText="1" indent="1"/>
    </xf>
    <xf numFmtId="2" fontId="31" fillId="0" borderId="4" xfId="0" applyNumberFormat="1" applyFont="1" applyBorder="1" applyAlignment="1">
      <alignment horizontal="left" vertical="center" wrapText="1" indent="1"/>
    </xf>
    <xf numFmtId="2" fontId="74" fillId="0" borderId="4" xfId="0" applyNumberFormat="1" applyFont="1" applyBorder="1" applyAlignment="1">
      <alignment horizontal="left" vertical="center" wrapText="1" indent="1"/>
    </xf>
    <xf numFmtId="2" fontId="78" fillId="0" borderId="4" xfId="0" applyNumberFormat="1" applyFont="1" applyBorder="1" applyAlignment="1">
      <alignment horizontal="left" vertical="center" wrapText="1" indent="1"/>
    </xf>
    <xf numFmtId="2" fontId="78" fillId="0" borderId="6" xfId="0" applyNumberFormat="1" applyFont="1" applyBorder="1" applyAlignment="1">
      <alignment horizontal="left" vertical="center" wrapText="1" indent="1"/>
    </xf>
    <xf numFmtId="2" fontId="74" fillId="0" borderId="6" xfId="0" applyNumberFormat="1" applyFont="1" applyBorder="1" applyAlignment="1">
      <alignment horizontal="left" vertical="center" wrapText="1" indent="1"/>
    </xf>
    <xf numFmtId="2" fontId="90" fillId="0" borderId="4" xfId="0" applyNumberFormat="1" applyFont="1" applyBorder="1" applyAlignment="1">
      <alignment horizontal="left" vertical="center" wrapText="1" indent="1"/>
    </xf>
    <xf numFmtId="2" fontId="89" fillId="0" borderId="4" xfId="0" applyNumberFormat="1" applyFont="1" applyBorder="1" applyAlignment="1">
      <alignment horizontal="left" vertical="center" wrapText="1" indent="1"/>
    </xf>
    <xf numFmtId="2" fontId="89" fillId="0" borderId="4" xfId="0" applyNumberFormat="1" applyFont="1" applyBorder="1" applyAlignment="1">
      <alignment horizontal="left" vertical="center" wrapText="1" indent="2"/>
    </xf>
    <xf numFmtId="2" fontId="90" fillId="0" borderId="6" xfId="0" applyNumberFormat="1" applyFont="1" applyBorder="1" applyAlignment="1">
      <alignment horizontal="left" vertical="center" wrapText="1" indent="2"/>
    </xf>
    <xf numFmtId="2" fontId="90" fillId="0" borderId="4" xfId="0" applyNumberFormat="1" applyFont="1" applyBorder="1" applyAlignment="1">
      <alignment horizontal="left" vertical="center" wrapText="1" indent="2"/>
    </xf>
    <xf numFmtId="2" fontId="44" fillId="0" borderId="6" xfId="0" applyNumberFormat="1" applyFont="1" applyBorder="1" applyAlignment="1">
      <alignment horizontal="left" vertical="center" wrapText="1" indent="1"/>
    </xf>
    <xf numFmtId="2" fontId="90" fillId="0" borderId="6" xfId="0" applyNumberFormat="1" applyFont="1" applyBorder="1" applyAlignment="1">
      <alignment horizontal="left" vertical="center" wrapText="1" indent="1"/>
    </xf>
    <xf numFmtId="2" fontId="30" fillId="0" borderId="4" xfId="0" applyNumberFormat="1" applyFont="1" applyBorder="1" applyAlignment="1">
      <alignment horizontal="left" vertical="center" wrapText="1" indent="1"/>
    </xf>
    <xf numFmtId="2" fontId="90" fillId="0" borderId="6" xfId="0" applyNumberFormat="1" applyFont="1" applyBorder="1" applyAlignment="1">
      <alignment vertical="center" wrapText="1"/>
    </xf>
    <xf numFmtId="2" fontId="31" fillId="0" borderId="3" xfId="0" applyNumberFormat="1" applyFont="1" applyBorder="1" applyAlignment="1">
      <alignment horizontal="right" vertical="center" wrapText="1"/>
    </xf>
    <xf numFmtId="2" fontId="21" fillId="0" borderId="10" xfId="0" applyNumberFormat="1" applyFont="1" applyBorder="1" applyAlignment="1">
      <alignment vertical="center" wrapText="1"/>
    </xf>
    <xf numFmtId="2" fontId="31" fillId="0" borderId="0" xfId="0" applyNumberFormat="1" applyFont="1" applyAlignment="1">
      <alignment horizontal="right" vertical="center" wrapText="1"/>
    </xf>
    <xf numFmtId="2" fontId="0" fillId="0" borderId="0" xfId="0" applyNumberFormat="1" applyAlignment="1">
      <alignment vertical="center" wrapText="1"/>
    </xf>
    <xf numFmtId="2" fontId="45" fillId="0" borderId="3" xfId="0" applyNumberFormat="1" applyFont="1" applyBorder="1" applyAlignment="1">
      <alignment horizontal="right" vertical="center" wrapText="1"/>
    </xf>
    <xf numFmtId="2" fontId="44" fillId="0" borderId="0" xfId="0" applyNumberFormat="1" applyFont="1" applyAlignment="1">
      <alignment horizontal="right" vertical="center" wrapText="1"/>
    </xf>
    <xf numFmtId="2" fontId="44" fillId="0" borderId="3" xfId="0" applyNumberFormat="1" applyFont="1" applyBorder="1" applyAlignment="1">
      <alignment horizontal="center" vertical="center" wrapText="1"/>
    </xf>
    <xf numFmtId="2" fontId="45" fillId="0" borderId="0" xfId="0" applyNumberFormat="1" applyFont="1" applyAlignment="1">
      <alignment horizontal="right" vertical="center" wrapText="1"/>
    </xf>
    <xf numFmtId="2" fontId="44" fillId="0" borderId="3" xfId="0" applyNumberFormat="1" applyFont="1" applyBorder="1" applyAlignment="1">
      <alignment horizontal="right" vertical="center" wrapText="1"/>
    </xf>
    <xf numFmtId="2" fontId="54" fillId="0" borderId="3" xfId="0" applyNumberFormat="1" applyFont="1" applyBorder="1" applyAlignment="1">
      <alignment horizontal="right" vertical="center" wrapText="1"/>
    </xf>
    <xf numFmtId="2" fontId="54" fillId="0" borderId="0" xfId="0" applyNumberFormat="1" applyFont="1" applyAlignment="1">
      <alignment horizontal="right" vertical="center" wrapText="1"/>
    </xf>
    <xf numFmtId="2" fontId="33" fillId="0" borderId="3" xfId="0" applyNumberFormat="1" applyFont="1" applyBorder="1" applyAlignment="1">
      <alignment horizontal="right" vertical="center" wrapText="1"/>
    </xf>
    <xf numFmtId="2" fontId="66" fillId="0" borderId="3" xfId="0" applyNumberFormat="1" applyFont="1" applyBorder="1" applyAlignment="1">
      <alignment horizontal="right" vertical="center" wrapText="1"/>
    </xf>
    <xf numFmtId="2" fontId="66" fillId="0" borderId="0" xfId="0" applyNumberFormat="1" applyFont="1" applyAlignment="1">
      <alignment horizontal="right" vertical="center" wrapText="1"/>
    </xf>
    <xf numFmtId="2" fontId="67" fillId="0" borderId="3" xfId="0" applyNumberFormat="1" applyFont="1" applyBorder="1" applyAlignment="1">
      <alignment horizontal="right" vertical="center" wrapText="1"/>
    </xf>
    <xf numFmtId="2" fontId="67" fillId="0" borderId="0" xfId="0" applyNumberFormat="1" applyFont="1" applyAlignment="1">
      <alignment horizontal="right" vertical="center" wrapText="1"/>
    </xf>
    <xf numFmtId="2" fontId="78" fillId="0" borderId="3" xfId="0" applyNumberFormat="1" applyFont="1" applyBorder="1" applyAlignment="1">
      <alignment horizontal="right" vertical="center" wrapText="1"/>
    </xf>
    <xf numFmtId="2" fontId="30" fillId="0" borderId="3" xfId="0" applyNumberFormat="1" applyFont="1" applyBorder="1" applyAlignment="1">
      <alignment horizontal="left" vertical="center" wrapText="1" indent="1"/>
    </xf>
    <xf numFmtId="2" fontId="79" fillId="0" borderId="3" xfId="0" applyNumberFormat="1" applyFont="1" applyBorder="1" applyAlignment="1">
      <alignment horizontal="left" vertical="center" wrapText="1" indent="1"/>
    </xf>
    <xf numFmtId="2" fontId="90" fillId="0" borderId="3" xfId="0" applyNumberFormat="1" applyFont="1" applyBorder="1" applyAlignment="1">
      <alignment horizontal="right" vertical="center" wrapText="1"/>
    </xf>
    <xf numFmtId="2" fontId="90" fillId="0" borderId="3" xfId="0" applyNumberFormat="1" applyFont="1" applyBorder="1" applyAlignment="1">
      <alignment horizontal="center" vertical="center" wrapText="1"/>
    </xf>
    <xf numFmtId="2" fontId="89" fillId="0" borderId="3" xfId="0" applyNumberFormat="1" applyFont="1" applyBorder="1" applyAlignment="1">
      <alignment horizontal="center" vertical="center" wrapText="1"/>
    </xf>
    <xf numFmtId="2" fontId="90" fillId="0" borderId="0" xfId="0" applyNumberFormat="1" applyFont="1" applyAlignment="1">
      <alignment horizontal="right" vertical="center" wrapText="1"/>
    </xf>
    <xf numFmtId="2" fontId="90" fillId="0" borderId="0" xfId="0" applyNumberFormat="1" applyFont="1" applyAlignment="1">
      <alignment horizontal="left" vertical="center" wrapText="1" indent="3"/>
    </xf>
    <xf numFmtId="2" fontId="96" fillId="0" borderId="3" xfId="0" applyNumberFormat="1" applyFont="1" applyBorder="1" applyAlignment="1">
      <alignment horizontal="left" vertical="center" wrapText="1" indent="2"/>
    </xf>
    <xf numFmtId="2" fontId="44" fillId="0" borderId="0" xfId="0" applyNumberFormat="1" applyFont="1" applyAlignment="1">
      <alignment horizontal="left" vertical="center" wrapText="1" indent="2"/>
    </xf>
    <xf numFmtId="2" fontId="96" fillId="0" borderId="3" xfId="0" applyNumberFormat="1" applyFont="1" applyBorder="1" applyAlignment="1">
      <alignment horizontal="right" vertical="center" wrapText="1"/>
    </xf>
    <xf numFmtId="2" fontId="68" fillId="0" borderId="3" xfId="0" applyNumberFormat="1" applyFont="1" applyBorder="1" applyAlignment="1">
      <alignment horizontal="right" vertical="center" wrapText="1"/>
    </xf>
    <xf numFmtId="2" fontId="68" fillId="0" borderId="0" xfId="0" applyNumberFormat="1" applyFont="1" applyAlignment="1">
      <alignment horizontal="right" vertical="center" wrapText="1"/>
    </xf>
    <xf numFmtId="2" fontId="89" fillId="0" borderId="3" xfId="0" applyNumberFormat="1" applyFont="1" applyBorder="1" applyAlignment="1">
      <alignment horizontal="right" vertical="center" wrapText="1"/>
    </xf>
    <xf numFmtId="2" fontId="89" fillId="0" borderId="0" xfId="0" applyNumberFormat="1" applyFont="1" applyAlignment="1">
      <alignment horizontal="right" vertical="center" wrapText="1"/>
    </xf>
    <xf numFmtId="2" fontId="21" fillId="0" borderId="19" xfId="0" applyNumberFormat="1" applyFont="1" applyBorder="1" applyAlignment="1">
      <alignment vertical="center" wrapText="1"/>
    </xf>
    <xf numFmtId="2" fontId="30" fillId="0" borderId="3" xfId="0" applyNumberFormat="1" applyFont="1" applyBorder="1" applyAlignment="1">
      <alignment horizontal="left" vertical="center" wrapText="1" indent="2"/>
    </xf>
    <xf numFmtId="2" fontId="74" fillId="0" borderId="3" xfId="0" applyNumberFormat="1" applyFont="1" applyBorder="1" applyAlignment="1">
      <alignment horizontal="right" vertical="center" wrapText="1"/>
    </xf>
    <xf numFmtId="2" fontId="108" fillId="0" borderId="0" xfId="0" applyNumberFormat="1" applyFont="1" applyAlignment="1">
      <alignment horizontal="left" vertical="center" wrapText="1" indent="2"/>
    </xf>
    <xf numFmtId="2" fontId="74" fillId="0" borderId="3" xfId="0" applyNumberFormat="1" applyFont="1" applyBorder="1" applyAlignment="1">
      <alignment horizontal="left" vertical="center" wrapText="1" indent="2"/>
    </xf>
    <xf numFmtId="2" fontId="74" fillId="0" borderId="0" xfId="0" applyNumberFormat="1" applyFont="1" applyAlignment="1">
      <alignment horizontal="left" vertical="center" wrapText="1" indent="2"/>
    </xf>
    <xf numFmtId="2" fontId="67" fillId="0" borderId="0" xfId="0" applyNumberFormat="1" applyFont="1" applyAlignment="1">
      <alignment horizontal="left" vertical="center" wrapText="1" indent="2"/>
    </xf>
    <xf numFmtId="2" fontId="45" fillId="0" borderId="3" xfId="0" applyNumberFormat="1" applyFont="1" applyBorder="1" applyAlignment="1">
      <alignment horizontal="left" vertical="center" wrapText="1" indent="2"/>
    </xf>
    <xf numFmtId="2" fontId="45" fillId="0" borderId="0" xfId="0" applyNumberFormat="1" applyFont="1" applyAlignment="1">
      <alignment horizontal="left" vertical="center" wrapText="1" indent="2"/>
    </xf>
    <xf numFmtId="2" fontId="33" fillId="0" borderId="0" xfId="0" applyNumberFormat="1" applyFont="1" applyAlignment="1">
      <alignment horizontal="right" vertical="center" wrapText="1"/>
    </xf>
    <xf numFmtId="2" fontId="54" fillId="0" borderId="0" xfId="0" applyNumberFormat="1" applyFont="1" applyAlignment="1">
      <alignment horizontal="left" vertical="center" wrapText="1" indent="2"/>
    </xf>
    <xf numFmtId="2" fontId="68" fillId="0" borderId="0" xfId="0" applyNumberFormat="1" applyFont="1" applyAlignment="1">
      <alignment horizontal="left" vertical="center" wrapText="1" indent="3"/>
    </xf>
    <xf numFmtId="2" fontId="60" fillId="0" borderId="3" xfId="0" applyNumberFormat="1" applyFont="1" applyBorder="1" applyAlignment="1">
      <alignment horizontal="right" vertical="center" wrapText="1"/>
    </xf>
    <xf numFmtId="2" fontId="89" fillId="0" borderId="0" xfId="0" applyNumberFormat="1" applyFont="1" applyAlignment="1">
      <alignment horizontal="left" vertical="center" wrapText="1" indent="2"/>
    </xf>
    <xf numFmtId="2" fontId="96" fillId="0" borderId="0" xfId="0" applyNumberFormat="1" applyFont="1" applyAlignment="1">
      <alignment horizontal="left" vertical="center" wrapText="1" indent="2"/>
    </xf>
    <xf numFmtId="2" fontId="46" fillId="0" borderId="3" xfId="0" applyNumberFormat="1" applyFont="1" applyBorder="1" applyAlignment="1">
      <alignment horizontal="right" vertical="center" wrapText="1"/>
    </xf>
    <xf numFmtId="2" fontId="29" fillId="0" borderId="3" xfId="0" applyNumberFormat="1" applyFont="1" applyBorder="1" applyAlignment="1">
      <alignment horizontal="right" vertical="center" wrapText="1"/>
    </xf>
    <xf numFmtId="2" fontId="29" fillId="0" borderId="0" xfId="0" applyNumberFormat="1" applyFont="1" applyAlignment="1">
      <alignment horizontal="right" vertical="center" wrapText="1"/>
    </xf>
    <xf numFmtId="2" fontId="79" fillId="0" borderId="0" xfId="0" applyNumberFormat="1" applyFont="1" applyAlignment="1">
      <alignment horizontal="right" vertical="center" wrapText="1"/>
    </xf>
    <xf numFmtId="2" fontId="48" fillId="0" borderId="3" xfId="0" applyNumberFormat="1" applyFont="1" applyBorder="1" applyAlignment="1">
      <alignment horizontal="left" vertical="center" wrapText="1" indent="2"/>
    </xf>
    <xf numFmtId="2" fontId="54" fillId="0" borderId="3" xfId="0" applyNumberFormat="1" applyFont="1" applyBorder="1" applyAlignment="1">
      <alignment horizontal="left" vertical="center" wrapText="1" indent="2"/>
    </xf>
    <xf numFmtId="2" fontId="74" fillId="0" borderId="0" xfId="0" applyNumberFormat="1" applyFont="1" applyAlignment="1">
      <alignment horizontal="right" vertical="center" wrapText="1"/>
    </xf>
    <xf numFmtId="2" fontId="30" fillId="0" borderId="3" xfId="0" applyNumberFormat="1" applyFont="1" applyBorder="1" applyAlignment="1">
      <alignment horizontal="right" vertical="center" wrapText="1"/>
    </xf>
    <xf numFmtId="2" fontId="68" fillId="0" borderId="0" xfId="0" applyNumberFormat="1" applyFont="1" applyAlignment="1">
      <alignment horizontal="left" vertical="center" wrapText="1" indent="2"/>
    </xf>
    <xf numFmtId="2" fontId="99" fillId="0" borderId="3" xfId="0" applyNumberFormat="1" applyFont="1" applyBorder="1" applyAlignment="1">
      <alignment horizontal="left" vertical="center" wrapText="1" indent="2"/>
    </xf>
    <xf numFmtId="2" fontId="99" fillId="0" borderId="3" xfId="0" applyNumberFormat="1" applyFont="1" applyBorder="1" applyAlignment="1">
      <alignment horizontal="right" vertical="center" wrapText="1"/>
    </xf>
    <xf numFmtId="2" fontId="34" fillId="0" borderId="0" xfId="0" applyNumberFormat="1" applyFont="1" applyAlignment="1">
      <alignment horizontal="right" vertical="center" wrapText="1"/>
    </xf>
    <xf numFmtId="2" fontId="104" fillId="0" borderId="3" xfId="0" applyNumberFormat="1" applyFont="1" applyBorder="1" applyAlignment="1">
      <alignment horizontal="left" vertical="center" wrapText="1" indent="2"/>
    </xf>
    <xf numFmtId="2" fontId="104" fillId="0" borderId="0" xfId="0" applyNumberFormat="1" applyFont="1" applyAlignment="1">
      <alignment horizontal="left" vertical="center" wrapText="1" indent="2"/>
    </xf>
    <xf numFmtId="2" fontId="92" fillId="0" borderId="3" xfId="0" applyNumberFormat="1" applyFont="1" applyBorder="1" applyAlignment="1">
      <alignment horizontal="right" vertical="center" wrapText="1"/>
    </xf>
    <xf numFmtId="2" fontId="93" fillId="0" borderId="0" xfId="0" applyNumberFormat="1" applyFont="1" applyAlignment="1">
      <alignment horizontal="right" vertical="center" wrapText="1"/>
    </xf>
    <xf numFmtId="2" fontId="55" fillId="0" borderId="3" xfId="0" applyNumberFormat="1" applyFont="1" applyBorder="1" applyAlignment="1">
      <alignment horizontal="right" vertical="center" wrapText="1"/>
    </xf>
    <xf numFmtId="2" fontId="57" fillId="0" borderId="3" xfId="0" applyNumberFormat="1" applyFont="1" applyBorder="1" applyAlignment="1">
      <alignment horizontal="right" vertical="center" wrapText="1"/>
    </xf>
    <xf numFmtId="2" fontId="57" fillId="0" borderId="0" xfId="0" applyNumberFormat="1" applyFont="1" applyAlignment="1">
      <alignment horizontal="right" vertical="center" wrapText="1"/>
    </xf>
    <xf numFmtId="2" fontId="48" fillId="0" borderId="0" xfId="0" applyNumberFormat="1" applyFont="1" applyAlignment="1">
      <alignment horizontal="right" vertical="center" wrapText="1"/>
    </xf>
    <xf numFmtId="2" fontId="29" fillId="0" borderId="4" xfId="0" applyNumberFormat="1" applyFont="1" applyBorder="1" applyAlignment="1">
      <alignment horizontal="right" vertical="center" wrapText="1"/>
    </xf>
    <xf numFmtId="2" fontId="29" fillId="0" borderId="6" xfId="0" applyNumberFormat="1" applyFont="1" applyBorder="1" applyAlignment="1">
      <alignment horizontal="right" vertical="center" wrapText="1"/>
    </xf>
    <xf numFmtId="2" fontId="44" fillId="0" borderId="4" xfId="0" applyNumberFormat="1" applyFont="1" applyBorder="1" applyAlignment="1">
      <alignment horizontal="right" vertical="center" wrapText="1"/>
    </xf>
    <xf numFmtId="2" fontId="44" fillId="0" borderId="4" xfId="0" applyNumberFormat="1" applyFont="1" applyBorder="1" applyAlignment="1">
      <alignment horizontal="center" vertical="center" wrapText="1"/>
    </xf>
    <xf numFmtId="2" fontId="44" fillId="0" borderId="6" xfId="0" applyNumberFormat="1" applyFont="1" applyBorder="1" applyAlignment="1">
      <alignment horizontal="right" vertical="center" wrapText="1"/>
    </xf>
    <xf numFmtId="2" fontId="54" fillId="0" borderId="4" xfId="0" applyNumberFormat="1" applyFont="1" applyBorder="1" applyAlignment="1">
      <alignment horizontal="left" vertical="center" wrapText="1" indent="2"/>
    </xf>
    <xf numFmtId="2" fontId="44" fillId="0" borderId="14" xfId="0" applyNumberFormat="1" applyFont="1" applyBorder="1" applyAlignment="1">
      <alignment horizontal="right" vertical="center" wrapText="1"/>
    </xf>
    <xf numFmtId="2" fontId="44" fillId="0" borderId="14" xfId="0" applyNumberFormat="1" applyFont="1" applyBorder="1" applyAlignment="1">
      <alignment horizontal="left" vertical="center" wrapText="1" indent="1"/>
    </xf>
    <xf numFmtId="2" fontId="44" fillId="0" borderId="14" xfId="0" applyNumberFormat="1" applyFont="1" applyBorder="1" applyAlignment="1">
      <alignment horizontal="left" vertical="center" wrapText="1" indent="2"/>
    </xf>
    <xf numFmtId="2" fontId="66" fillId="0" borderId="0" xfId="0" applyNumberFormat="1" applyFont="1" applyAlignment="1">
      <alignment horizontal="left" vertical="center" wrapText="1" indent="2"/>
    </xf>
    <xf numFmtId="2" fontId="66" fillId="0" borderId="4" xfId="0" applyNumberFormat="1" applyFont="1" applyBorder="1" applyAlignment="1">
      <alignment horizontal="right" vertical="center" wrapText="1"/>
    </xf>
    <xf numFmtId="2" fontId="68" fillId="0" borderId="6" xfId="0" applyNumberFormat="1" applyFont="1" applyBorder="1" applyAlignment="1">
      <alignment horizontal="right" vertical="center" wrapText="1"/>
    </xf>
    <xf numFmtId="2" fontId="0" fillId="0" borderId="4" xfId="0" applyNumberFormat="1" applyBorder="1" applyAlignment="1">
      <alignment vertical="top" wrapText="1"/>
    </xf>
    <xf numFmtId="2" fontId="90" fillId="0" borderId="4" xfId="0" applyNumberFormat="1" applyFont="1" applyBorder="1" applyAlignment="1">
      <alignment horizontal="right" vertical="center" wrapText="1"/>
    </xf>
    <xf numFmtId="2" fontId="89" fillId="0" borderId="6" xfId="0" applyNumberFormat="1" applyFont="1" applyBorder="1" applyAlignment="1">
      <alignment horizontal="right" vertical="center" wrapText="1"/>
    </xf>
    <xf numFmtId="2" fontId="44" fillId="0" borderId="6" xfId="0" applyNumberFormat="1" applyFont="1" applyBorder="1" applyAlignment="1">
      <alignment horizontal="left" vertical="center" wrapText="1" indent="2"/>
    </xf>
    <xf numFmtId="2" fontId="89" fillId="0" borderId="6" xfId="0" applyNumberFormat="1" applyFont="1" applyBorder="1" applyAlignment="1">
      <alignment horizontal="left" vertical="center" wrapText="1" indent="2"/>
    </xf>
    <xf numFmtId="2" fontId="0" fillId="0" borderId="14" xfId="0" applyNumberFormat="1" applyBorder="1" applyAlignment="1">
      <alignment vertical="top" wrapText="1"/>
    </xf>
    <xf numFmtId="2" fontId="68" fillId="0" borderId="4" xfId="0" applyNumberFormat="1" applyFont="1" applyBorder="1" applyAlignment="1">
      <alignment horizontal="right" vertical="center" wrapText="1"/>
    </xf>
    <xf numFmtId="2" fontId="102" fillId="0" borderId="6" xfId="0" applyNumberFormat="1" applyFont="1" applyBorder="1" applyAlignment="1">
      <alignment horizontal="right" vertical="center" wrapText="1"/>
    </xf>
    <xf numFmtId="2" fontId="90" fillId="0" borderId="6" xfId="0" applyNumberFormat="1" applyFont="1" applyBorder="1" applyAlignment="1">
      <alignment horizontal="right" vertical="center" wrapText="1"/>
    </xf>
    <xf numFmtId="2" fontId="66" fillId="0" borderId="6" xfId="0" applyNumberFormat="1" applyFont="1" applyBorder="1" applyAlignment="1">
      <alignment horizontal="left" vertical="center" wrapText="1" indent="2"/>
    </xf>
    <xf numFmtId="2" fontId="21" fillId="0" borderId="4" xfId="0" applyNumberFormat="1" applyFont="1" applyBorder="1" applyAlignment="1">
      <alignment vertical="center" wrapText="1"/>
    </xf>
    <xf numFmtId="2" fontId="89" fillId="0" borderId="4" xfId="0" applyNumberFormat="1" applyFont="1" applyBorder="1" applyAlignment="1">
      <alignment horizontal="right" vertical="center" wrapText="1"/>
    </xf>
    <xf numFmtId="2" fontId="68" fillId="0" borderId="6" xfId="0" applyNumberFormat="1" applyFont="1" applyBorder="1" applyAlignment="1">
      <alignment horizontal="left" vertical="center" wrapText="1" indent="2"/>
    </xf>
    <xf numFmtId="2" fontId="54" fillId="0" borderId="14" xfId="0" applyNumberFormat="1" applyFont="1" applyBorder="1" applyAlignment="1">
      <alignment horizontal="left" vertical="center" wrapText="1" indent="2"/>
    </xf>
    <xf numFmtId="2" fontId="54" fillId="0" borderId="6" xfId="0" applyNumberFormat="1" applyFont="1" applyBorder="1" applyAlignment="1">
      <alignment horizontal="left" vertical="center" wrapText="1" indent="2"/>
    </xf>
    <xf numFmtId="2" fontId="90" fillId="0" borderId="14" xfId="0" applyNumberFormat="1" applyFont="1" applyBorder="1" applyAlignment="1">
      <alignment horizontal="left" vertical="center" wrapText="1" indent="2"/>
    </xf>
    <xf numFmtId="165" fontId="0" fillId="0" borderId="3" xfId="0" applyNumberFormat="1" applyBorder="1" applyAlignment="1">
      <alignment vertical="top" wrapText="1"/>
    </xf>
    <xf numFmtId="165" fontId="34" fillId="0" borderId="3" xfId="0" applyNumberFormat="1" applyFont="1" applyBorder="1" applyAlignment="1">
      <alignment horizontal="justify" vertical="center" wrapText="1"/>
    </xf>
    <xf numFmtId="165" fontId="79" fillId="0" borderId="3" xfId="0" applyNumberFormat="1" applyFont="1" applyBorder="1" applyAlignment="1">
      <alignment horizontal="justify" vertical="center" wrapText="1"/>
    </xf>
    <xf numFmtId="165" fontId="30" fillId="0" borderId="3" xfId="0" applyNumberFormat="1" applyFont="1" applyFill="1" applyBorder="1" applyAlignment="1">
      <alignment horizontal="left" vertical="center" wrapText="1" indent="1"/>
    </xf>
    <xf numFmtId="165" fontId="79" fillId="0" borderId="3" xfId="0" applyNumberFormat="1" applyFont="1" applyBorder="1" applyAlignment="1">
      <alignment horizontal="left" vertical="center" wrapText="1" indent="1"/>
    </xf>
    <xf numFmtId="165" fontId="44" fillId="0" borderId="3" xfId="0" applyNumberFormat="1" applyFont="1" applyBorder="1" applyAlignment="1">
      <alignment horizontal="left" vertical="center" wrapText="1" indent="1"/>
    </xf>
    <xf numFmtId="165" fontId="99" fillId="0" borderId="3" xfId="0" applyNumberFormat="1" applyFont="1" applyBorder="1" applyAlignment="1">
      <alignment horizontal="left" vertical="center" wrapText="1" indent="1"/>
    </xf>
    <xf numFmtId="165" fontId="30" fillId="0" borderId="3" xfId="0" applyNumberFormat="1" applyFont="1" applyBorder="1" applyAlignment="1">
      <alignment horizontal="justify" vertical="center" wrapText="1"/>
    </xf>
    <xf numFmtId="165" fontId="99" fillId="0" borderId="3" xfId="0" applyNumberFormat="1" applyFont="1" applyFill="1" applyBorder="1" applyAlignment="1">
      <alignment horizontal="left" vertical="center" wrapText="1" indent="1"/>
    </xf>
    <xf numFmtId="165" fontId="44" fillId="0" borderId="3" xfId="0" applyNumberFormat="1" applyFont="1" applyFill="1" applyBorder="1" applyAlignment="1">
      <alignment horizontal="left" vertical="center" wrapText="1" indent="1"/>
    </xf>
    <xf numFmtId="165" fontId="30" fillId="0" borderId="3" xfId="0" applyNumberFormat="1" applyFont="1" applyBorder="1" applyAlignment="1">
      <alignment horizontal="left" vertical="center" wrapText="1" indent="1"/>
    </xf>
    <xf numFmtId="169" fontId="44" fillId="0" borderId="3" xfId="0" applyNumberFormat="1" applyFont="1" applyBorder="1" applyAlignment="1">
      <alignment horizontal="left" vertical="center" wrapText="1" indent="1"/>
    </xf>
    <xf numFmtId="169" fontId="44" fillId="0" borderId="3" xfId="0" applyNumberFormat="1" applyFont="1" applyFill="1" applyBorder="1" applyAlignment="1">
      <alignment horizontal="left" vertical="center" wrapText="1" indent="1"/>
    </xf>
    <xf numFmtId="2" fontId="90" fillId="0" borderId="12" xfId="0" applyNumberFormat="1" applyFont="1" applyBorder="1" applyAlignment="1">
      <alignment vertical="center" wrapText="1"/>
    </xf>
    <xf numFmtId="2" fontId="89" fillId="0" borderId="19" xfId="0" applyNumberFormat="1" applyFont="1" applyBorder="1" applyAlignment="1">
      <alignment vertical="center" wrapText="1"/>
    </xf>
    <xf numFmtId="2" fontId="90" fillId="0" borderId="19" xfId="0" applyNumberFormat="1" applyFont="1" applyBorder="1" applyAlignment="1">
      <alignment vertical="center" wrapText="1"/>
    </xf>
    <xf numFmtId="2" fontId="89" fillId="0" borderId="11" xfId="0" applyNumberFormat="1" applyFont="1" applyBorder="1" applyAlignment="1">
      <alignment vertical="center" wrapText="1"/>
    </xf>
    <xf numFmtId="2" fontId="90" fillId="0" borderId="11" xfId="0" applyNumberFormat="1" applyFont="1" applyBorder="1" applyAlignment="1">
      <alignment vertical="center" wrapText="1"/>
    </xf>
    <xf numFmtId="2" fontId="34" fillId="0" borderId="11" xfId="0" applyNumberFormat="1" applyFont="1" applyBorder="1" applyAlignment="1">
      <alignment vertical="center" wrapText="1"/>
    </xf>
    <xf numFmtId="2" fontId="90" fillId="0" borderId="20" xfId="0" applyNumberFormat="1" applyFont="1" applyBorder="1" applyAlignment="1">
      <alignment vertical="center" wrapText="1"/>
    </xf>
    <xf numFmtId="2" fontId="44" fillId="0" borderId="12" xfId="0" applyNumberFormat="1" applyFont="1" applyBorder="1" applyAlignment="1">
      <alignment vertical="center" wrapText="1"/>
    </xf>
    <xf numFmtId="2" fontId="44" fillId="0" borderId="19" xfId="0" applyNumberFormat="1" applyFont="1" applyBorder="1" applyAlignment="1">
      <alignment vertical="center" wrapText="1"/>
    </xf>
    <xf numFmtId="2" fontId="44" fillId="0" borderId="11" xfId="0" applyNumberFormat="1" applyFont="1" applyBorder="1" applyAlignment="1">
      <alignment vertical="center" wrapText="1"/>
    </xf>
    <xf numFmtId="2" fontId="74" fillId="0" borderId="11" xfId="0" applyNumberFormat="1" applyFont="1" applyBorder="1" applyAlignment="1">
      <alignment vertical="center" wrapText="1"/>
    </xf>
    <xf numFmtId="2" fontId="73" fillId="0" borderId="11" xfId="0" applyNumberFormat="1" applyFont="1" applyBorder="1" applyAlignment="1">
      <alignment vertical="center" wrapText="1"/>
    </xf>
    <xf numFmtId="2" fontId="44" fillId="0" borderId="20" xfId="0" applyNumberFormat="1" applyFont="1" applyBorder="1" applyAlignment="1">
      <alignment vertical="center" wrapText="1"/>
    </xf>
    <xf numFmtId="2" fontId="96" fillId="0" borderId="11" xfId="0" applyNumberFormat="1" applyFont="1" applyBorder="1" applyAlignment="1">
      <alignment vertical="center" wrapText="1"/>
    </xf>
    <xf numFmtId="2" fontId="79" fillId="0" borderId="11" xfId="0" applyNumberFormat="1" applyFont="1" applyBorder="1" applyAlignment="1">
      <alignment vertical="center" wrapText="1"/>
    </xf>
    <xf numFmtId="2" fontId="89" fillId="0" borderId="12" xfId="0" applyNumberFormat="1" applyFont="1" applyBorder="1" applyAlignment="1">
      <alignment vertical="center" wrapText="1"/>
    </xf>
    <xf numFmtId="165" fontId="29" fillId="0" borderId="3" xfId="0" applyNumberFormat="1" applyFont="1" applyBorder="1" applyAlignment="1">
      <alignment horizontal="left" vertical="center" wrapText="1" indent="1"/>
    </xf>
    <xf numFmtId="165" fontId="29" fillId="0" borderId="4" xfId="0" applyNumberFormat="1" applyFont="1" applyBorder="1" applyAlignment="1">
      <alignment horizontal="left" vertical="center" wrapText="1" indent="1"/>
    </xf>
    <xf numFmtId="165" fontId="29" fillId="0" borderId="3" xfId="0" applyNumberFormat="1" applyFont="1" applyBorder="1" applyAlignment="1">
      <alignment horizontal="center" vertical="center" wrapText="1"/>
    </xf>
    <xf numFmtId="165" fontId="29" fillId="0" borderId="19" xfId="0" applyNumberFormat="1" applyFont="1" applyBorder="1" applyAlignment="1">
      <alignment vertical="center" wrapText="1"/>
    </xf>
    <xf numFmtId="165" fontId="29" fillId="0" borderId="4" xfId="0" applyNumberFormat="1" applyFont="1" applyBorder="1" applyAlignment="1">
      <alignment horizontal="center" vertical="center" wrapText="1"/>
    </xf>
    <xf numFmtId="169" fontId="29" fillId="0" borderId="3" xfId="0" applyNumberFormat="1" applyFont="1" applyBorder="1" applyAlignment="1">
      <alignment horizontal="left" vertical="center" wrapText="1" indent="1"/>
    </xf>
    <xf numFmtId="169" fontId="29" fillId="0" borderId="4" xfId="0" applyNumberFormat="1" applyFont="1" applyBorder="1" applyAlignment="1">
      <alignment horizontal="left" vertical="center" wrapText="1" indent="1"/>
    </xf>
    <xf numFmtId="169" fontId="29" fillId="0" borderId="3" xfId="0" applyNumberFormat="1" applyFont="1" applyBorder="1" applyAlignment="1">
      <alignment horizontal="center" vertical="center" wrapText="1"/>
    </xf>
    <xf numFmtId="169" fontId="29" fillId="0" borderId="19" xfId="0" applyNumberFormat="1" applyFont="1" applyBorder="1" applyAlignment="1">
      <alignment vertical="center" wrapText="1"/>
    </xf>
    <xf numFmtId="169" fontId="29" fillId="0" borderId="4" xfId="0" applyNumberFormat="1" applyFont="1" applyBorder="1" applyAlignment="1">
      <alignment horizontal="center" vertical="center" wrapText="1"/>
    </xf>
    <xf numFmtId="164" fontId="29" fillId="0" borderId="3" xfId="0" applyNumberFormat="1" applyFont="1" applyBorder="1" applyAlignment="1">
      <alignment horizontal="left" vertical="center" wrapText="1" indent="1"/>
    </xf>
    <xf numFmtId="164" fontId="29" fillId="0" borderId="4" xfId="0" applyNumberFormat="1" applyFont="1" applyBorder="1" applyAlignment="1">
      <alignment horizontal="left" vertical="center" wrapText="1" indent="1"/>
    </xf>
    <xf numFmtId="164" fontId="29" fillId="0" borderId="19" xfId="0" applyNumberFormat="1" applyFont="1" applyBorder="1" applyAlignment="1">
      <alignment vertical="center" wrapText="1"/>
    </xf>
    <xf numFmtId="169" fontId="31" fillId="0" borderId="3" xfId="0" applyNumberFormat="1" applyFont="1" applyBorder="1" applyAlignment="1">
      <alignment horizontal="center" vertical="center" wrapText="1"/>
    </xf>
    <xf numFmtId="165" fontId="31" fillId="0" borderId="3" xfId="0" applyNumberFormat="1" applyFont="1" applyBorder="1" applyAlignment="1">
      <alignment horizontal="center" vertical="center" wrapText="1"/>
    </xf>
    <xf numFmtId="169" fontId="31" fillId="0" borderId="4" xfId="0" applyNumberFormat="1" applyFont="1" applyBorder="1" applyAlignment="1">
      <alignment horizontal="center" vertical="center" wrapText="1"/>
    </xf>
    <xf numFmtId="164" fontId="29" fillId="0" borderId="3" xfId="0" applyNumberFormat="1" applyFont="1" applyBorder="1" applyAlignment="1">
      <alignment horizontal="left" vertical="center" wrapText="1" indent="2"/>
    </xf>
    <xf numFmtId="164" fontId="29" fillId="0" borderId="4" xfId="0" applyNumberFormat="1" applyFont="1" applyBorder="1" applyAlignment="1">
      <alignment horizontal="left" vertical="center" wrapText="1" indent="2"/>
    </xf>
    <xf numFmtId="165" fontId="31" fillId="0" borderId="4" xfId="0" applyNumberFormat="1" applyFont="1" applyBorder="1" applyAlignment="1">
      <alignment horizontal="left" vertical="center" wrapText="1" indent="1"/>
    </xf>
    <xf numFmtId="164" fontId="34" fillId="0" borderId="3" xfId="0" applyNumberFormat="1" applyFont="1" applyBorder="1" applyAlignment="1">
      <alignment horizontal="left" vertical="center" wrapText="1" indent="1"/>
    </xf>
    <xf numFmtId="164" fontId="30" fillId="0" borderId="3" xfId="0" applyNumberFormat="1" applyFont="1" applyBorder="1" applyAlignment="1">
      <alignment horizontal="left" vertical="center" wrapText="1" indent="1"/>
    </xf>
    <xf numFmtId="1" fontId="31" fillId="0" borderId="0" xfId="0" applyNumberFormat="1" applyFont="1" applyAlignment="1">
      <alignment horizontal="right" vertical="center" wrapText="1"/>
    </xf>
    <xf numFmtId="1" fontId="31" fillId="0" borderId="20" xfId="0" applyNumberFormat="1" applyFont="1" applyBorder="1" applyAlignment="1">
      <alignment vertical="center" wrapText="1"/>
    </xf>
    <xf numFmtId="1" fontId="33" fillId="0" borderId="0" xfId="0" applyNumberFormat="1" applyFont="1" applyAlignment="1">
      <alignment horizontal="right" vertical="center" wrapText="1"/>
    </xf>
    <xf numFmtId="1" fontId="29" fillId="0" borderId="0" xfId="0" applyNumberFormat="1" applyFont="1" applyAlignment="1">
      <alignment horizontal="right" vertical="center" wrapText="1"/>
    </xf>
    <xf numFmtId="1" fontId="29" fillId="0" borderId="6" xfId="0" applyNumberFormat="1" applyFont="1" applyBorder="1" applyAlignment="1">
      <alignment horizontal="right" vertical="center" wrapText="1"/>
    </xf>
    <xf numFmtId="169" fontId="31" fillId="0" borderId="3" xfId="0" applyNumberFormat="1" applyFont="1" applyBorder="1" applyAlignment="1">
      <alignment horizontal="left" vertical="center" wrapText="1" indent="1"/>
    </xf>
    <xf numFmtId="165" fontId="31" fillId="0" borderId="3" xfId="0" applyNumberFormat="1" applyFont="1" applyBorder="1" applyAlignment="1">
      <alignment horizontal="left" vertical="center" wrapText="1" indent="1"/>
    </xf>
    <xf numFmtId="164" fontId="34" fillId="0" borderId="3" xfId="0" applyNumberFormat="1" applyFont="1" applyBorder="1" applyAlignment="1">
      <alignment horizontal="left" vertical="center" wrapText="1" indent="2"/>
    </xf>
    <xf numFmtId="165" fontId="30" fillId="0" borderId="3" xfId="0" applyNumberFormat="1" applyFont="1" applyBorder="1" applyAlignment="1">
      <alignment horizontal="center" vertical="center" wrapText="1"/>
    </xf>
    <xf numFmtId="165" fontId="34" fillId="0" borderId="3" xfId="0" applyNumberFormat="1" applyFont="1" applyBorder="1" applyAlignment="1">
      <alignment horizontal="center" vertical="center" wrapText="1"/>
    </xf>
    <xf numFmtId="164" fontId="29" fillId="0" borderId="3" xfId="0" applyNumberFormat="1" applyFont="1" applyBorder="1" applyAlignment="1">
      <alignment horizontal="left" vertical="center" wrapText="1"/>
    </xf>
    <xf numFmtId="164" fontId="0" fillId="0" borderId="0" xfId="0" applyNumberFormat="1"/>
    <xf numFmtId="165" fontId="34" fillId="0" borderId="3" xfId="0" applyNumberFormat="1" applyFont="1" applyBorder="1" applyAlignment="1">
      <alignment horizontal="left" vertical="center" wrapText="1" indent="1"/>
    </xf>
    <xf numFmtId="169" fontId="46" fillId="0" borderId="4" xfId="0" applyNumberFormat="1" applyFont="1" applyBorder="1" applyAlignment="1">
      <alignment horizontal="left" vertical="center" wrapText="1" indent="1"/>
    </xf>
    <xf numFmtId="169" fontId="46" fillId="0" borderId="3" xfId="0" applyNumberFormat="1" applyFont="1" applyBorder="1" applyAlignment="1">
      <alignment horizontal="left" vertical="center" wrapText="1" indent="1"/>
    </xf>
    <xf numFmtId="164" fontId="46" fillId="0" borderId="3" xfId="0" applyNumberFormat="1" applyFont="1" applyBorder="1" applyAlignment="1">
      <alignment horizontal="left" vertical="center" wrapText="1" indent="1"/>
    </xf>
    <xf numFmtId="164" fontId="44" fillId="0" borderId="4" xfId="0" applyNumberFormat="1" applyFont="1" applyBorder="1" applyAlignment="1">
      <alignment horizontal="left" vertical="center" wrapText="1" indent="2"/>
    </xf>
    <xf numFmtId="164" fontId="44" fillId="0" borderId="3" xfId="0" applyNumberFormat="1" applyFont="1" applyBorder="1" applyAlignment="1">
      <alignment horizontal="left" vertical="center" wrapText="1" indent="1"/>
    </xf>
    <xf numFmtId="164" fontId="44" fillId="0" borderId="3" xfId="0" applyNumberFormat="1" applyFont="1" applyBorder="1" applyAlignment="1">
      <alignment horizontal="left" vertical="center" wrapText="1" indent="2"/>
    </xf>
    <xf numFmtId="164" fontId="45" fillId="0" borderId="3" xfId="0" applyNumberFormat="1" applyFont="1" applyBorder="1" applyAlignment="1">
      <alignment horizontal="left" vertical="center" wrapText="1" indent="1"/>
    </xf>
    <xf numFmtId="169" fontId="44" fillId="0" borderId="4" xfId="0" applyNumberFormat="1" applyFont="1" applyBorder="1" applyAlignment="1">
      <alignment horizontal="left" vertical="center" wrapText="1" indent="1"/>
    </xf>
    <xf numFmtId="165" fontId="44" fillId="0" borderId="4" xfId="0" applyNumberFormat="1" applyFont="1" applyBorder="1" applyAlignment="1">
      <alignment horizontal="left" vertical="center" wrapText="1" indent="1"/>
    </xf>
    <xf numFmtId="165" fontId="46" fillId="0" borderId="3" xfId="0" applyNumberFormat="1" applyFont="1" applyBorder="1" applyAlignment="1">
      <alignment horizontal="left" vertical="center" wrapText="1" indent="1"/>
    </xf>
    <xf numFmtId="165" fontId="45" fillId="0" borderId="4" xfId="0" applyNumberFormat="1" applyFont="1" applyBorder="1" applyAlignment="1">
      <alignment horizontal="left" vertical="center" wrapText="1" indent="1"/>
    </xf>
    <xf numFmtId="165" fontId="47" fillId="0" borderId="3" xfId="0" applyNumberFormat="1" applyFont="1" applyBorder="1" applyAlignment="1">
      <alignment horizontal="left" vertical="center" wrapText="1" indent="1"/>
    </xf>
    <xf numFmtId="164" fontId="44" fillId="0" borderId="3" xfId="0" applyNumberFormat="1" applyFont="1" applyBorder="1" applyAlignment="1">
      <alignment horizontal="center" vertical="center" wrapText="1"/>
    </xf>
    <xf numFmtId="164" fontId="46" fillId="0" borderId="4" xfId="0" applyNumberFormat="1" applyFont="1" applyBorder="1" applyAlignment="1">
      <alignment horizontal="center" vertical="center" wrapText="1"/>
    </xf>
    <xf numFmtId="164" fontId="46" fillId="0" borderId="3" xfId="0" applyNumberFormat="1" applyFont="1" applyBorder="1" applyAlignment="1">
      <alignment horizontal="center" vertical="center" wrapText="1"/>
    </xf>
    <xf numFmtId="164" fontId="46" fillId="0" borderId="3" xfId="0" applyNumberFormat="1" applyFont="1" applyBorder="1" applyAlignment="1">
      <alignment horizontal="left" vertical="center" wrapText="1" indent="2"/>
    </xf>
    <xf numFmtId="164" fontId="47" fillId="0" borderId="3" xfId="0" applyNumberFormat="1" applyFont="1" applyBorder="1" applyAlignment="1">
      <alignment horizontal="left" vertical="center" wrapText="1" indent="2"/>
    </xf>
    <xf numFmtId="169" fontId="44" fillId="0" borderId="3" xfId="0" applyNumberFormat="1" applyFont="1" applyBorder="1" applyAlignment="1">
      <alignment horizontal="center" vertical="center" wrapText="1"/>
    </xf>
    <xf numFmtId="169" fontId="46" fillId="0" borderId="4" xfId="0" applyNumberFormat="1" applyFont="1" applyBorder="1" applyAlignment="1">
      <alignment horizontal="center" vertical="center" wrapText="1"/>
    </xf>
    <xf numFmtId="164" fontId="44" fillId="0" borderId="4" xfId="0" applyNumberFormat="1" applyFont="1" applyBorder="1" applyAlignment="1">
      <alignment horizontal="left" vertical="center" wrapText="1" indent="1"/>
    </xf>
    <xf numFmtId="169" fontId="46" fillId="0" borderId="3" xfId="0" applyNumberFormat="1" applyFont="1" applyBorder="1" applyAlignment="1">
      <alignment horizontal="center" vertical="center" wrapText="1"/>
    </xf>
    <xf numFmtId="169" fontId="45" fillId="0" borderId="3" xfId="0" applyNumberFormat="1" applyFont="1" applyBorder="1" applyAlignment="1">
      <alignment horizontal="center" vertical="center" wrapText="1"/>
    </xf>
    <xf numFmtId="169" fontId="44" fillId="0" borderId="4" xfId="0" applyNumberFormat="1" applyFont="1" applyBorder="1" applyAlignment="1">
      <alignment horizontal="center" vertical="center" wrapText="1"/>
    </xf>
    <xf numFmtId="165" fontId="44" fillId="0" borderId="3" xfId="0" applyNumberFormat="1" applyFont="1" applyBorder="1" applyAlignment="1">
      <alignment horizontal="center" vertical="center" wrapText="1"/>
    </xf>
    <xf numFmtId="165" fontId="46" fillId="0" borderId="3" xfId="0" applyNumberFormat="1" applyFont="1" applyBorder="1" applyAlignment="1">
      <alignment horizontal="center" vertical="center" wrapText="1"/>
    </xf>
    <xf numFmtId="165" fontId="45" fillId="0" borderId="3" xfId="0" applyNumberFormat="1" applyFont="1" applyBorder="1" applyAlignment="1">
      <alignment horizontal="center" vertical="center" wrapText="1"/>
    </xf>
    <xf numFmtId="165" fontId="44" fillId="0" borderId="4" xfId="0" applyNumberFormat="1" applyFont="1" applyBorder="1" applyAlignment="1">
      <alignment horizontal="center" vertical="center" wrapText="1"/>
    </xf>
    <xf numFmtId="165" fontId="47" fillId="0" borderId="3" xfId="0" applyNumberFormat="1" applyFont="1" applyBorder="1" applyAlignment="1">
      <alignment horizontal="center" vertical="center" wrapText="1"/>
    </xf>
    <xf numFmtId="169" fontId="45" fillId="0" borderId="4" xfId="0" applyNumberFormat="1" applyFont="1" applyBorder="1" applyAlignment="1">
      <alignment horizontal="center" vertical="center" wrapText="1"/>
    </xf>
    <xf numFmtId="169" fontId="45" fillId="0" borderId="3" xfId="0" applyNumberFormat="1" applyFont="1" applyBorder="1" applyAlignment="1">
      <alignment horizontal="left" vertical="center" wrapText="1" indent="1"/>
    </xf>
    <xf numFmtId="165" fontId="45" fillId="0" borderId="3" xfId="0" applyNumberFormat="1" applyFont="1" applyBorder="1" applyAlignment="1">
      <alignment horizontal="left" vertical="center" wrapText="1" indent="1"/>
    </xf>
    <xf numFmtId="164" fontId="47" fillId="0" borderId="3" xfId="0" applyNumberFormat="1" applyFont="1" applyBorder="1" applyAlignment="1">
      <alignment horizontal="left" vertical="center" wrapText="1" indent="1"/>
    </xf>
    <xf numFmtId="165" fontId="55" fillId="0" borderId="3" xfId="0" applyNumberFormat="1" applyFont="1" applyBorder="1" applyAlignment="1">
      <alignment horizontal="center" vertical="center" wrapText="1"/>
    </xf>
    <xf numFmtId="164" fontId="55" fillId="0" borderId="3" xfId="0" applyNumberFormat="1" applyFont="1" applyBorder="1" applyAlignment="1">
      <alignment horizontal="left" vertical="center" wrapText="1" indent="1"/>
    </xf>
    <xf numFmtId="165" fontId="55" fillId="0" borderId="3" xfId="0" applyNumberFormat="1" applyFont="1" applyBorder="1" applyAlignment="1">
      <alignment horizontal="left" vertical="center" wrapText="1" indent="1"/>
    </xf>
    <xf numFmtId="164" fontId="54" fillId="0" borderId="3" xfId="0" applyNumberFormat="1" applyFont="1" applyBorder="1" applyAlignment="1">
      <alignment horizontal="left" vertical="center" wrapText="1" indent="2"/>
    </xf>
    <xf numFmtId="164" fontId="54" fillId="0" borderId="4" xfId="0" applyNumberFormat="1" applyFont="1" applyBorder="1" applyAlignment="1">
      <alignment horizontal="left" vertical="center" wrapText="1" indent="2"/>
    </xf>
    <xf numFmtId="165" fontId="54" fillId="0" borderId="3" xfId="0" applyNumberFormat="1" applyFont="1" applyBorder="1" applyAlignment="1">
      <alignment horizontal="center" vertical="center" wrapText="1"/>
    </xf>
    <xf numFmtId="165" fontId="54" fillId="0" borderId="4" xfId="0" applyNumberFormat="1" applyFont="1" applyBorder="1" applyAlignment="1">
      <alignment horizontal="center" vertical="center" wrapText="1"/>
    </xf>
    <xf numFmtId="169" fontId="54" fillId="0" borderId="3" xfId="0" applyNumberFormat="1" applyFont="1" applyBorder="1" applyAlignment="1">
      <alignment horizontal="center" vertical="center" wrapText="1"/>
    </xf>
    <xf numFmtId="164" fontId="55" fillId="0" borderId="3" xfId="0" applyNumberFormat="1" applyFont="1" applyBorder="1" applyAlignment="1">
      <alignment horizontal="left" vertical="center" wrapText="1" indent="2"/>
    </xf>
    <xf numFmtId="164" fontId="30" fillId="0" borderId="3" xfId="0" applyNumberFormat="1" applyFont="1" applyBorder="1" applyAlignment="1">
      <alignment horizontal="left" vertical="center" wrapText="1" indent="2"/>
    </xf>
    <xf numFmtId="169" fontId="54" fillId="0" borderId="3" xfId="0" applyNumberFormat="1" applyFont="1" applyBorder="1" applyAlignment="1">
      <alignment horizontal="left" vertical="center" wrapText="1" indent="1"/>
    </xf>
    <xf numFmtId="169" fontId="54" fillId="0" borderId="4" xfId="0" applyNumberFormat="1" applyFont="1" applyBorder="1" applyAlignment="1">
      <alignment horizontal="left" vertical="center" wrapText="1" indent="1"/>
    </xf>
    <xf numFmtId="165" fontId="54" fillId="0" borderId="3" xfId="0" applyNumberFormat="1" applyFont="1" applyBorder="1" applyAlignment="1">
      <alignment horizontal="left" vertical="center" wrapText="1" indent="1"/>
    </xf>
    <xf numFmtId="165" fontId="54" fillId="0" borderId="4" xfId="0" applyNumberFormat="1" applyFont="1" applyBorder="1" applyAlignment="1">
      <alignment horizontal="left" vertical="center" wrapText="1" indent="1"/>
    </xf>
    <xf numFmtId="165" fontId="30" fillId="0" borderId="4" xfId="0" applyNumberFormat="1" applyFont="1" applyBorder="1" applyAlignment="1">
      <alignment horizontal="left" vertical="center" wrapText="1" indent="1"/>
    </xf>
    <xf numFmtId="169" fontId="60" fillId="0" borderId="4" xfId="0" applyNumberFormat="1" applyFont="1" applyBorder="1" applyAlignment="1">
      <alignment horizontal="left" vertical="center" wrapText="1" indent="1"/>
    </xf>
    <xf numFmtId="169" fontId="60" fillId="0" borderId="3" xfId="0" applyNumberFormat="1" applyFont="1" applyBorder="1" applyAlignment="1">
      <alignment horizontal="left" vertical="center" wrapText="1" indent="1"/>
    </xf>
    <xf numFmtId="169" fontId="60" fillId="0" borderId="14" xfId="0" applyNumberFormat="1" applyFont="1" applyBorder="1" applyAlignment="1">
      <alignment horizontal="left" vertical="center" wrapText="1" indent="1"/>
    </xf>
    <xf numFmtId="164" fontId="60" fillId="0" borderId="3" xfId="0" applyNumberFormat="1" applyFont="1" applyBorder="1" applyAlignment="1">
      <alignment horizontal="left" vertical="center" wrapText="1" indent="1"/>
    </xf>
    <xf numFmtId="164" fontId="45" fillId="0" borderId="14" xfId="0" applyNumberFormat="1" applyFont="1" applyBorder="1" applyAlignment="1">
      <alignment horizontal="left" vertical="center" wrapText="1" indent="1"/>
    </xf>
    <xf numFmtId="165" fontId="60" fillId="0" borderId="3" xfId="0" applyNumberFormat="1" applyFont="1" applyBorder="1" applyAlignment="1">
      <alignment horizontal="left" vertical="center" wrapText="1" indent="1"/>
    </xf>
    <xf numFmtId="165" fontId="44" fillId="0" borderId="14" xfId="0" applyNumberFormat="1" applyFont="1" applyBorder="1" applyAlignment="1">
      <alignment horizontal="left" vertical="center" wrapText="1" indent="1"/>
    </xf>
    <xf numFmtId="169" fontId="44" fillId="0" borderId="14" xfId="0" applyNumberFormat="1" applyFont="1" applyBorder="1" applyAlignment="1">
      <alignment horizontal="left" vertical="center" wrapText="1" indent="1"/>
    </xf>
    <xf numFmtId="165" fontId="60" fillId="0" borderId="14" xfId="0" applyNumberFormat="1" applyFont="1" applyBorder="1" applyAlignment="1">
      <alignment horizontal="left" vertical="center" wrapText="1" indent="1"/>
    </xf>
    <xf numFmtId="164" fontId="60" fillId="0" borderId="4" xfId="0" applyNumberFormat="1" applyFont="1" applyBorder="1" applyAlignment="1">
      <alignment horizontal="left" vertical="center" wrapText="1" indent="2"/>
    </xf>
    <xf numFmtId="164" fontId="60" fillId="0" borderId="3" xfId="0" applyNumberFormat="1" applyFont="1" applyBorder="1" applyAlignment="1">
      <alignment horizontal="left" vertical="center" wrapText="1" indent="2"/>
    </xf>
    <xf numFmtId="164" fontId="44" fillId="0" borderId="14" xfId="0" applyNumberFormat="1" applyFont="1" applyBorder="1" applyAlignment="1">
      <alignment horizontal="left" vertical="center" wrapText="1" indent="2"/>
    </xf>
    <xf numFmtId="164" fontId="45" fillId="0" borderId="3" xfId="0" applyNumberFormat="1" applyFont="1" applyBorder="1" applyAlignment="1">
      <alignment horizontal="left" vertical="center" wrapText="1" indent="2"/>
    </xf>
    <xf numFmtId="164" fontId="45" fillId="0" borderId="4" xfId="0" applyNumberFormat="1" applyFont="1" applyBorder="1" applyAlignment="1">
      <alignment horizontal="left" vertical="center" wrapText="1" indent="2"/>
    </xf>
    <xf numFmtId="169" fontId="60" fillId="0" borderId="3" xfId="0" applyNumberFormat="1" applyFont="1" applyBorder="1" applyAlignment="1">
      <alignment horizontal="center" vertical="center" wrapText="1"/>
    </xf>
    <xf numFmtId="164" fontId="45" fillId="0" borderId="4" xfId="0" applyNumberFormat="1" applyFont="1" applyBorder="1" applyAlignment="1">
      <alignment horizontal="left" vertical="center" wrapText="1" indent="1"/>
    </xf>
    <xf numFmtId="165" fontId="60" fillId="0" borderId="3" xfId="0" applyNumberFormat="1" applyFont="1" applyBorder="1" applyAlignment="1">
      <alignment horizontal="center" vertical="center" wrapText="1"/>
    </xf>
    <xf numFmtId="165" fontId="62" fillId="0" borderId="3" xfId="0" applyNumberFormat="1" applyFont="1" applyBorder="1" applyAlignment="1">
      <alignment horizontal="left" vertical="center" wrapText="1" indent="1"/>
    </xf>
    <xf numFmtId="164" fontId="60" fillId="0" borderId="4" xfId="0" applyNumberFormat="1" applyFont="1" applyBorder="1" applyAlignment="1">
      <alignment horizontal="left" vertical="center" wrapText="1" indent="1"/>
    </xf>
    <xf numFmtId="165" fontId="45" fillId="0" borderId="4" xfId="0" applyNumberFormat="1" applyFont="1" applyBorder="1" applyAlignment="1">
      <alignment horizontal="center" vertical="center" wrapText="1"/>
    </xf>
    <xf numFmtId="165" fontId="68" fillId="0" borderId="3" xfId="0" applyNumberFormat="1" applyFont="1" applyBorder="1" applyAlignment="1">
      <alignment horizontal="left" vertical="center" wrapText="1" indent="1"/>
    </xf>
    <xf numFmtId="169" fontId="68" fillId="0" borderId="3" xfId="0" applyNumberFormat="1" applyFont="1" applyBorder="1" applyAlignment="1">
      <alignment horizontal="left" vertical="center" wrapText="1" indent="1"/>
    </xf>
    <xf numFmtId="165" fontId="68" fillId="0" borderId="4" xfId="0" applyNumberFormat="1" applyFont="1" applyBorder="1" applyAlignment="1">
      <alignment horizontal="left" vertical="center" wrapText="1" indent="1"/>
    </xf>
    <xf numFmtId="169" fontId="68" fillId="0" borderId="4" xfId="0" applyNumberFormat="1" applyFont="1" applyBorder="1" applyAlignment="1">
      <alignment horizontal="left" vertical="center" wrapText="1" indent="1"/>
    </xf>
    <xf numFmtId="169" fontId="68" fillId="0" borderId="3" xfId="0" applyNumberFormat="1" applyFont="1" applyBorder="1" applyAlignment="1">
      <alignment horizontal="center" vertical="center" wrapText="1"/>
    </xf>
    <xf numFmtId="169" fontId="66" fillId="0" borderId="3" xfId="0" applyNumberFormat="1" applyFont="1" applyBorder="1" applyAlignment="1">
      <alignment horizontal="center" vertical="center" wrapText="1"/>
    </xf>
    <xf numFmtId="164" fontId="68" fillId="0" borderId="3" xfId="0" applyNumberFormat="1" applyFont="1" applyBorder="1" applyAlignment="1">
      <alignment horizontal="left" vertical="center" wrapText="1" indent="1"/>
    </xf>
    <xf numFmtId="164" fontId="66" fillId="0" borderId="4" xfId="0" applyNumberFormat="1" applyFont="1" applyBorder="1" applyAlignment="1">
      <alignment horizontal="left" vertical="center" wrapText="1" indent="1"/>
    </xf>
    <xf numFmtId="164" fontId="66" fillId="0" borderId="3" xfId="0" applyNumberFormat="1" applyFont="1" applyBorder="1" applyAlignment="1">
      <alignment horizontal="left" vertical="center" wrapText="1" indent="1"/>
    </xf>
    <xf numFmtId="1" fontId="68" fillId="0" borderId="3" xfId="0" applyNumberFormat="1" applyFont="1" applyBorder="1" applyAlignment="1">
      <alignment horizontal="left" vertical="center" wrapText="1" indent="1"/>
    </xf>
    <xf numFmtId="165" fontId="66" fillId="0" borderId="4" xfId="0" applyNumberFormat="1" applyFont="1" applyBorder="1" applyAlignment="1">
      <alignment horizontal="left" vertical="center" wrapText="1" indent="1"/>
    </xf>
    <xf numFmtId="165" fontId="68" fillId="0" borderId="3" xfId="0" applyNumberFormat="1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164" fontId="68" fillId="0" borderId="4" xfId="0" applyNumberFormat="1" applyFont="1" applyBorder="1" applyAlignment="1">
      <alignment horizontal="left" vertical="center" wrapText="1" indent="1"/>
    </xf>
    <xf numFmtId="165" fontId="66" fillId="0" borderId="3" xfId="0" applyNumberFormat="1" applyFont="1" applyBorder="1" applyAlignment="1">
      <alignment horizontal="left" vertical="center" wrapText="1" indent="1"/>
    </xf>
    <xf numFmtId="169" fontId="66" fillId="0" borderId="3" xfId="0" applyNumberFormat="1" applyFont="1" applyBorder="1" applyAlignment="1">
      <alignment horizontal="left" vertical="center" wrapText="1" indent="1"/>
    </xf>
    <xf numFmtId="169" fontId="66" fillId="0" borderId="4" xfId="0" applyNumberFormat="1" applyFont="1" applyBorder="1" applyAlignment="1">
      <alignment horizontal="left" vertical="center" wrapText="1" indent="1"/>
    </xf>
    <xf numFmtId="164" fontId="68" fillId="0" borderId="3" xfId="0" applyNumberFormat="1" applyFont="1" applyBorder="1" applyAlignment="1">
      <alignment horizontal="left" vertical="center" wrapText="1" indent="2"/>
    </xf>
    <xf numFmtId="164" fontId="66" fillId="0" borderId="4" xfId="0" applyNumberFormat="1" applyFont="1" applyBorder="1" applyAlignment="1">
      <alignment horizontal="left" vertical="center" wrapText="1" indent="2"/>
    </xf>
    <xf numFmtId="164" fontId="66" fillId="0" borderId="3" xfId="0" applyNumberFormat="1" applyFont="1" applyBorder="1" applyAlignment="1">
      <alignment horizontal="left" vertical="center" wrapText="1" indent="2"/>
    </xf>
    <xf numFmtId="1" fontId="68" fillId="0" borderId="3" xfId="0" applyNumberFormat="1" applyFont="1" applyBorder="1" applyAlignment="1">
      <alignment horizontal="left" vertical="center" wrapText="1" indent="2"/>
    </xf>
    <xf numFmtId="165" fontId="67" fillId="0" borderId="3" xfId="0" applyNumberFormat="1" applyFont="1" applyBorder="1" applyAlignment="1">
      <alignment horizontal="center" vertical="center" wrapText="1"/>
    </xf>
    <xf numFmtId="165" fontId="47" fillId="0" borderId="4" xfId="0" applyNumberFormat="1" applyFont="1" applyBorder="1" applyAlignment="1">
      <alignment horizontal="left" vertical="center" wrapText="1" indent="1"/>
    </xf>
    <xf numFmtId="164" fontId="68" fillId="0" borderId="4" xfId="0" applyNumberFormat="1" applyFont="1" applyBorder="1" applyAlignment="1">
      <alignment horizontal="left" vertical="center" wrapText="1" indent="2"/>
    </xf>
    <xf numFmtId="164" fontId="67" fillId="0" borderId="3" xfId="0" applyNumberFormat="1" applyFont="1" applyBorder="1" applyAlignment="1">
      <alignment horizontal="left" vertical="center" wrapText="1" indent="2"/>
    </xf>
    <xf numFmtId="164" fontId="67" fillId="0" borderId="4" xfId="0" applyNumberFormat="1" applyFont="1" applyBorder="1" applyAlignment="1">
      <alignment horizontal="left" vertical="center" wrapText="1" indent="2"/>
    </xf>
    <xf numFmtId="165" fontId="67" fillId="0" borderId="3" xfId="0" applyNumberFormat="1" applyFont="1" applyBorder="1" applyAlignment="1">
      <alignment horizontal="left" vertical="center" wrapText="1" indent="1"/>
    </xf>
    <xf numFmtId="165" fontId="67" fillId="0" borderId="4" xfId="0" applyNumberFormat="1" applyFont="1" applyBorder="1" applyAlignment="1">
      <alignment horizontal="left" vertical="center" wrapText="1" indent="1"/>
    </xf>
    <xf numFmtId="164" fontId="31" fillId="0" borderId="3" xfId="0" applyNumberFormat="1" applyFont="1" applyBorder="1" applyAlignment="1">
      <alignment horizontal="left" vertical="center" wrapText="1" indent="1"/>
    </xf>
    <xf numFmtId="164" fontId="74" fillId="0" borderId="3" xfId="0" applyNumberFormat="1" applyFont="1" applyBorder="1" applyAlignment="1">
      <alignment horizontal="left" vertical="center" wrapText="1" indent="2"/>
    </xf>
    <xf numFmtId="164" fontId="74" fillId="0" borderId="3" xfId="0" applyNumberFormat="1" applyFont="1" applyBorder="1" applyAlignment="1">
      <alignment horizontal="left" vertical="center" wrapText="1" indent="1"/>
    </xf>
    <xf numFmtId="169" fontId="74" fillId="0" borderId="3" xfId="0" applyNumberFormat="1" applyFont="1" applyBorder="1" applyAlignment="1">
      <alignment horizontal="left" vertical="center" wrapText="1" indent="1"/>
    </xf>
    <xf numFmtId="165" fontId="74" fillId="0" borderId="3" xfId="0" applyNumberFormat="1" applyFont="1" applyBorder="1" applyAlignment="1">
      <alignment horizontal="left" vertical="center" wrapText="1" indent="1"/>
    </xf>
    <xf numFmtId="165" fontId="73" fillId="0" borderId="3" xfId="0" applyNumberFormat="1" applyFont="1" applyBorder="1" applyAlignment="1">
      <alignment horizontal="left" vertical="center" wrapText="1" indent="1"/>
    </xf>
    <xf numFmtId="164" fontId="73" fillId="0" borderId="3" xfId="0" applyNumberFormat="1" applyFont="1" applyBorder="1" applyAlignment="1">
      <alignment horizontal="left" vertical="center" wrapText="1" indent="2"/>
    </xf>
    <xf numFmtId="164" fontId="31" fillId="0" borderId="3" xfId="0" applyNumberFormat="1" applyFont="1" applyBorder="1" applyAlignment="1">
      <alignment horizontal="left" vertical="center" wrapText="1" indent="2"/>
    </xf>
    <xf numFmtId="169" fontId="74" fillId="0" borderId="4" xfId="0" applyNumberFormat="1" applyFont="1" applyBorder="1" applyAlignment="1">
      <alignment horizontal="left" vertical="center" wrapText="1" indent="1"/>
    </xf>
    <xf numFmtId="169" fontId="74" fillId="0" borderId="4" xfId="0" applyNumberFormat="1" applyFont="1" applyBorder="1" applyAlignment="1">
      <alignment horizontal="center" vertical="center" wrapText="1"/>
    </xf>
    <xf numFmtId="169" fontId="74" fillId="0" borderId="3" xfId="0" applyNumberFormat="1" applyFont="1" applyBorder="1" applyAlignment="1">
      <alignment horizontal="center" vertical="center" wrapText="1"/>
    </xf>
    <xf numFmtId="165" fontId="74" fillId="0" borderId="4" xfId="0" applyNumberFormat="1" applyFont="1" applyBorder="1" applyAlignment="1">
      <alignment horizontal="left" vertical="center" wrapText="1" indent="1"/>
    </xf>
    <xf numFmtId="165" fontId="74" fillId="0" borderId="3" xfId="0" applyNumberFormat="1" applyFont="1" applyBorder="1" applyAlignment="1">
      <alignment horizontal="center" vertical="center" wrapText="1"/>
    </xf>
    <xf numFmtId="165" fontId="73" fillId="0" borderId="3" xfId="0" applyNumberFormat="1" applyFont="1" applyBorder="1" applyAlignment="1">
      <alignment horizontal="center" vertical="center" wrapText="1"/>
    </xf>
    <xf numFmtId="164" fontId="44" fillId="0" borderId="3" xfId="0" applyNumberFormat="1" applyFont="1" applyFill="1" applyBorder="1" applyAlignment="1">
      <alignment horizontal="left" vertical="center" wrapText="1" indent="1"/>
    </xf>
    <xf numFmtId="169" fontId="74" fillId="0" borderId="14" xfId="0" applyNumberFormat="1" applyFont="1" applyBorder="1" applyAlignment="1">
      <alignment horizontal="left" vertical="center" wrapText="1" indent="1"/>
    </xf>
    <xf numFmtId="164" fontId="73" fillId="0" borderId="3" xfId="0" applyNumberFormat="1" applyFont="1" applyBorder="1" applyAlignment="1">
      <alignment horizontal="left" vertical="center" wrapText="1" indent="1"/>
    </xf>
    <xf numFmtId="164" fontId="44" fillId="0" borderId="14" xfId="0" applyNumberFormat="1" applyFont="1" applyBorder="1" applyAlignment="1">
      <alignment horizontal="left" vertical="center" wrapText="1" indent="1"/>
    </xf>
    <xf numFmtId="164" fontId="54" fillId="0" borderId="3" xfId="0" applyNumberFormat="1" applyFont="1" applyBorder="1" applyAlignment="1">
      <alignment horizontal="left" vertical="center" wrapText="1" indent="1"/>
    </xf>
    <xf numFmtId="164" fontId="54" fillId="0" borderId="4" xfId="0" applyNumberFormat="1" applyFont="1" applyBorder="1" applyAlignment="1">
      <alignment horizontal="left" vertical="center" wrapText="1" indent="1"/>
    </xf>
    <xf numFmtId="165" fontId="73" fillId="0" borderId="4" xfId="0" applyNumberFormat="1" applyFont="1" applyBorder="1" applyAlignment="1">
      <alignment horizontal="left" vertical="center" wrapText="1" indent="1"/>
    </xf>
    <xf numFmtId="165" fontId="89" fillId="0" borderId="3" xfId="0" applyNumberFormat="1" applyFont="1" applyBorder="1" applyAlignment="1">
      <alignment horizontal="left" vertical="center" wrapText="1" indent="1"/>
    </xf>
    <xf numFmtId="169" fontId="89" fillId="0" borderId="3" xfId="0" applyNumberFormat="1" applyFont="1" applyBorder="1" applyAlignment="1">
      <alignment horizontal="left" vertical="center" wrapText="1" indent="1"/>
    </xf>
    <xf numFmtId="169" fontId="90" fillId="0" borderId="4" xfId="0" applyNumberFormat="1" applyFont="1" applyBorder="1" applyAlignment="1">
      <alignment horizontal="left" vertical="center" wrapText="1" indent="1"/>
    </xf>
    <xf numFmtId="169" fontId="90" fillId="0" borderId="3" xfId="0" applyNumberFormat="1" applyFont="1" applyBorder="1" applyAlignment="1">
      <alignment horizontal="center" vertical="center" wrapText="1"/>
    </xf>
    <xf numFmtId="169" fontId="89" fillId="0" borderId="3" xfId="0" applyNumberFormat="1" applyFont="1" applyBorder="1" applyAlignment="1">
      <alignment horizontal="center" vertical="center" wrapText="1"/>
    </xf>
    <xf numFmtId="169" fontId="89" fillId="0" borderId="4" xfId="0" applyNumberFormat="1" applyFont="1" applyBorder="1" applyAlignment="1">
      <alignment horizontal="center" vertical="center" wrapText="1"/>
    </xf>
    <xf numFmtId="164" fontId="90" fillId="0" borderId="3" xfId="0" applyNumberFormat="1" applyFont="1" applyBorder="1" applyAlignment="1">
      <alignment horizontal="left" vertical="center" wrapText="1" indent="1"/>
    </xf>
    <xf numFmtId="164" fontId="89" fillId="0" borderId="4" xfId="0" applyNumberFormat="1" applyFont="1" applyBorder="1" applyAlignment="1">
      <alignment horizontal="left" vertical="center" wrapText="1" indent="1"/>
    </xf>
    <xf numFmtId="164" fontId="90" fillId="0" borderId="4" xfId="0" applyNumberFormat="1" applyFont="1" applyBorder="1" applyAlignment="1">
      <alignment horizontal="left" vertical="center" wrapText="1" indent="1"/>
    </xf>
    <xf numFmtId="1" fontId="90" fillId="0" borderId="3" xfId="0" applyNumberFormat="1" applyFont="1" applyBorder="1" applyAlignment="1">
      <alignment horizontal="left" vertical="center" wrapText="1" indent="1"/>
    </xf>
    <xf numFmtId="1" fontId="89" fillId="0" borderId="4" xfId="0" applyNumberFormat="1" applyFont="1" applyBorder="1" applyAlignment="1">
      <alignment horizontal="left" vertical="center" wrapText="1" indent="1"/>
    </xf>
    <xf numFmtId="1" fontId="90" fillId="0" borderId="4" xfId="0" applyNumberFormat="1" applyFont="1" applyBorder="1" applyAlignment="1">
      <alignment horizontal="left" vertical="center" wrapText="1" indent="1"/>
    </xf>
    <xf numFmtId="165" fontId="89" fillId="0" borderId="4" xfId="0" applyNumberFormat="1" applyFont="1" applyBorder="1" applyAlignment="1">
      <alignment horizontal="left" vertical="center" wrapText="1" indent="1"/>
    </xf>
    <xf numFmtId="165" fontId="90" fillId="0" borderId="4" xfId="0" applyNumberFormat="1" applyFont="1" applyBorder="1" applyAlignment="1">
      <alignment horizontal="left" vertical="center" wrapText="1" indent="1"/>
    </xf>
    <xf numFmtId="165" fontId="90" fillId="0" borderId="3" xfId="0" applyNumberFormat="1" applyFont="1" applyBorder="1" applyAlignment="1">
      <alignment horizontal="center" vertical="center" wrapText="1"/>
    </xf>
    <xf numFmtId="165" fontId="89" fillId="0" borderId="3" xfId="0" applyNumberFormat="1" applyFont="1" applyBorder="1" applyAlignment="1">
      <alignment horizontal="center" vertical="center" wrapText="1"/>
    </xf>
    <xf numFmtId="165" fontId="90" fillId="0" borderId="4" xfId="0" applyNumberFormat="1" applyFont="1" applyBorder="1" applyAlignment="1">
      <alignment horizontal="center" vertical="center" wrapText="1"/>
    </xf>
    <xf numFmtId="165" fontId="89" fillId="0" borderId="4" xfId="0" applyNumberFormat="1" applyFont="1" applyBorder="1" applyAlignment="1">
      <alignment horizontal="center" vertical="center" wrapText="1"/>
    </xf>
    <xf numFmtId="164" fontId="89" fillId="0" borderId="3" xfId="0" applyNumberFormat="1" applyFont="1" applyBorder="1" applyAlignment="1">
      <alignment horizontal="left" vertical="center" wrapText="1" indent="1"/>
    </xf>
    <xf numFmtId="1" fontId="89" fillId="0" borderId="3" xfId="0" applyNumberFormat="1" applyFont="1" applyBorder="1" applyAlignment="1">
      <alignment horizontal="left" vertical="center" wrapText="1" indent="1"/>
    </xf>
    <xf numFmtId="164" fontId="90" fillId="0" borderId="3" xfId="0" applyNumberFormat="1" applyFont="1" applyBorder="1" applyAlignment="1">
      <alignment horizontal="left" vertical="center" wrapText="1" indent="2"/>
    </xf>
    <xf numFmtId="164" fontId="89" fillId="0" borderId="4" xfId="0" applyNumberFormat="1" applyFont="1" applyBorder="1" applyAlignment="1">
      <alignment horizontal="left" vertical="center" wrapText="1" indent="2"/>
    </xf>
    <xf numFmtId="164" fontId="89" fillId="0" borderId="3" xfId="0" applyNumberFormat="1" applyFont="1" applyBorder="1" applyAlignment="1">
      <alignment horizontal="left" vertical="center" wrapText="1" indent="2"/>
    </xf>
    <xf numFmtId="164" fontId="90" fillId="0" borderId="4" xfId="0" applyNumberFormat="1" applyFont="1" applyBorder="1" applyAlignment="1">
      <alignment horizontal="left" vertical="center" wrapText="1" indent="2"/>
    </xf>
    <xf numFmtId="1" fontId="90" fillId="0" borderId="3" xfId="0" applyNumberFormat="1" applyFont="1" applyBorder="1" applyAlignment="1">
      <alignment horizontal="left" vertical="center" wrapText="1" indent="2"/>
    </xf>
    <xf numFmtId="1" fontId="89" fillId="0" borderId="4" xfId="0" applyNumberFormat="1" applyFont="1" applyBorder="1" applyAlignment="1">
      <alignment horizontal="left" vertical="center" wrapText="1" indent="2"/>
    </xf>
    <xf numFmtId="1" fontId="89" fillId="0" borderId="3" xfId="0" applyNumberFormat="1" applyFont="1" applyBorder="1" applyAlignment="1">
      <alignment horizontal="left" vertical="center" wrapText="1" indent="2"/>
    </xf>
    <xf numFmtId="1" fontId="90" fillId="0" borderId="4" xfId="0" applyNumberFormat="1" applyFont="1" applyBorder="1" applyAlignment="1">
      <alignment horizontal="left" vertical="center" wrapText="1" indent="2"/>
    </xf>
    <xf numFmtId="165" fontId="90" fillId="0" borderId="3" xfId="0" applyNumberFormat="1" applyFont="1" applyBorder="1" applyAlignment="1">
      <alignment horizontal="left" vertical="center" wrapText="1" indent="1"/>
    </xf>
    <xf numFmtId="169" fontId="90" fillId="0" borderId="3" xfId="0" applyNumberFormat="1" applyFont="1" applyBorder="1" applyAlignment="1">
      <alignment horizontal="left" vertical="center" wrapText="1" indent="1"/>
    </xf>
    <xf numFmtId="164" fontId="90" fillId="0" borderId="3" xfId="0" applyNumberFormat="1" applyFont="1" applyFill="1" applyBorder="1" applyAlignment="1">
      <alignment horizontal="left" vertical="center" wrapText="1" indent="1"/>
    </xf>
    <xf numFmtId="169" fontId="89" fillId="0" borderId="4" xfId="0" applyNumberFormat="1" applyFont="1" applyBorder="1" applyAlignment="1">
      <alignment horizontal="left" vertical="center" wrapText="1" indent="1"/>
    </xf>
    <xf numFmtId="164" fontId="96" fillId="0" borderId="3" xfId="0" applyNumberFormat="1" applyFont="1" applyBorder="1" applyAlignment="1">
      <alignment horizontal="left" vertical="center" wrapText="1" indent="1"/>
    </xf>
    <xf numFmtId="165" fontId="96" fillId="0" borderId="3" xfId="0" applyNumberFormat="1" applyFont="1" applyBorder="1" applyAlignment="1">
      <alignment horizontal="left" vertical="center" wrapText="1" indent="1"/>
    </xf>
    <xf numFmtId="164" fontId="96" fillId="0" borderId="3" xfId="0" applyNumberFormat="1" applyFont="1" applyBorder="1" applyAlignment="1">
      <alignment horizontal="left" vertical="center" wrapText="1" indent="2"/>
    </xf>
    <xf numFmtId="164" fontId="96" fillId="0" borderId="3" xfId="0" applyNumberFormat="1" applyFont="1" applyBorder="1" applyAlignment="1">
      <alignment horizontal="center" vertical="center" wrapText="1"/>
    </xf>
    <xf numFmtId="164" fontId="45" fillId="0" borderId="3" xfId="0" applyNumberFormat="1" applyFont="1" applyBorder="1" applyAlignment="1">
      <alignment horizontal="center" vertical="center" wrapText="1"/>
    </xf>
    <xf numFmtId="164" fontId="44" fillId="0" borderId="4" xfId="0" applyNumberFormat="1" applyFont="1" applyBorder="1" applyAlignment="1">
      <alignment horizontal="center" vertical="center" wrapText="1"/>
    </xf>
    <xf numFmtId="165" fontId="96" fillId="0" borderId="3" xfId="0" applyNumberFormat="1" applyFont="1" applyBorder="1" applyAlignment="1">
      <alignment horizontal="center" vertical="center" wrapText="1"/>
    </xf>
    <xf numFmtId="165" fontId="30" fillId="0" borderId="4" xfId="0" applyNumberFormat="1" applyFont="1" applyBorder="1" applyAlignment="1">
      <alignment horizontal="center" vertical="center" wrapText="1"/>
    </xf>
    <xf numFmtId="165" fontId="89" fillId="0" borderId="10" xfId="0" applyNumberFormat="1" applyFont="1" applyBorder="1" applyAlignment="1">
      <alignment vertical="center" wrapText="1"/>
    </xf>
    <xf numFmtId="165" fontId="89" fillId="0" borderId="19" xfId="0" applyNumberFormat="1" applyFont="1" applyBorder="1" applyAlignment="1">
      <alignment vertical="center" wrapText="1"/>
    </xf>
    <xf numFmtId="169" fontId="89" fillId="0" borderId="10" xfId="0" applyNumberFormat="1" applyFont="1" applyBorder="1" applyAlignment="1">
      <alignment vertical="center" wrapText="1"/>
    </xf>
    <xf numFmtId="169" fontId="89" fillId="0" borderId="19" xfId="0" applyNumberFormat="1" applyFont="1" applyBorder="1" applyAlignment="1">
      <alignment vertical="center" wrapText="1"/>
    </xf>
    <xf numFmtId="164" fontId="89" fillId="0" borderId="10" xfId="0" applyNumberFormat="1" applyFont="1" applyBorder="1" applyAlignment="1">
      <alignment vertical="center" wrapText="1"/>
    </xf>
    <xf numFmtId="164" fontId="90" fillId="0" borderId="19" xfId="0" applyNumberFormat="1" applyFont="1" applyBorder="1" applyAlignment="1">
      <alignment vertical="center" wrapText="1"/>
    </xf>
    <xf numFmtId="1" fontId="89" fillId="0" borderId="10" xfId="0" applyNumberFormat="1" applyFont="1" applyBorder="1" applyAlignment="1">
      <alignment vertical="center" wrapText="1"/>
    </xf>
    <xf numFmtId="1" fontId="90" fillId="0" borderId="19" xfId="0" applyNumberFormat="1" applyFont="1" applyBorder="1" applyAlignment="1">
      <alignment vertical="center" wrapText="1"/>
    </xf>
    <xf numFmtId="169" fontId="90" fillId="0" borderId="19" xfId="0" applyNumberFormat="1" applyFont="1" applyBorder="1" applyAlignment="1">
      <alignment vertical="center" wrapText="1"/>
    </xf>
    <xf numFmtId="165" fontId="79" fillId="0" borderId="3" xfId="0" applyNumberFormat="1" applyFont="1" applyBorder="1" applyAlignment="1">
      <alignment horizontal="center" vertical="center" wrapText="1"/>
    </xf>
    <xf numFmtId="165" fontId="90" fillId="0" borderId="19" xfId="0" applyNumberFormat="1" applyFont="1" applyBorder="1" applyAlignment="1">
      <alignment vertical="center" wrapText="1"/>
    </xf>
    <xf numFmtId="165" fontId="79" fillId="0" borderId="19" xfId="0" applyNumberFormat="1" applyFont="1" applyBorder="1" applyAlignment="1">
      <alignment vertical="center" wrapText="1"/>
    </xf>
    <xf numFmtId="164" fontId="89" fillId="0" borderId="19" xfId="0" applyNumberFormat="1" applyFont="1" applyBorder="1" applyAlignment="1">
      <alignment vertical="center" wrapText="1"/>
    </xf>
    <xf numFmtId="1" fontId="89" fillId="0" borderId="19" xfId="0" applyNumberFormat="1" applyFont="1" applyBorder="1" applyAlignment="1">
      <alignment vertical="center" wrapText="1"/>
    </xf>
    <xf numFmtId="164" fontId="90" fillId="0" borderId="3" xfId="0" applyNumberFormat="1" applyFont="1" applyBorder="1" applyAlignment="1">
      <alignment horizontal="justify" vertical="center" wrapText="1"/>
    </xf>
    <xf numFmtId="164" fontId="44" fillId="0" borderId="3" xfId="0" applyNumberFormat="1" applyFont="1" applyBorder="1" applyAlignment="1">
      <alignment horizontal="justify" vertical="center" wrapText="1"/>
    </xf>
    <xf numFmtId="164" fontId="30" fillId="0" borderId="0" xfId="0" applyNumberFormat="1" applyFont="1" applyAlignment="1">
      <alignment horizontal="center"/>
    </xf>
    <xf numFmtId="164" fontId="99" fillId="0" borderId="3" xfId="0" applyNumberFormat="1" applyFont="1" applyBorder="1" applyAlignment="1">
      <alignment horizontal="left" vertical="center" wrapText="1" indent="1"/>
    </xf>
    <xf numFmtId="164" fontId="99" fillId="0" borderId="3" xfId="0" applyNumberFormat="1" applyFont="1" applyBorder="1" applyAlignment="1">
      <alignment horizontal="left" vertical="center" wrapText="1" indent="2"/>
    </xf>
    <xf numFmtId="165" fontId="99" fillId="0" borderId="4" xfId="0" applyNumberFormat="1" applyFont="1" applyBorder="1" applyAlignment="1">
      <alignment horizontal="left" vertical="center" wrapText="1" indent="1"/>
    </xf>
    <xf numFmtId="165" fontId="99" fillId="0" borderId="3" xfId="0" applyNumberFormat="1" applyFont="1" applyBorder="1" applyAlignment="1">
      <alignment horizontal="center" vertical="center" wrapText="1"/>
    </xf>
    <xf numFmtId="169" fontId="90" fillId="0" borderId="4" xfId="0" applyNumberFormat="1" applyFont="1" applyBorder="1" applyAlignment="1">
      <alignment horizontal="center" vertical="center" wrapText="1"/>
    </xf>
    <xf numFmtId="169" fontId="68" fillId="0" borderId="4" xfId="0" applyNumberFormat="1" applyFont="1" applyBorder="1" applyAlignment="1">
      <alignment horizontal="center" vertical="center" wrapText="1"/>
    </xf>
    <xf numFmtId="165" fontId="68" fillId="0" borderId="4" xfId="0" applyNumberFormat="1" applyFont="1" applyBorder="1" applyAlignment="1">
      <alignment horizontal="left" vertical="center" wrapText="1" indent="2"/>
    </xf>
    <xf numFmtId="165" fontId="68" fillId="0" borderId="3" xfId="0" applyNumberFormat="1" applyFont="1" applyBorder="1" applyAlignment="1">
      <alignment horizontal="left" vertical="center" wrapText="1" indent="2"/>
    </xf>
    <xf numFmtId="165" fontId="68" fillId="0" borderId="4" xfId="0" applyNumberFormat="1" applyFont="1" applyBorder="1" applyAlignment="1">
      <alignment horizontal="center" vertical="center" wrapText="1"/>
    </xf>
    <xf numFmtId="165" fontId="90" fillId="0" borderId="3" xfId="0" applyNumberFormat="1" applyFont="1" applyBorder="1" applyAlignment="1">
      <alignment horizontal="right" vertical="center" wrapText="1"/>
    </xf>
    <xf numFmtId="165" fontId="68" fillId="0" borderId="3" xfId="0" applyNumberFormat="1" applyFont="1" applyBorder="1" applyAlignment="1">
      <alignment horizontal="right" vertical="center" wrapText="1"/>
    </xf>
    <xf numFmtId="165" fontId="90" fillId="0" borderId="4" xfId="0" applyNumberFormat="1" applyFont="1" applyBorder="1" applyAlignment="1">
      <alignment horizontal="right" vertical="center" wrapText="1"/>
    </xf>
    <xf numFmtId="165" fontId="68" fillId="0" borderId="4" xfId="0" applyNumberFormat="1" applyFont="1" applyBorder="1" applyAlignment="1">
      <alignment horizontal="right" vertical="center" wrapText="1"/>
    </xf>
    <xf numFmtId="169" fontId="96" fillId="0" borderId="3" xfId="0" applyNumberFormat="1" applyFont="1" applyBorder="1" applyAlignment="1">
      <alignment horizontal="left" vertical="center" wrapText="1" indent="1"/>
    </xf>
    <xf numFmtId="169" fontId="44" fillId="0" borderId="10" xfId="0" applyNumberFormat="1" applyFont="1" applyBorder="1" applyAlignment="1">
      <alignment vertical="center" wrapText="1"/>
    </xf>
    <xf numFmtId="169" fontId="96" fillId="0" borderId="3" xfId="0" applyNumberFormat="1" applyFont="1" applyBorder="1" applyAlignment="1">
      <alignment horizontal="center" vertical="center" wrapText="1"/>
    </xf>
    <xf numFmtId="169" fontId="44" fillId="0" borderId="19" xfId="0" applyNumberFormat="1" applyFont="1" applyBorder="1" applyAlignment="1">
      <alignment vertical="center" wrapText="1"/>
    </xf>
    <xf numFmtId="164" fontId="44" fillId="0" borderId="10" xfId="0" applyNumberFormat="1" applyFont="1" applyBorder="1" applyAlignment="1">
      <alignment vertical="center" wrapText="1"/>
    </xf>
    <xf numFmtId="164" fontId="44" fillId="0" borderId="19" xfId="0" applyNumberFormat="1" applyFont="1" applyBorder="1" applyAlignment="1">
      <alignment vertical="center" wrapText="1"/>
    </xf>
    <xf numFmtId="165" fontId="44" fillId="0" borderId="10" xfId="0" applyNumberFormat="1" applyFont="1" applyBorder="1" applyAlignment="1">
      <alignment vertical="center" wrapText="1"/>
    </xf>
    <xf numFmtId="165" fontId="44" fillId="0" borderId="19" xfId="0" applyNumberFormat="1" applyFont="1" applyBorder="1" applyAlignment="1">
      <alignment vertical="center" wrapText="1"/>
    </xf>
    <xf numFmtId="165" fontId="96" fillId="0" borderId="19" xfId="0" applyNumberFormat="1" applyFont="1" applyBorder="1" applyAlignment="1">
      <alignment vertical="center" wrapText="1"/>
    </xf>
    <xf numFmtId="165" fontId="73" fillId="0" borderId="19" xfId="0" applyNumberFormat="1" applyFont="1" applyBorder="1" applyAlignment="1">
      <alignment vertical="center" wrapText="1"/>
    </xf>
    <xf numFmtId="164" fontId="96" fillId="0" borderId="4" xfId="0" applyNumberFormat="1" applyFont="1" applyBorder="1" applyAlignment="1">
      <alignment horizontal="left" vertical="center" wrapText="1" indent="1"/>
    </xf>
    <xf numFmtId="164" fontId="96" fillId="0" borderId="19" xfId="0" applyNumberFormat="1" applyFont="1" applyBorder="1" applyAlignment="1">
      <alignment vertical="center" wrapText="1"/>
    </xf>
    <xf numFmtId="165" fontId="108" fillId="0" borderId="3" xfId="0" applyNumberFormat="1" applyFont="1" applyBorder="1" applyAlignment="1">
      <alignment horizontal="left" vertical="center" wrapText="1" indent="1"/>
    </xf>
    <xf numFmtId="165" fontId="108" fillId="0" borderId="3" xfId="0" applyNumberFormat="1" applyFont="1" applyBorder="1" applyAlignment="1">
      <alignment horizontal="center" vertical="center" wrapText="1"/>
    </xf>
    <xf numFmtId="169" fontId="90" fillId="0" borderId="19" xfId="0" applyNumberFormat="1" applyFont="1" applyBorder="1" applyAlignment="1">
      <alignment horizontal="center" vertical="center" wrapText="1"/>
    </xf>
    <xf numFmtId="165" fontId="108" fillId="0" borderId="3" xfId="0" applyNumberFormat="1" applyFont="1" applyBorder="1" applyAlignment="1">
      <alignment horizontal="justify" vertical="center" wrapText="1"/>
    </xf>
    <xf numFmtId="165" fontId="89" fillId="0" borderId="3" xfId="0" applyNumberFormat="1" applyFont="1" applyFill="1" applyBorder="1" applyAlignment="1">
      <alignment horizontal="left" vertical="center" wrapText="1" indent="1"/>
    </xf>
    <xf numFmtId="165" fontId="0" fillId="0" borderId="4" xfId="0" applyNumberFormat="1" applyBorder="1" applyAlignment="1">
      <alignment vertical="top" wrapText="1"/>
    </xf>
    <xf numFmtId="164" fontId="108" fillId="0" borderId="3" xfId="0" applyNumberFormat="1" applyFont="1" applyBorder="1" applyAlignment="1">
      <alignment horizontal="left" vertical="center" wrapText="1" indent="1"/>
    </xf>
    <xf numFmtId="164" fontId="110" fillId="0" borderId="3" xfId="0" applyNumberFormat="1" applyFont="1" applyBorder="1" applyAlignment="1">
      <alignment horizontal="left" vertical="center" wrapText="1" indent="2"/>
    </xf>
    <xf numFmtId="165" fontId="74" fillId="0" borderId="19" xfId="0" applyNumberFormat="1" applyFont="1" applyBorder="1" applyAlignment="1">
      <alignment vertical="center" wrapText="1"/>
    </xf>
    <xf numFmtId="164" fontId="74" fillId="0" borderId="19" xfId="0" applyNumberFormat="1" applyFont="1" applyBorder="1" applyAlignment="1">
      <alignment vertical="center" wrapText="1"/>
    </xf>
    <xf numFmtId="164" fontId="74" fillId="0" borderId="4" xfId="0" applyNumberFormat="1" applyFont="1" applyBorder="1" applyAlignment="1">
      <alignment horizontal="left" vertical="center" wrapText="1" indent="2"/>
    </xf>
    <xf numFmtId="164" fontId="74" fillId="0" borderId="4" xfId="0" applyNumberFormat="1" applyFont="1" applyBorder="1" applyAlignment="1">
      <alignment horizontal="left" vertical="center" wrapText="1" indent="1"/>
    </xf>
    <xf numFmtId="165" fontId="113" fillId="0" borderId="3" xfId="0" applyNumberFormat="1" applyFont="1" applyBorder="1" applyAlignment="1">
      <alignment horizontal="left" vertical="center" wrapText="1" indent="1"/>
    </xf>
    <xf numFmtId="2" fontId="121" fillId="0" borderId="0" xfId="0" applyNumberFormat="1" applyFont="1"/>
    <xf numFmtId="2" fontId="66" fillId="0" borderId="6" xfId="0" applyNumberFormat="1" applyFont="1" applyBorder="1" applyAlignment="1">
      <alignment horizontal="left" vertical="center" wrapText="1" indent="1"/>
    </xf>
    <xf numFmtId="0" fontId="121" fillId="0" borderId="0" xfId="0" applyFont="1"/>
    <xf numFmtId="2" fontId="66" fillId="0" borderId="14" xfId="0" applyNumberFormat="1" applyFont="1" applyBorder="1" applyAlignment="1">
      <alignment horizontal="left" vertical="center" wrapText="1" indent="2"/>
    </xf>
    <xf numFmtId="2" fontId="121" fillId="0" borderId="14" xfId="0" applyNumberFormat="1" applyFont="1" applyBorder="1" applyAlignment="1">
      <alignment vertical="top" wrapText="1"/>
    </xf>
    <xf numFmtId="164" fontId="66" fillId="0" borderId="14" xfId="0" applyNumberFormat="1" applyFont="1" applyBorder="1" applyAlignment="1">
      <alignment horizontal="left" vertical="center" wrapText="1" indent="1"/>
    </xf>
    <xf numFmtId="165" fontId="123" fillId="0" borderId="4" xfId="0" applyNumberFormat="1" applyFont="1" applyBorder="1" applyAlignment="1">
      <alignment horizontal="left" vertical="center" wrapText="1" indent="1"/>
    </xf>
    <xf numFmtId="165" fontId="123" fillId="0" borderId="3" xfId="0" applyNumberFormat="1" applyFont="1" applyBorder="1" applyAlignment="1">
      <alignment horizontal="left" vertical="center" wrapText="1" indent="1"/>
    </xf>
    <xf numFmtId="165" fontId="116" fillId="0" borderId="3" xfId="0" applyNumberFormat="1" applyFont="1" applyBorder="1" applyAlignment="1">
      <alignment horizontal="left" vertical="center" wrapText="1" indent="1"/>
    </xf>
    <xf numFmtId="165" fontId="66" fillId="0" borderId="14" xfId="0" applyNumberFormat="1" applyFont="1" applyBorder="1" applyAlignment="1">
      <alignment horizontal="left" vertical="center" wrapText="1" indent="1"/>
    </xf>
    <xf numFmtId="164" fontId="74" fillId="0" borderId="14" xfId="0" applyNumberFormat="1" applyFont="1" applyBorder="1" applyAlignment="1">
      <alignment horizontal="left" vertical="center" wrapText="1" indent="2"/>
    </xf>
    <xf numFmtId="2" fontId="66" fillId="0" borderId="11" xfId="0" applyNumberFormat="1" applyFont="1" applyBorder="1" applyAlignment="1">
      <alignment vertical="center" wrapText="1"/>
    </xf>
    <xf numFmtId="2" fontId="116" fillId="0" borderId="11" xfId="0" applyNumberFormat="1" applyFont="1" applyBorder="1" applyAlignment="1">
      <alignment vertical="center" wrapText="1"/>
    </xf>
    <xf numFmtId="169" fontId="74" fillId="0" borderId="19" xfId="0" applyNumberFormat="1" applyFont="1" applyBorder="1" applyAlignment="1">
      <alignment horizontal="center" vertical="center" wrapText="1"/>
    </xf>
    <xf numFmtId="164" fontId="66" fillId="0" borderId="19" xfId="0" applyNumberFormat="1" applyFont="1" applyBorder="1" applyAlignment="1">
      <alignment horizontal="center" vertical="center" wrapText="1"/>
    </xf>
    <xf numFmtId="165" fontId="117" fillId="0" borderId="3" xfId="0" applyNumberFormat="1" applyFont="1" applyBorder="1" applyAlignment="1">
      <alignment horizontal="center" vertical="center" wrapText="1"/>
    </xf>
    <xf numFmtId="165" fontId="66" fillId="0" borderId="19" xfId="0" applyNumberFormat="1" applyFont="1" applyBorder="1" applyAlignment="1">
      <alignment horizontal="center" vertical="center" wrapText="1"/>
    </xf>
    <xf numFmtId="165" fontId="116" fillId="0" borderId="19" xfId="0" applyNumberFormat="1" applyFont="1" applyBorder="1" applyAlignment="1">
      <alignment horizontal="center" vertical="center" wrapText="1"/>
    </xf>
    <xf numFmtId="164" fontId="74" fillId="0" borderId="19" xfId="0" applyNumberFormat="1" applyFont="1" applyBorder="1" applyAlignment="1">
      <alignment horizontal="center" vertical="center" wrapText="1"/>
    </xf>
    <xf numFmtId="165" fontId="123" fillId="0" borderId="3" xfId="0" applyNumberFormat="1" applyFont="1" applyBorder="1" applyAlignment="1">
      <alignment horizontal="center" vertical="center" wrapText="1"/>
    </xf>
    <xf numFmtId="165" fontId="34" fillId="0" borderId="19" xfId="0" applyNumberFormat="1" applyFont="1" applyBorder="1" applyAlignment="1">
      <alignment vertical="center" wrapText="1"/>
    </xf>
    <xf numFmtId="1" fontId="90" fillId="0" borderId="19" xfId="0" applyNumberFormat="1" applyFont="1" applyBorder="1" applyAlignment="1">
      <alignment horizontal="center" vertical="center" wrapText="1"/>
    </xf>
    <xf numFmtId="165" fontId="90" fillId="0" borderId="19" xfId="0" applyNumberFormat="1" applyFont="1" applyBorder="1" applyAlignment="1">
      <alignment horizontal="center" vertical="center" wrapText="1"/>
    </xf>
    <xf numFmtId="165" fontId="89" fillId="0" borderId="19" xfId="0" applyNumberFormat="1" applyFont="1" applyBorder="1" applyAlignment="1">
      <alignment horizontal="center" vertical="center" wrapText="1"/>
    </xf>
    <xf numFmtId="164" fontId="90" fillId="0" borderId="19" xfId="0" applyNumberFormat="1" applyFont="1" applyBorder="1" applyAlignment="1">
      <alignment horizontal="center" vertical="center" wrapText="1"/>
    </xf>
    <xf numFmtId="165" fontId="121" fillId="0" borderId="0" xfId="0" applyNumberFormat="1" applyFont="1" applyAlignment="1">
      <alignment horizontal="left" vertical="center"/>
    </xf>
    <xf numFmtId="165" fontId="90" fillId="0" borderId="3" xfId="0" applyNumberFormat="1" applyFont="1" applyFill="1" applyBorder="1" applyAlignment="1">
      <alignment horizontal="left" vertical="center" wrapText="1" indent="1"/>
    </xf>
    <xf numFmtId="165" fontId="124" fillId="0" borderId="3" xfId="0" applyNumberFormat="1" applyFont="1" applyBorder="1" applyAlignment="1">
      <alignment horizontal="left" vertical="center" wrapText="1" indent="1"/>
    </xf>
    <xf numFmtId="165" fontId="90" fillId="0" borderId="10" xfId="0" applyNumberFormat="1" applyFont="1" applyBorder="1" applyAlignment="1">
      <alignment horizontal="center" vertical="center" wrapText="1"/>
    </xf>
    <xf numFmtId="165" fontId="90" fillId="0" borderId="11" xfId="0" applyNumberFormat="1" applyFont="1" applyBorder="1" applyAlignment="1">
      <alignment horizontal="center" vertical="center" wrapText="1"/>
    </xf>
    <xf numFmtId="0" fontId="0" fillId="2" borderId="22" xfId="0" applyFill="1" applyBorder="1"/>
    <xf numFmtId="0" fontId="120" fillId="3" borderId="22" xfId="0" applyFont="1" applyFill="1" applyBorder="1" applyAlignment="1">
      <alignment horizontal="center"/>
    </xf>
    <xf numFmtId="0" fontId="120" fillId="3" borderId="22" xfId="0" applyFont="1" applyFill="1" applyBorder="1"/>
    <xf numFmtId="0" fontId="125" fillId="0" borderId="0" xfId="0" applyFont="1" applyFill="1" applyBorder="1"/>
    <xf numFmtId="0" fontId="0" fillId="0" borderId="0" xfId="0" applyFill="1" applyBorder="1"/>
    <xf numFmtId="0" fontId="120" fillId="0" borderId="0" xfId="0" applyFont="1" applyFill="1" applyBorder="1"/>
    <xf numFmtId="0" fontId="0" fillId="2" borderId="22" xfId="0" applyFill="1" applyBorder="1" applyAlignment="1">
      <alignment horizontal="center"/>
    </xf>
    <xf numFmtId="0" fontId="126" fillId="3" borderId="23" xfId="0" applyFont="1" applyFill="1" applyBorder="1"/>
    <xf numFmtId="0" fontId="0" fillId="5" borderId="22" xfId="0" applyFill="1" applyBorder="1"/>
    <xf numFmtId="0" fontId="120" fillId="3" borderId="24" xfId="0" applyFont="1" applyFill="1" applyBorder="1"/>
    <xf numFmtId="0" fontId="120" fillId="4" borderId="22" xfId="0" applyFont="1" applyFill="1" applyBorder="1"/>
    <xf numFmtId="0" fontId="120" fillId="4" borderId="23" xfId="0" applyFont="1" applyFill="1" applyBorder="1"/>
    <xf numFmtId="0" fontId="0" fillId="5" borderId="22" xfId="0" applyFont="1" applyFill="1" applyBorder="1"/>
    <xf numFmtId="0" fontId="120" fillId="4" borderId="28" xfId="0" applyFont="1" applyFill="1" applyBorder="1"/>
    <xf numFmtId="165" fontId="0" fillId="5" borderId="22" xfId="0" applyNumberFormat="1" applyFill="1" applyBorder="1"/>
    <xf numFmtId="165" fontId="0" fillId="5" borderId="22" xfId="0" applyNumberFormat="1" applyFont="1" applyFill="1" applyBorder="1"/>
    <xf numFmtId="0" fontId="0" fillId="2" borderId="22" xfId="0" applyFont="1" applyFill="1" applyBorder="1"/>
    <xf numFmtId="0" fontId="0" fillId="2" borderId="22" xfId="0" applyFont="1" applyFill="1" applyBorder="1" applyAlignment="1">
      <alignment horizontal="center"/>
    </xf>
    <xf numFmtId="169" fontId="29" fillId="0" borderId="19" xfId="0" applyNumberFormat="1" applyFont="1" applyBorder="1" applyAlignment="1">
      <alignment horizontal="center" vertical="center" wrapText="1"/>
    </xf>
    <xf numFmtId="164" fontId="29" fillId="0" borderId="19" xfId="0" applyNumberFormat="1" applyFont="1" applyBorder="1" applyAlignment="1">
      <alignment horizontal="center" vertical="center" wrapText="1"/>
    </xf>
    <xf numFmtId="165" fontId="29" fillId="0" borderId="19" xfId="0" applyNumberFormat="1" applyFont="1" applyBorder="1" applyAlignment="1">
      <alignment horizontal="center" vertical="center" wrapText="1"/>
    </xf>
    <xf numFmtId="2" fontId="29" fillId="0" borderId="19" xfId="0" applyNumberFormat="1" applyFont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22" xfId="0" applyBorder="1"/>
    <xf numFmtId="2" fontId="0" fillId="0" borderId="0" xfId="0" applyNumberFormat="1" applyAlignment="1">
      <alignment vertical="center" wrapText="1"/>
    </xf>
    <xf numFmtId="164" fontId="30" fillId="0" borderId="0" xfId="0" applyNumberFormat="1" applyFont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169" fontId="66" fillId="0" borderId="19" xfId="0" applyNumberFormat="1" applyFont="1" applyBorder="1" applyAlignment="1">
      <alignment vertical="center" wrapText="1"/>
    </xf>
    <xf numFmtId="164" fontId="66" fillId="0" borderId="19" xfId="0" applyNumberFormat="1" applyFont="1" applyBorder="1" applyAlignment="1">
      <alignment vertical="center" wrapText="1"/>
    </xf>
    <xf numFmtId="165" fontId="66" fillId="0" borderId="19" xfId="0" applyNumberFormat="1" applyFont="1" applyBorder="1" applyAlignment="1">
      <alignment vertical="center" wrapText="1"/>
    </xf>
    <xf numFmtId="165" fontId="68" fillId="0" borderId="19" xfId="0" applyNumberFormat="1" applyFont="1" applyBorder="1" applyAlignment="1">
      <alignment vertical="center" wrapText="1"/>
    </xf>
    <xf numFmtId="164" fontId="68" fillId="0" borderId="19" xfId="0" applyNumberFormat="1" applyFont="1" applyBorder="1" applyAlignment="1">
      <alignment vertical="center" wrapText="1"/>
    </xf>
    <xf numFmtId="169" fontId="66" fillId="0" borderId="11" xfId="0" applyNumberFormat="1" applyFont="1" applyBorder="1" applyAlignment="1">
      <alignment vertical="center" wrapText="1"/>
    </xf>
    <xf numFmtId="164" fontId="66" fillId="0" borderId="11" xfId="0" applyNumberFormat="1" applyFont="1" applyBorder="1" applyAlignment="1">
      <alignment vertical="center" wrapText="1"/>
    </xf>
    <xf numFmtId="165" fontId="66" fillId="0" borderId="11" xfId="0" applyNumberFormat="1" applyFont="1" applyBorder="1" applyAlignment="1">
      <alignment vertical="center" wrapText="1"/>
    </xf>
    <xf numFmtId="165" fontId="68" fillId="0" borderId="11" xfId="0" applyNumberFormat="1" applyFont="1" applyBorder="1" applyAlignment="1">
      <alignment vertical="center" wrapText="1"/>
    </xf>
    <xf numFmtId="164" fontId="68" fillId="0" borderId="11" xfId="0" applyNumberFormat="1" applyFont="1" applyBorder="1" applyAlignment="1">
      <alignment vertical="center" wrapText="1"/>
    </xf>
    <xf numFmtId="165" fontId="74" fillId="0" borderId="4" xfId="0" applyNumberFormat="1" applyFont="1" applyBorder="1" applyAlignment="1">
      <alignment horizontal="center" vertical="center" wrapText="1"/>
    </xf>
    <xf numFmtId="0" fontId="120" fillId="3" borderId="0" xfId="0" applyFont="1" applyFill="1" applyBorder="1" applyAlignment="1">
      <alignment horizontal="center"/>
    </xf>
    <xf numFmtId="0" fontId="129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right"/>
    </xf>
    <xf numFmtId="170" fontId="0" fillId="2" borderId="22" xfId="0" applyNumberFormat="1" applyFill="1" applyBorder="1"/>
    <xf numFmtId="0" fontId="120" fillId="3" borderId="28" xfId="0" applyFont="1" applyFill="1" applyBorder="1" applyAlignment="1">
      <alignment horizontal="center"/>
    </xf>
    <xf numFmtId="0" fontId="120" fillId="3" borderId="30" xfId="0" applyFont="1" applyFill="1" applyBorder="1" applyAlignment="1">
      <alignment horizontal="center"/>
    </xf>
    <xf numFmtId="0" fontId="0" fillId="2" borderId="31" xfId="0" applyFill="1" applyBorder="1"/>
    <xf numFmtId="0" fontId="120" fillId="3" borderId="32" xfId="0" applyFont="1" applyFill="1" applyBorder="1" applyAlignment="1">
      <alignment horizontal="center"/>
    </xf>
    <xf numFmtId="0" fontId="0" fillId="2" borderId="33" xfId="0" applyFill="1" applyBorder="1"/>
    <xf numFmtId="0" fontId="120" fillId="3" borderId="31" xfId="0" applyFont="1" applyFill="1" applyBorder="1"/>
    <xf numFmtId="170" fontId="0" fillId="2" borderId="23" xfId="0" applyNumberFormat="1" applyFill="1" applyBorder="1"/>
    <xf numFmtId="0" fontId="0" fillId="0" borderId="29" xfId="0" applyFill="1" applyBorder="1"/>
    <xf numFmtId="0" fontId="0" fillId="2" borderId="22" xfId="0" applyNumberFormat="1" applyFill="1" applyBorder="1"/>
    <xf numFmtId="0" fontId="120" fillId="3" borderId="34" xfId="0" applyFont="1" applyFill="1" applyBorder="1" applyAlignment="1">
      <alignment horizontal="center"/>
    </xf>
    <xf numFmtId="0" fontId="120" fillId="3" borderId="28" xfId="0" applyFont="1" applyFill="1" applyBorder="1" applyAlignment="1">
      <alignment horizontal="right"/>
    </xf>
    <xf numFmtId="171" fontId="0" fillId="2" borderId="22" xfId="0" applyNumberFormat="1" applyFill="1" applyBorder="1"/>
    <xf numFmtId="0" fontId="0" fillId="3" borderId="23" xfId="0" applyFill="1" applyBorder="1" applyAlignment="1">
      <alignment horizontal="right"/>
    </xf>
    <xf numFmtId="2" fontId="21" fillId="0" borderId="20" xfId="0" applyNumberFormat="1" applyFont="1" applyBorder="1" applyAlignment="1">
      <alignment vertical="center" wrapText="1"/>
    </xf>
    <xf numFmtId="0" fontId="0" fillId="0" borderId="0" xfId="0" applyBorder="1"/>
    <xf numFmtId="2" fontId="0" fillId="0" borderId="0" xfId="0" applyNumberFormat="1" applyBorder="1"/>
    <xf numFmtId="2" fontId="21" fillId="0" borderId="0" xfId="0" applyNumberFormat="1" applyFont="1" applyBorder="1" applyAlignment="1">
      <alignment vertical="center" wrapText="1"/>
    </xf>
    <xf numFmtId="2" fontId="29" fillId="0" borderId="0" xfId="0" applyNumberFormat="1" applyFont="1" applyBorder="1" applyAlignment="1">
      <alignment horizontal="right" vertical="center" wrapText="1"/>
    </xf>
    <xf numFmtId="2" fontId="0" fillId="0" borderId="0" xfId="0" applyNumberFormat="1" applyBorder="1" applyAlignment="1">
      <alignment vertical="top" wrapText="1"/>
    </xf>
    <xf numFmtId="172" fontId="9" fillId="0" borderId="3" xfId="0" applyNumberFormat="1" applyFont="1" applyBorder="1" applyAlignment="1">
      <alignment horizontal="right" vertical="center" wrapText="1"/>
    </xf>
    <xf numFmtId="172" fontId="11" fillId="0" borderId="3" xfId="0" applyNumberFormat="1" applyFont="1" applyBorder="1" applyAlignment="1">
      <alignment horizontal="right" vertical="center" wrapText="1"/>
    </xf>
    <xf numFmtId="172" fontId="9" fillId="0" borderId="4" xfId="0" applyNumberFormat="1" applyFont="1" applyBorder="1" applyAlignment="1">
      <alignment horizontal="right" vertical="center" wrapText="1"/>
    </xf>
    <xf numFmtId="172" fontId="13" fillId="0" borderId="12" xfId="0" applyNumberFormat="1" applyFont="1" applyBorder="1" applyAlignment="1">
      <alignment horizontal="right" vertical="center" wrapText="1"/>
    </xf>
    <xf numFmtId="172" fontId="13" fillId="0" borderId="3" xfId="0" applyNumberFormat="1" applyFont="1" applyBorder="1" applyAlignment="1">
      <alignment horizontal="right" vertical="center" wrapText="1"/>
    </xf>
    <xf numFmtId="172" fontId="14" fillId="0" borderId="3" xfId="0" applyNumberFormat="1" applyFont="1" applyBorder="1" applyAlignment="1">
      <alignment horizontal="right" vertical="center" wrapText="1"/>
    </xf>
    <xf numFmtId="172" fontId="10" fillId="0" borderId="3" xfId="0" applyNumberFormat="1" applyFont="1" applyBorder="1" applyAlignment="1">
      <alignment horizontal="right" vertical="center" wrapText="1"/>
    </xf>
    <xf numFmtId="172" fontId="13" fillId="0" borderId="4" xfId="0" applyNumberFormat="1" applyFont="1" applyBorder="1" applyAlignment="1">
      <alignment horizontal="right" vertical="center" wrapText="1"/>
    </xf>
    <xf numFmtId="172" fontId="13" fillId="0" borderId="12" xfId="0" applyNumberFormat="1" applyFont="1" applyBorder="1" applyAlignment="1">
      <alignment horizontal="center" vertical="center" wrapText="1"/>
    </xf>
    <xf numFmtId="172" fontId="13" fillId="0" borderId="3" xfId="0" applyNumberFormat="1" applyFont="1" applyBorder="1" applyAlignment="1">
      <alignment horizontal="center" vertical="center" wrapText="1"/>
    </xf>
    <xf numFmtId="172" fontId="14" fillId="0" borderId="3" xfId="0" applyNumberFormat="1" applyFont="1" applyBorder="1" applyAlignment="1">
      <alignment horizontal="center" vertical="center" wrapText="1"/>
    </xf>
    <xf numFmtId="172" fontId="16" fillId="0" borderId="3" xfId="0" applyNumberFormat="1" applyFont="1" applyBorder="1" applyAlignment="1">
      <alignment horizontal="center" vertical="center" wrapText="1"/>
    </xf>
    <xf numFmtId="172" fontId="14" fillId="0" borderId="4" xfId="0" applyNumberFormat="1" applyFont="1" applyBorder="1" applyAlignment="1">
      <alignment horizontal="center" vertical="center" wrapText="1"/>
    </xf>
    <xf numFmtId="172" fontId="13" fillId="0" borderId="12" xfId="0" applyNumberFormat="1" applyFont="1" applyBorder="1" applyAlignment="1">
      <alignment horizontal="left" vertical="center" wrapText="1" indent="1"/>
    </xf>
    <xf numFmtId="172" fontId="13" fillId="0" borderId="3" xfId="0" applyNumberFormat="1" applyFont="1" applyBorder="1" applyAlignment="1">
      <alignment horizontal="left" vertical="center" wrapText="1" indent="1"/>
    </xf>
    <xf numFmtId="172" fontId="14" fillId="0" borderId="3" xfId="0" applyNumberFormat="1" applyFont="1" applyBorder="1" applyAlignment="1">
      <alignment horizontal="left" vertical="center" wrapText="1" indent="1"/>
    </xf>
    <xf numFmtId="172" fontId="13" fillId="0" borderId="14" xfId="0" applyNumberFormat="1" applyFont="1" applyBorder="1" applyAlignment="1">
      <alignment horizontal="left" vertical="center" wrapText="1" indent="1"/>
    </xf>
    <xf numFmtId="0" fontId="2" fillId="0" borderId="8" xfId="0" applyFont="1" applyBorder="1" applyAlignment="1">
      <alignment horizontal="left" vertical="center" wrapText="1" indent="4"/>
    </xf>
    <xf numFmtId="0" fontId="2" fillId="0" borderId="2" xfId="0" applyFont="1" applyBorder="1" applyAlignment="1">
      <alignment horizontal="left" vertical="center" wrapText="1" indent="4"/>
    </xf>
    <xf numFmtId="0" fontId="2" fillId="0" borderId="9" xfId="0" applyFont="1" applyBorder="1" applyAlignment="1">
      <alignment horizontal="left" vertical="center" wrapText="1" indent="4"/>
    </xf>
    <xf numFmtId="0" fontId="2" fillId="0" borderId="4" xfId="0" applyFont="1" applyBorder="1" applyAlignment="1">
      <alignment horizontal="left" vertical="center" wrapText="1" indent="4"/>
    </xf>
    <xf numFmtId="0" fontId="2" fillId="0" borderId="10" xfId="0" applyFont="1" applyBorder="1" applyAlignment="1">
      <alignment horizontal="left" vertical="center" wrapText="1" indent="1"/>
    </xf>
    <xf numFmtId="0" fontId="2" fillId="0" borderId="11" xfId="0" applyFont="1" applyBorder="1" applyAlignment="1">
      <alignment horizontal="left" vertical="center" wrapText="1" inden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2" fontId="32" fillId="0" borderId="10" xfId="0" applyNumberFormat="1" applyFont="1" applyBorder="1" applyAlignment="1">
      <alignment vertical="center" wrapText="1"/>
    </xf>
    <xf numFmtId="2" fontId="32" fillId="0" borderId="11" xfId="0" applyNumberFormat="1" applyFont="1" applyBorder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21" fillId="0" borderId="19" xfId="0" applyFont="1" applyBorder="1" applyAlignment="1">
      <alignment vertical="center" wrapText="1"/>
    </xf>
    <xf numFmtId="0" fontId="21" fillId="0" borderId="11" xfId="0" applyFont="1" applyBorder="1" applyAlignment="1">
      <alignment vertical="center" wrapText="1"/>
    </xf>
    <xf numFmtId="2" fontId="56" fillId="0" borderId="10" xfId="0" applyNumberFormat="1" applyFont="1" applyBorder="1" applyAlignment="1">
      <alignment vertical="center" wrapText="1"/>
    </xf>
    <xf numFmtId="2" fontId="56" fillId="0" borderId="11" xfId="0" applyNumberFormat="1" applyFont="1" applyBorder="1" applyAlignment="1">
      <alignment vertical="center" wrapText="1"/>
    </xf>
    <xf numFmtId="2" fontId="21" fillId="0" borderId="10" xfId="0" applyNumberFormat="1" applyFont="1" applyBorder="1" applyAlignment="1">
      <alignment vertical="center" wrapText="1"/>
    </xf>
    <xf numFmtId="2" fontId="21" fillId="0" borderId="19" xfId="0" applyNumberFormat="1" applyFont="1" applyBorder="1" applyAlignment="1">
      <alignment vertical="center" wrapText="1"/>
    </xf>
    <xf numFmtId="2" fontId="48" fillId="0" borderId="10" xfId="0" applyNumberFormat="1" applyFont="1" applyBorder="1" applyAlignment="1">
      <alignment vertical="center" wrapText="1"/>
    </xf>
    <xf numFmtId="2" fontId="48" fillId="0" borderId="11" xfId="0" applyNumberFormat="1" applyFont="1" applyBorder="1" applyAlignment="1">
      <alignment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2" fontId="69" fillId="0" borderId="10" xfId="0" applyNumberFormat="1" applyFont="1" applyBorder="1" applyAlignment="1">
      <alignment vertical="center" wrapText="1"/>
    </xf>
    <xf numFmtId="2" fontId="69" fillId="0" borderId="11" xfId="0" applyNumberFormat="1" applyFont="1" applyBorder="1" applyAlignment="1">
      <alignment vertical="center" wrapText="1"/>
    </xf>
    <xf numFmtId="2" fontId="91" fillId="0" borderId="10" xfId="0" applyNumberFormat="1" applyFont="1" applyBorder="1" applyAlignment="1">
      <alignment vertical="center" wrapText="1"/>
    </xf>
    <xf numFmtId="2" fontId="91" fillId="0" borderId="11" xfId="0" applyNumberFormat="1" applyFont="1" applyBorder="1" applyAlignment="1">
      <alignment vertical="center" wrapText="1"/>
    </xf>
    <xf numFmtId="2" fontId="102" fillId="0" borderId="10" xfId="0" applyNumberFormat="1" applyFont="1" applyBorder="1" applyAlignment="1">
      <alignment vertical="center" wrapText="1"/>
    </xf>
    <xf numFmtId="2" fontId="102" fillId="0" borderId="11" xfId="0" applyNumberFormat="1" applyFont="1" applyBorder="1" applyAlignment="1">
      <alignment vertical="center" wrapText="1"/>
    </xf>
    <xf numFmtId="2" fontId="109" fillId="0" borderId="10" xfId="0" applyNumberFormat="1" applyFont="1" applyBorder="1" applyAlignment="1">
      <alignment vertical="center" wrapText="1"/>
    </xf>
    <xf numFmtId="2" fontId="109" fillId="0" borderId="11" xfId="0" applyNumberFormat="1" applyFont="1" applyBorder="1" applyAlignment="1">
      <alignment vertical="center" wrapText="1"/>
    </xf>
    <xf numFmtId="2" fontId="66" fillId="0" borderId="10" xfId="0" applyNumberFormat="1" applyFont="1" applyBorder="1" applyAlignment="1">
      <alignment vertical="center" wrapText="1"/>
    </xf>
    <xf numFmtId="2" fontId="66" fillId="0" borderId="11" xfId="0" applyNumberFormat="1" applyFont="1" applyBorder="1" applyAlignment="1">
      <alignment vertical="center" wrapText="1"/>
    </xf>
    <xf numFmtId="2" fontId="30" fillId="0" borderId="10" xfId="0" applyNumberFormat="1" applyFont="1" applyBorder="1" applyAlignment="1">
      <alignment vertical="center" wrapText="1"/>
    </xf>
    <xf numFmtId="2" fontId="30" fillId="0" borderId="19" xfId="0" applyNumberFormat="1" applyFont="1" applyBorder="1" applyAlignment="1">
      <alignment vertical="center" wrapText="1"/>
    </xf>
    <xf numFmtId="2" fontId="122" fillId="0" borderId="10" xfId="0" applyNumberFormat="1" applyFont="1" applyBorder="1" applyAlignment="1">
      <alignment vertical="center" wrapText="1"/>
    </xf>
    <xf numFmtId="2" fontId="122" fillId="0" borderId="11" xfId="0" applyNumberFormat="1" applyFont="1" applyBorder="1" applyAlignment="1">
      <alignment vertical="center" wrapText="1"/>
    </xf>
    <xf numFmtId="0" fontId="120" fillId="5" borderId="25" xfId="0" applyFont="1" applyFill="1" applyBorder="1" applyAlignment="1">
      <alignment horizontal="center"/>
    </xf>
    <xf numFmtId="0" fontId="120" fillId="5" borderId="26" xfId="0" applyFont="1" applyFill="1" applyBorder="1" applyAlignment="1">
      <alignment horizontal="center"/>
    </xf>
    <xf numFmtId="0" fontId="120" fillId="5" borderId="2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5A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207"/>
  <sheetViews>
    <sheetView workbookViewId="0">
      <selection activeCell="E10" sqref="E10"/>
    </sheetView>
  </sheetViews>
  <sheetFormatPr defaultRowHeight="15" x14ac:dyDescent="0.25"/>
  <cols>
    <col min="2" max="2" width="10.42578125" bestFit="1" customWidth="1"/>
    <col min="4" max="4" width="10.42578125" bestFit="1" customWidth="1"/>
    <col min="7" max="7" width="10" bestFit="1" customWidth="1"/>
    <col min="10" max="10" width="14.42578125" bestFit="1" customWidth="1"/>
    <col min="11" max="11" width="14" bestFit="1" customWidth="1"/>
    <col min="15" max="15" width="11" customWidth="1"/>
  </cols>
  <sheetData>
    <row r="1" spans="1:15" ht="15.75" thickTop="1" x14ac:dyDescent="0.25">
      <c r="A1" s="2"/>
      <c r="B1" s="2"/>
      <c r="C1" s="717" t="s">
        <v>3</v>
      </c>
      <c r="D1" s="718"/>
      <c r="E1" s="717" t="s">
        <v>5</v>
      </c>
      <c r="F1" s="718"/>
      <c r="G1" s="717" t="s">
        <v>7</v>
      </c>
      <c r="H1" s="721"/>
      <c r="I1" s="718"/>
      <c r="J1" s="711" t="s">
        <v>9</v>
      </c>
      <c r="K1" s="712"/>
      <c r="L1" s="9"/>
    </row>
    <row r="2" spans="1:15" ht="20.25" thickBot="1" x14ac:dyDescent="0.3">
      <c r="A2" s="3" t="s">
        <v>0</v>
      </c>
      <c r="B2" s="7" t="s">
        <v>2</v>
      </c>
      <c r="C2" s="719" t="s">
        <v>4</v>
      </c>
      <c r="D2" s="720"/>
      <c r="E2" s="719" t="s">
        <v>6</v>
      </c>
      <c r="F2" s="720"/>
      <c r="G2" s="719" t="s">
        <v>8</v>
      </c>
      <c r="H2" s="722"/>
      <c r="I2" s="720"/>
      <c r="J2" s="713" t="s">
        <v>10</v>
      </c>
      <c r="K2" s="714"/>
      <c r="L2" s="1" t="s">
        <v>0</v>
      </c>
    </row>
    <row r="3" spans="1:15" ht="15.75" x14ac:dyDescent="0.25">
      <c r="A3" s="4" t="s">
        <v>1</v>
      </c>
      <c r="B3" s="715" t="s">
        <v>12</v>
      </c>
      <c r="C3" s="3" t="s">
        <v>13</v>
      </c>
      <c r="D3" s="3" t="s">
        <v>15</v>
      </c>
      <c r="E3" s="3" t="s">
        <v>13</v>
      </c>
      <c r="F3" s="3" t="s">
        <v>15</v>
      </c>
      <c r="G3" s="3" t="s">
        <v>13</v>
      </c>
      <c r="H3" s="3" t="s">
        <v>20</v>
      </c>
      <c r="I3" s="3" t="s">
        <v>15</v>
      </c>
      <c r="J3" s="3" t="s">
        <v>13</v>
      </c>
      <c r="K3" s="3" t="s">
        <v>15</v>
      </c>
      <c r="L3" s="8" t="s">
        <v>11</v>
      </c>
    </row>
    <row r="4" spans="1:15" ht="15.75" thickBot="1" x14ac:dyDescent="0.3">
      <c r="A4" s="5"/>
      <c r="B4" s="716"/>
      <c r="C4" s="11" t="s">
        <v>14</v>
      </c>
      <c r="D4" s="11" t="s">
        <v>16</v>
      </c>
      <c r="E4" s="12" t="s">
        <v>17</v>
      </c>
      <c r="F4" s="12" t="s">
        <v>18</v>
      </c>
      <c r="G4" s="11" t="s">
        <v>19</v>
      </c>
      <c r="H4" s="11" t="s">
        <v>21</v>
      </c>
      <c r="I4" s="11" t="s">
        <v>22</v>
      </c>
      <c r="J4" s="11" t="s">
        <v>23</v>
      </c>
      <c r="K4" s="11" t="s">
        <v>24</v>
      </c>
      <c r="L4" s="10"/>
    </row>
    <row r="5" spans="1:15" x14ac:dyDescent="0.25">
      <c r="A5" s="13">
        <v>-100</v>
      </c>
      <c r="B5" s="36">
        <v>0.56999999999999995</v>
      </c>
      <c r="C5" s="14">
        <v>5.9999999999999995E-4</v>
      </c>
      <c r="D5" s="53">
        <v>25</v>
      </c>
      <c r="E5" s="61">
        <v>1580.5</v>
      </c>
      <c r="F5" s="694">
        <v>0.04</v>
      </c>
      <c r="G5" s="74">
        <v>77.3</v>
      </c>
      <c r="H5" s="61">
        <v>259.89999999999998</v>
      </c>
      <c r="I5" s="74">
        <v>337.2</v>
      </c>
      <c r="J5" s="91">
        <v>0.44479999999999997</v>
      </c>
      <c r="K5" s="104">
        <v>1.946</v>
      </c>
      <c r="L5" s="15">
        <v>-100</v>
      </c>
    </row>
    <row r="6" spans="1:15" x14ac:dyDescent="0.25">
      <c r="A6" s="16">
        <v>-99</v>
      </c>
      <c r="B6" s="38">
        <v>0.63</v>
      </c>
      <c r="C6" s="14">
        <v>5.9999999999999995E-4</v>
      </c>
      <c r="D6" s="53">
        <v>22.7273</v>
      </c>
      <c r="E6" s="62">
        <v>1577.8</v>
      </c>
      <c r="F6" s="694">
        <v>4.3999999999999997E-2</v>
      </c>
      <c r="G6" s="74">
        <v>78.400000000000006</v>
      </c>
      <c r="H6" s="61">
        <v>259.39999999999998</v>
      </c>
      <c r="I6" s="74">
        <v>337.8</v>
      </c>
      <c r="J6" s="92">
        <v>0.45140000000000002</v>
      </c>
      <c r="K6" s="105">
        <v>1.9407000000000001</v>
      </c>
      <c r="L6" s="17">
        <v>-99</v>
      </c>
    </row>
    <row r="7" spans="1:15" x14ac:dyDescent="0.25">
      <c r="A7" s="13">
        <v>-98</v>
      </c>
      <c r="B7" s="38">
        <v>0.7</v>
      </c>
      <c r="C7" s="14">
        <v>5.9999999999999995E-4</v>
      </c>
      <c r="D7" s="53">
        <v>20.408200000000001</v>
      </c>
      <c r="E7" s="62">
        <v>1575</v>
      </c>
      <c r="F7" s="694">
        <v>4.9000000000000002E-2</v>
      </c>
      <c r="G7" s="74">
        <v>79.599999999999994</v>
      </c>
      <c r="H7" s="61">
        <v>258.8</v>
      </c>
      <c r="I7" s="74">
        <v>338.4</v>
      </c>
      <c r="J7" s="92">
        <v>0.45810000000000001</v>
      </c>
      <c r="K7" s="105">
        <v>1.9356</v>
      </c>
      <c r="L7" s="17">
        <v>-98</v>
      </c>
    </row>
    <row r="8" spans="1:15" x14ac:dyDescent="0.25">
      <c r="A8" s="16">
        <v>-97</v>
      </c>
      <c r="B8" s="38">
        <v>0.77</v>
      </c>
      <c r="C8" s="14">
        <v>5.9999999999999995E-4</v>
      </c>
      <c r="D8" s="54">
        <v>18.5185</v>
      </c>
      <c r="E8" s="62">
        <v>1572.3</v>
      </c>
      <c r="F8" s="694">
        <v>5.3999999999999999E-2</v>
      </c>
      <c r="G8" s="74">
        <v>80.7</v>
      </c>
      <c r="H8" s="61">
        <v>258.2</v>
      </c>
      <c r="I8" s="74">
        <v>339</v>
      </c>
      <c r="J8" s="92">
        <v>0.46460000000000001</v>
      </c>
      <c r="K8" s="105">
        <v>1.9306000000000001</v>
      </c>
      <c r="L8" s="17">
        <v>-97</v>
      </c>
    </row>
    <row r="9" spans="1:15" x14ac:dyDescent="0.25">
      <c r="A9" s="13">
        <v>-96</v>
      </c>
      <c r="B9" s="38">
        <v>0.86</v>
      </c>
      <c r="C9" s="14">
        <v>5.9999999999999995E-4</v>
      </c>
      <c r="D9" s="54">
        <v>16.949200000000001</v>
      </c>
      <c r="E9" s="62">
        <v>1569.5</v>
      </c>
      <c r="F9" s="694">
        <v>5.8999999999999997E-2</v>
      </c>
      <c r="G9" s="74">
        <v>81.900000000000006</v>
      </c>
      <c r="H9" s="61">
        <v>257.7</v>
      </c>
      <c r="I9" s="74">
        <v>339.6</v>
      </c>
      <c r="J9" s="92">
        <v>0.47110000000000002</v>
      </c>
      <c r="K9" s="105">
        <v>1.9257</v>
      </c>
      <c r="L9" s="17">
        <v>-96</v>
      </c>
    </row>
    <row r="10" spans="1:15" x14ac:dyDescent="0.25">
      <c r="A10" s="13">
        <v>-95</v>
      </c>
      <c r="B10" s="38">
        <v>0.95</v>
      </c>
      <c r="C10" s="14">
        <v>5.9999999999999995E-4</v>
      </c>
      <c r="D10" s="54">
        <v>15.384600000000001</v>
      </c>
      <c r="E10" s="62">
        <v>1566.8</v>
      </c>
      <c r="F10" s="694">
        <v>6.5000000000000002E-2</v>
      </c>
      <c r="G10" s="74">
        <v>81</v>
      </c>
      <c r="H10" s="61">
        <v>257.10000000000002</v>
      </c>
      <c r="I10" s="74">
        <v>340.1</v>
      </c>
      <c r="J10" s="92">
        <v>0.47760000000000002</v>
      </c>
      <c r="K10" s="105">
        <v>1.9209000000000001</v>
      </c>
      <c r="L10" s="17">
        <v>-95</v>
      </c>
    </row>
    <row r="11" spans="1:15" x14ac:dyDescent="0.25">
      <c r="A11" s="16">
        <v>-94</v>
      </c>
      <c r="B11" s="38">
        <v>1.04</v>
      </c>
      <c r="C11" s="14">
        <v>5.9999999999999995E-4</v>
      </c>
      <c r="D11" s="53">
        <v>13.8889</v>
      </c>
      <c r="E11" s="62">
        <v>1564.1</v>
      </c>
      <c r="F11" s="694">
        <v>7.1999999999999995E-2</v>
      </c>
      <c r="G11" s="74">
        <v>84.2</v>
      </c>
      <c r="H11" s="61">
        <v>256.60000000000002</v>
      </c>
      <c r="I11" s="74">
        <v>340.7</v>
      </c>
      <c r="J11" s="92">
        <v>0.48409999999999997</v>
      </c>
      <c r="K11" s="105">
        <v>1.9160999999999999</v>
      </c>
      <c r="L11" s="17">
        <v>-94</v>
      </c>
    </row>
    <row r="12" spans="1:15" x14ac:dyDescent="0.25">
      <c r="A12" s="13">
        <v>-93</v>
      </c>
      <c r="B12" s="38">
        <v>1.1499999999999999</v>
      </c>
      <c r="C12" s="14">
        <v>5.9999999999999995E-4</v>
      </c>
      <c r="D12" s="54">
        <v>12.658200000000001</v>
      </c>
      <c r="E12" s="62">
        <v>1561.3</v>
      </c>
      <c r="F12" s="694">
        <v>7.9000000000000001E-2</v>
      </c>
      <c r="G12" s="74">
        <v>85.3</v>
      </c>
      <c r="H12" s="61">
        <v>256</v>
      </c>
      <c r="I12" s="74">
        <v>341.3</v>
      </c>
      <c r="J12" s="92">
        <v>0.49049999999999999</v>
      </c>
      <c r="K12" s="105">
        <v>1.9115</v>
      </c>
      <c r="L12" s="17">
        <v>-93</v>
      </c>
      <c r="O12" s="37"/>
    </row>
    <row r="13" spans="1:15" x14ac:dyDescent="0.25">
      <c r="A13" s="16">
        <v>-92</v>
      </c>
      <c r="B13" s="38">
        <v>1.27</v>
      </c>
      <c r="C13" s="14">
        <v>5.9999999999999995E-4</v>
      </c>
      <c r="D13" s="54">
        <v>11.6279</v>
      </c>
      <c r="E13" s="62">
        <v>1558.6</v>
      </c>
      <c r="F13" s="694">
        <v>8.5999999999999993E-2</v>
      </c>
      <c r="G13" s="74">
        <v>86.5</v>
      </c>
      <c r="H13" s="61">
        <v>255.4</v>
      </c>
      <c r="I13" s="74">
        <v>341.9</v>
      </c>
      <c r="J13" s="92">
        <v>0.49680000000000002</v>
      </c>
      <c r="K13" s="105">
        <v>1.907</v>
      </c>
      <c r="L13" s="17">
        <v>-92</v>
      </c>
    </row>
    <row r="14" spans="1:15" x14ac:dyDescent="0.25">
      <c r="A14" s="13">
        <v>-91</v>
      </c>
      <c r="B14" s="38">
        <v>1.4</v>
      </c>
      <c r="C14" s="14">
        <v>5.9999999999999995E-4</v>
      </c>
      <c r="D14" s="54">
        <v>10.638299999999999</v>
      </c>
      <c r="E14" s="62">
        <v>1555.8</v>
      </c>
      <c r="F14" s="694">
        <v>9.4E-2</v>
      </c>
      <c r="G14" s="74">
        <v>87.6</v>
      </c>
      <c r="H14" s="61">
        <v>254.9</v>
      </c>
      <c r="I14" s="74">
        <v>342.5</v>
      </c>
      <c r="J14" s="92">
        <v>0.50319999999999998</v>
      </c>
      <c r="K14" s="105">
        <v>1.9025000000000001</v>
      </c>
      <c r="L14" s="17">
        <v>-91</v>
      </c>
    </row>
    <row r="15" spans="1:15" x14ac:dyDescent="0.25">
      <c r="A15" s="16">
        <v>-90</v>
      </c>
      <c r="B15" s="38">
        <v>1.53</v>
      </c>
      <c r="C15" s="14">
        <v>5.9999999999999995E-4</v>
      </c>
      <c r="D15" s="53">
        <v>9.7087000000000003</v>
      </c>
      <c r="E15" s="62">
        <v>1551.1</v>
      </c>
      <c r="F15" s="694">
        <v>0.10299999999999999</v>
      </c>
      <c r="G15" s="74">
        <v>88.8</v>
      </c>
      <c r="H15" s="61">
        <v>254.3</v>
      </c>
      <c r="I15" s="74">
        <v>341.1</v>
      </c>
      <c r="J15" s="92">
        <v>0.50949999999999995</v>
      </c>
      <c r="K15" s="105">
        <v>1.8982000000000001</v>
      </c>
      <c r="L15" s="17">
        <v>-90</v>
      </c>
    </row>
    <row r="16" spans="1:15" x14ac:dyDescent="0.25">
      <c r="A16" s="16">
        <v>-89</v>
      </c>
      <c r="B16" s="38">
        <v>1.68</v>
      </c>
      <c r="C16" s="14">
        <v>5.9999999999999995E-4</v>
      </c>
      <c r="D16" s="53">
        <v>8.9285999999999994</v>
      </c>
      <c r="E16" s="62">
        <v>1550.4</v>
      </c>
      <c r="F16" s="694">
        <v>0.112</v>
      </c>
      <c r="G16" s="74">
        <v>89.9</v>
      </c>
      <c r="H16" s="61">
        <v>251.8</v>
      </c>
      <c r="I16" s="74">
        <v>343.7</v>
      </c>
      <c r="J16" s="92">
        <v>0.51580000000000004</v>
      </c>
      <c r="K16" s="105">
        <v>1.8938999999999999</v>
      </c>
      <c r="L16" s="17">
        <v>-89</v>
      </c>
    </row>
    <row r="17" spans="1:12" x14ac:dyDescent="0.25">
      <c r="A17" s="16">
        <v>-88</v>
      </c>
      <c r="B17" s="38">
        <v>1.84</v>
      </c>
      <c r="C17" s="14">
        <v>5.9999999999999995E-4</v>
      </c>
      <c r="D17" s="53">
        <v>8.1966999999999999</v>
      </c>
      <c r="E17" s="62">
        <v>1547.6</v>
      </c>
      <c r="F17" s="694">
        <v>0.122</v>
      </c>
      <c r="G17" s="74">
        <v>91.1</v>
      </c>
      <c r="H17" s="61">
        <v>251.2</v>
      </c>
      <c r="I17" s="74">
        <v>344.3</v>
      </c>
      <c r="J17" s="92">
        <v>0.52200000000000002</v>
      </c>
      <c r="K17" s="104">
        <v>1.8897999999999999</v>
      </c>
      <c r="L17" s="17">
        <v>-88</v>
      </c>
    </row>
    <row r="18" spans="1:12" x14ac:dyDescent="0.25">
      <c r="A18" s="16">
        <v>-87</v>
      </c>
      <c r="B18" s="36">
        <v>2.02</v>
      </c>
      <c r="C18" s="14">
        <v>5.9999999999999995E-4</v>
      </c>
      <c r="D18" s="53">
        <v>7.5187999999999997</v>
      </c>
      <c r="E18" s="62">
        <v>1544.9</v>
      </c>
      <c r="F18" s="694">
        <v>0.13300000000000001</v>
      </c>
      <c r="G18" s="74">
        <v>92.3</v>
      </c>
      <c r="H18" s="61">
        <v>252.7</v>
      </c>
      <c r="I18" s="74">
        <v>344.9</v>
      </c>
      <c r="J18" s="92">
        <v>0.5282</v>
      </c>
      <c r="K18" s="105">
        <v>1.8856999999999999</v>
      </c>
      <c r="L18" s="17">
        <v>-87</v>
      </c>
    </row>
    <row r="19" spans="1:12" x14ac:dyDescent="0.25">
      <c r="A19" s="16">
        <v>-86</v>
      </c>
      <c r="B19" s="36">
        <v>2.2000000000000002</v>
      </c>
      <c r="C19" s="14">
        <v>5.9999999999999995E-4</v>
      </c>
      <c r="D19" s="53">
        <v>6.8966000000000003</v>
      </c>
      <c r="E19" s="62">
        <v>1542.1</v>
      </c>
      <c r="F19" s="694">
        <v>0.14499999999999999</v>
      </c>
      <c r="G19" s="74">
        <v>93.4</v>
      </c>
      <c r="H19" s="61">
        <v>252.1</v>
      </c>
      <c r="I19" s="74">
        <v>345.5</v>
      </c>
      <c r="J19" s="92">
        <v>0.53439999999999999</v>
      </c>
      <c r="K19" s="105">
        <v>1.8816999999999999</v>
      </c>
      <c r="L19" s="17">
        <v>-86</v>
      </c>
    </row>
    <row r="20" spans="1:12" x14ac:dyDescent="0.25">
      <c r="A20" s="16">
        <v>-85</v>
      </c>
      <c r="B20" s="36">
        <v>2.41</v>
      </c>
      <c r="C20" s="14">
        <v>5.9999999999999995E-4</v>
      </c>
      <c r="D20" s="53">
        <v>6.3291000000000004</v>
      </c>
      <c r="E20" s="62">
        <v>1539.4</v>
      </c>
      <c r="F20" s="694">
        <v>0.158</v>
      </c>
      <c r="G20" s="74">
        <v>94.6</v>
      </c>
      <c r="H20" s="61">
        <v>251.6</v>
      </c>
      <c r="I20" s="74">
        <v>346.2</v>
      </c>
      <c r="J20" s="92">
        <v>0.54059999999999997</v>
      </c>
      <c r="K20" s="105">
        <v>1.8777999999999999</v>
      </c>
      <c r="L20" s="17">
        <v>-85</v>
      </c>
    </row>
    <row r="21" spans="1:12" x14ac:dyDescent="0.25">
      <c r="A21" s="16">
        <v>-84</v>
      </c>
      <c r="B21" s="36">
        <v>2.63</v>
      </c>
      <c r="C21" s="14">
        <v>5.9999999999999995E-4</v>
      </c>
      <c r="D21" s="53">
        <v>5.8479999999999999</v>
      </c>
      <c r="E21" s="62">
        <v>1536.7</v>
      </c>
      <c r="F21" s="694">
        <v>0.17100000000000001</v>
      </c>
      <c r="G21" s="75">
        <v>95.7</v>
      </c>
      <c r="H21" s="61">
        <v>251</v>
      </c>
      <c r="I21" s="74">
        <v>346.8</v>
      </c>
      <c r="J21" s="92">
        <v>0.54669999999999996</v>
      </c>
      <c r="K21" s="105">
        <v>1.8738999999999999</v>
      </c>
      <c r="L21" s="17">
        <v>-84</v>
      </c>
    </row>
    <row r="22" spans="1:12" x14ac:dyDescent="0.25">
      <c r="A22" s="16">
        <v>-83</v>
      </c>
      <c r="B22" s="36">
        <v>2.86</v>
      </c>
      <c r="C22" s="14">
        <v>6.9999999999999999E-4</v>
      </c>
      <c r="D22" s="55">
        <v>5.4054000000000002</v>
      </c>
      <c r="E22" s="62">
        <v>1531.9</v>
      </c>
      <c r="F22" s="694">
        <v>0.185</v>
      </c>
      <c r="G22" s="74">
        <v>96.9</v>
      </c>
      <c r="H22" s="61">
        <v>250.5</v>
      </c>
      <c r="I22" s="74">
        <v>347.4</v>
      </c>
      <c r="J22" s="92">
        <v>0.55279999999999996</v>
      </c>
      <c r="K22" s="105">
        <v>1.8702000000000001</v>
      </c>
      <c r="L22" s="17">
        <v>-83</v>
      </c>
    </row>
    <row r="23" spans="1:12" x14ac:dyDescent="0.25">
      <c r="A23" s="16">
        <v>-82</v>
      </c>
      <c r="B23" s="36">
        <v>3.11</v>
      </c>
      <c r="C23" s="14">
        <v>6.9999999999999999E-4</v>
      </c>
      <c r="D23" s="53">
        <v>4.9751000000000003</v>
      </c>
      <c r="E23" s="62">
        <v>1531.2</v>
      </c>
      <c r="F23" s="694">
        <v>0.20100000000000001</v>
      </c>
      <c r="G23" s="74">
        <v>98</v>
      </c>
      <c r="H23" s="61">
        <v>249.9</v>
      </c>
      <c r="I23" s="74">
        <v>348</v>
      </c>
      <c r="J23" s="92">
        <v>0.55889999999999995</v>
      </c>
      <c r="K23" s="105">
        <v>1.8665</v>
      </c>
      <c r="L23" s="17">
        <v>-82</v>
      </c>
    </row>
    <row r="24" spans="1:12" x14ac:dyDescent="0.25">
      <c r="A24" s="16">
        <v>-81</v>
      </c>
      <c r="B24" s="36">
        <v>3.39</v>
      </c>
      <c r="C24" s="14">
        <v>6.9999999999999999E-4</v>
      </c>
      <c r="D24" s="53">
        <v>4.6082999999999998</v>
      </c>
      <c r="E24" s="62">
        <v>1528.5</v>
      </c>
      <c r="F24" s="694">
        <v>0.217</v>
      </c>
      <c r="G24" s="74">
        <v>99.2</v>
      </c>
      <c r="H24" s="61">
        <v>249.4</v>
      </c>
      <c r="I24" s="74">
        <v>348.6</v>
      </c>
      <c r="J24" s="92">
        <v>0.56499999999999995</v>
      </c>
      <c r="K24" s="105">
        <v>1.8629</v>
      </c>
      <c r="L24" s="17">
        <v>-81</v>
      </c>
    </row>
    <row r="25" spans="1:12" x14ac:dyDescent="0.25">
      <c r="A25" s="16">
        <v>-80</v>
      </c>
      <c r="B25" s="36">
        <v>3.68</v>
      </c>
      <c r="C25" s="14">
        <v>6.9999999999999999E-4</v>
      </c>
      <c r="D25" s="53">
        <v>4.2553000000000001</v>
      </c>
      <c r="E25" s="62">
        <v>1525.7</v>
      </c>
      <c r="F25" s="694">
        <v>0.23499999999999999</v>
      </c>
      <c r="G25" s="75">
        <v>100.4</v>
      </c>
      <c r="H25" s="61">
        <v>248.8</v>
      </c>
      <c r="I25" s="74">
        <v>349.2</v>
      </c>
      <c r="J25" s="92">
        <v>0.57099999999999995</v>
      </c>
      <c r="K25" s="105">
        <v>1.8593999999999999</v>
      </c>
      <c r="L25" s="17">
        <v>-80</v>
      </c>
    </row>
    <row r="26" spans="1:12" x14ac:dyDescent="0.25">
      <c r="A26" s="16">
        <v>-79</v>
      </c>
      <c r="B26" s="36">
        <v>3.99</v>
      </c>
      <c r="C26" s="14">
        <v>6.9999999999999999E-4</v>
      </c>
      <c r="D26" s="53">
        <v>3.9525999999999999</v>
      </c>
      <c r="E26" s="62">
        <v>1523</v>
      </c>
      <c r="F26" s="694">
        <v>0.253</v>
      </c>
      <c r="G26" s="76">
        <v>101.5</v>
      </c>
      <c r="H26" s="61">
        <v>248.3</v>
      </c>
      <c r="I26" s="74">
        <v>349.8</v>
      </c>
      <c r="J26" s="92">
        <v>0.57699999999999996</v>
      </c>
      <c r="K26" s="105">
        <v>1.8559000000000001</v>
      </c>
      <c r="L26" s="17">
        <v>-79</v>
      </c>
    </row>
    <row r="27" spans="1:12" x14ac:dyDescent="0.25">
      <c r="A27" s="16">
        <v>-78</v>
      </c>
      <c r="B27" s="36">
        <v>4.33</v>
      </c>
      <c r="C27" s="14">
        <v>6.9999999999999999E-4</v>
      </c>
      <c r="D27" s="53">
        <v>3.6629999999999998</v>
      </c>
      <c r="E27" s="62">
        <v>1520.2</v>
      </c>
      <c r="F27" s="694">
        <v>0.27300000000000002</v>
      </c>
      <c r="G27" s="75">
        <v>102.7</v>
      </c>
      <c r="H27" s="61">
        <v>247.7</v>
      </c>
      <c r="I27" s="74">
        <v>350.4</v>
      </c>
      <c r="J27" s="92">
        <v>0.58299999999999996</v>
      </c>
      <c r="K27" s="105">
        <v>1.8525</v>
      </c>
      <c r="L27" s="17">
        <v>-78</v>
      </c>
    </row>
    <row r="28" spans="1:12" x14ac:dyDescent="0.25">
      <c r="A28" s="16">
        <v>-77</v>
      </c>
      <c r="B28" s="38">
        <v>4.6900000000000004</v>
      </c>
      <c r="C28" s="14">
        <v>6.9999999999999999E-4</v>
      </c>
      <c r="D28" s="53">
        <v>3.3898000000000001</v>
      </c>
      <c r="E28" s="62">
        <v>1517.5</v>
      </c>
      <c r="F28" s="694">
        <v>0.29499999999999998</v>
      </c>
      <c r="G28" s="75">
        <v>101.9</v>
      </c>
      <c r="H28" s="61">
        <v>247.2</v>
      </c>
      <c r="I28" s="74">
        <v>351.1</v>
      </c>
      <c r="J28" s="92">
        <v>0.58899999999999997</v>
      </c>
      <c r="K28" s="104">
        <v>1.8492</v>
      </c>
      <c r="L28" s="17">
        <v>-77</v>
      </c>
    </row>
    <row r="29" spans="1:12" x14ac:dyDescent="0.25">
      <c r="A29" s="16">
        <v>-76</v>
      </c>
      <c r="B29" s="36">
        <v>5.07</v>
      </c>
      <c r="C29" s="14">
        <v>6.9999999999999999E-4</v>
      </c>
      <c r="D29" s="53">
        <v>3.1545999999999998</v>
      </c>
      <c r="E29" s="62">
        <v>1514.8</v>
      </c>
      <c r="F29" s="694">
        <v>0.317</v>
      </c>
      <c r="G29" s="75">
        <v>105</v>
      </c>
      <c r="H29" s="61">
        <v>246.6</v>
      </c>
      <c r="I29" s="74">
        <v>351.7</v>
      </c>
      <c r="J29" s="92">
        <v>0.59489999999999998</v>
      </c>
      <c r="K29" s="104">
        <v>1.8460000000000001</v>
      </c>
      <c r="L29" s="17">
        <v>-76</v>
      </c>
    </row>
    <row r="30" spans="1:12" x14ac:dyDescent="0.25">
      <c r="A30" s="16">
        <v>-75</v>
      </c>
      <c r="B30" s="36">
        <v>5.48</v>
      </c>
      <c r="C30" s="14">
        <v>6.9999999999999999E-4</v>
      </c>
      <c r="D30" s="53">
        <v>2.9325999999999999</v>
      </c>
      <c r="E30" s="62">
        <v>1512</v>
      </c>
      <c r="F30" s="694">
        <v>0.34100000000000003</v>
      </c>
      <c r="G30" s="75">
        <v>106.2</v>
      </c>
      <c r="H30" s="61">
        <v>246.1</v>
      </c>
      <c r="I30" s="74">
        <v>352.3</v>
      </c>
      <c r="J30" s="92">
        <v>0.60089999999999999</v>
      </c>
      <c r="K30" s="105">
        <v>1.8428</v>
      </c>
      <c r="L30" s="17">
        <v>-75</v>
      </c>
    </row>
    <row r="31" spans="1:12" x14ac:dyDescent="0.25">
      <c r="A31" s="16">
        <v>-74</v>
      </c>
      <c r="B31" s="36">
        <v>5.92</v>
      </c>
      <c r="C31" s="14">
        <v>6.9999999999999999E-4</v>
      </c>
      <c r="D31" s="53">
        <v>2.7248000000000001</v>
      </c>
      <c r="E31" s="62">
        <v>1509.3</v>
      </c>
      <c r="F31" s="694">
        <v>0.36699999999999999</v>
      </c>
      <c r="G31" s="75">
        <v>107.4</v>
      </c>
      <c r="H31" s="61">
        <v>245.5</v>
      </c>
      <c r="I31" s="74">
        <v>352.9</v>
      </c>
      <c r="J31" s="92">
        <v>0.60680000000000001</v>
      </c>
      <c r="K31" s="105">
        <v>1.8396999999999999</v>
      </c>
      <c r="L31" s="17">
        <v>-74</v>
      </c>
    </row>
    <row r="32" spans="1:12" x14ac:dyDescent="0.25">
      <c r="A32" s="16">
        <v>-73</v>
      </c>
      <c r="B32" s="36">
        <v>6.39</v>
      </c>
      <c r="C32" s="14">
        <v>6.9999999999999999E-4</v>
      </c>
      <c r="D32" s="53">
        <v>2.5381</v>
      </c>
      <c r="E32" s="62">
        <v>1506.5</v>
      </c>
      <c r="F32" s="694">
        <v>0.39400000000000002</v>
      </c>
      <c r="G32" s="75">
        <v>108.6</v>
      </c>
      <c r="H32" s="61">
        <v>245</v>
      </c>
      <c r="I32" s="74">
        <v>351.5</v>
      </c>
      <c r="J32" s="92">
        <v>0.61260000000000003</v>
      </c>
      <c r="K32" s="105">
        <v>1.8366</v>
      </c>
      <c r="L32" s="17">
        <v>-73</v>
      </c>
    </row>
    <row r="33" spans="1:12" x14ac:dyDescent="0.25">
      <c r="A33" s="16">
        <v>-72</v>
      </c>
      <c r="B33" s="36">
        <v>6.89</v>
      </c>
      <c r="C33" s="14">
        <v>6.9999999999999999E-4</v>
      </c>
      <c r="D33" s="53">
        <v>2.3641000000000001</v>
      </c>
      <c r="E33" s="62">
        <v>1501.8</v>
      </c>
      <c r="F33" s="694">
        <v>0.42299999999999999</v>
      </c>
      <c r="G33" s="75">
        <v>109.7</v>
      </c>
      <c r="H33" s="61">
        <v>244.4</v>
      </c>
      <c r="I33" s="74">
        <v>354.2</v>
      </c>
      <c r="J33" s="92">
        <v>0.61850000000000005</v>
      </c>
      <c r="K33" s="104">
        <v>1.8335999999999999</v>
      </c>
      <c r="L33" s="17">
        <v>-72</v>
      </c>
    </row>
    <row r="34" spans="1:12" x14ac:dyDescent="0.25">
      <c r="A34" s="16">
        <v>-71</v>
      </c>
      <c r="B34" s="36">
        <v>7.42</v>
      </c>
      <c r="C34" s="14">
        <v>6.9999999999999999E-4</v>
      </c>
      <c r="D34" s="53">
        <v>2.2075</v>
      </c>
      <c r="E34" s="62">
        <v>1501</v>
      </c>
      <c r="F34" s="694">
        <v>0.45300000000000001</v>
      </c>
      <c r="G34" s="75">
        <v>110.9</v>
      </c>
      <c r="H34" s="61">
        <v>241.9</v>
      </c>
      <c r="I34" s="74">
        <v>354.8</v>
      </c>
      <c r="J34" s="92">
        <v>0.62429999999999997</v>
      </c>
      <c r="K34" s="105">
        <v>1.8307</v>
      </c>
      <c r="L34" s="17">
        <v>-71</v>
      </c>
    </row>
    <row r="35" spans="1:12" x14ac:dyDescent="0.25">
      <c r="A35" s="16">
        <v>-70</v>
      </c>
      <c r="B35" s="36">
        <v>7.98</v>
      </c>
      <c r="C35" s="14">
        <v>6.9999999999999999E-4</v>
      </c>
      <c r="D35" s="53">
        <v>2.0575999999999999</v>
      </c>
      <c r="E35" s="62">
        <v>1498.3</v>
      </c>
      <c r="F35" s="694">
        <v>0.48599999999999999</v>
      </c>
      <c r="G35" s="75">
        <v>112.1</v>
      </c>
      <c r="H35" s="61">
        <v>241.3</v>
      </c>
      <c r="I35" s="74">
        <v>355.4</v>
      </c>
      <c r="J35" s="92">
        <v>0.63019999999999998</v>
      </c>
      <c r="K35" s="105">
        <v>1.8279000000000001</v>
      </c>
      <c r="L35" s="17">
        <v>-70</v>
      </c>
    </row>
    <row r="36" spans="1:12" x14ac:dyDescent="0.25">
      <c r="A36" s="16">
        <v>-69</v>
      </c>
      <c r="B36" s="36">
        <v>8.58</v>
      </c>
      <c r="C36" s="14">
        <v>6.9999999999999999E-4</v>
      </c>
      <c r="D36" s="54">
        <v>1.9231</v>
      </c>
      <c r="E36" s="62">
        <v>1495.5</v>
      </c>
      <c r="F36" s="694">
        <v>0.52</v>
      </c>
      <c r="G36" s="75">
        <v>113.3</v>
      </c>
      <c r="H36" s="61">
        <v>242.8</v>
      </c>
      <c r="I36" s="74">
        <v>356</v>
      </c>
      <c r="J36" s="92">
        <v>0.63600000000000001</v>
      </c>
      <c r="K36" s="105">
        <v>1.8250999999999999</v>
      </c>
      <c r="L36" s="17">
        <v>-69</v>
      </c>
    </row>
    <row r="37" spans="1:12" x14ac:dyDescent="0.25">
      <c r="A37" s="16">
        <v>-68</v>
      </c>
      <c r="B37" s="38">
        <v>9.2200000000000006</v>
      </c>
      <c r="C37" s="14">
        <v>6.9999999999999999E-4</v>
      </c>
      <c r="D37" s="53">
        <v>1.7986</v>
      </c>
      <c r="E37" s="62">
        <v>1492.8</v>
      </c>
      <c r="F37" s="694">
        <v>0.55600000000000005</v>
      </c>
      <c r="G37" s="75">
        <v>114.5</v>
      </c>
      <c r="H37" s="61">
        <v>242.2</v>
      </c>
      <c r="I37" s="74">
        <v>356.6</v>
      </c>
      <c r="J37" s="92">
        <v>0.64170000000000005</v>
      </c>
      <c r="K37" s="105">
        <v>1.8223</v>
      </c>
      <c r="L37" s="17">
        <v>-68</v>
      </c>
    </row>
    <row r="38" spans="1:12" x14ac:dyDescent="0.25">
      <c r="A38" s="16">
        <v>-67</v>
      </c>
      <c r="B38" s="36">
        <v>9.89</v>
      </c>
      <c r="C38" s="14">
        <v>6.9999999999999999E-4</v>
      </c>
      <c r="D38" s="54">
        <v>1.6835</v>
      </c>
      <c r="E38" s="62">
        <v>1490</v>
      </c>
      <c r="F38" s="694">
        <v>0.59399999999999997</v>
      </c>
      <c r="G38" s="75">
        <v>115.6</v>
      </c>
      <c r="H38" s="61">
        <v>241.6</v>
      </c>
      <c r="I38" s="74">
        <v>357.3</v>
      </c>
      <c r="J38" s="91">
        <v>0.64749999999999996</v>
      </c>
      <c r="K38" s="105">
        <v>1.8196000000000001</v>
      </c>
      <c r="L38" s="17">
        <v>-67</v>
      </c>
    </row>
    <row r="39" spans="1:12" x14ac:dyDescent="0.25">
      <c r="A39" s="16">
        <v>-66</v>
      </c>
      <c r="B39" s="39">
        <v>10.61</v>
      </c>
      <c r="C39" s="14">
        <v>6.9999999999999999E-4</v>
      </c>
      <c r="D39" s="54">
        <v>1.5772999999999999</v>
      </c>
      <c r="E39" s="62">
        <v>1487.3</v>
      </c>
      <c r="F39" s="694">
        <v>0.63400000000000001</v>
      </c>
      <c r="G39" s="75">
        <v>116.8</v>
      </c>
      <c r="H39" s="61">
        <v>241.1</v>
      </c>
      <c r="I39" s="74">
        <v>357.9</v>
      </c>
      <c r="J39" s="92">
        <v>0.6532</v>
      </c>
      <c r="K39" s="104">
        <v>1.8169999999999999</v>
      </c>
      <c r="L39" s="17">
        <v>-66</v>
      </c>
    </row>
    <row r="40" spans="1:12" x14ac:dyDescent="0.25">
      <c r="A40" s="16">
        <v>-65</v>
      </c>
      <c r="B40" s="39">
        <v>11.37</v>
      </c>
      <c r="C40" s="14">
        <v>6.9999999999999999E-4</v>
      </c>
      <c r="D40" s="54">
        <v>1.4771000000000001</v>
      </c>
      <c r="E40" s="62">
        <v>1484.5</v>
      </c>
      <c r="F40" s="694">
        <v>0.67700000000000005</v>
      </c>
      <c r="G40" s="75">
        <v>118</v>
      </c>
      <c r="H40" s="61">
        <v>240.5</v>
      </c>
      <c r="I40" s="74">
        <v>358.5</v>
      </c>
      <c r="J40" s="92">
        <v>0.65900000000000003</v>
      </c>
      <c r="K40" s="105">
        <v>1.8144</v>
      </c>
      <c r="L40" s="17">
        <v>-65</v>
      </c>
    </row>
    <row r="41" spans="1:12" x14ac:dyDescent="0.25">
      <c r="A41" s="16">
        <v>-64</v>
      </c>
      <c r="B41" s="39">
        <v>12.18</v>
      </c>
      <c r="C41" s="14">
        <v>6.9999999999999999E-4</v>
      </c>
      <c r="D41" s="53">
        <v>1.385</v>
      </c>
      <c r="E41" s="62">
        <v>1481.8</v>
      </c>
      <c r="F41" s="694">
        <v>0.72199999999999998</v>
      </c>
      <c r="G41" s="75">
        <v>119.2</v>
      </c>
      <c r="H41" s="61">
        <v>239.9</v>
      </c>
      <c r="I41" s="74">
        <v>359.2</v>
      </c>
      <c r="J41" s="92">
        <v>0.66469999999999996</v>
      </c>
      <c r="K41" s="105">
        <v>1.8119000000000001</v>
      </c>
      <c r="L41" s="17">
        <v>-64</v>
      </c>
    </row>
    <row r="42" spans="1:12" x14ac:dyDescent="0.25">
      <c r="A42" s="16">
        <v>-63</v>
      </c>
      <c r="B42" s="39">
        <v>11.03</v>
      </c>
      <c r="C42" s="14">
        <v>6.9999999999999999E-4</v>
      </c>
      <c r="D42" s="54">
        <v>1.3004</v>
      </c>
      <c r="E42" s="62">
        <v>1479</v>
      </c>
      <c r="F42" s="694">
        <v>0.76900000000000002</v>
      </c>
      <c r="G42" s="76">
        <v>120.4</v>
      </c>
      <c r="H42" s="61">
        <v>239.4</v>
      </c>
      <c r="I42" s="74">
        <v>359.8</v>
      </c>
      <c r="J42" s="91">
        <v>0.6704</v>
      </c>
      <c r="K42" s="105">
        <v>1.8095000000000001</v>
      </c>
      <c r="L42" s="17">
        <v>-63</v>
      </c>
    </row>
    <row r="43" spans="1:12" x14ac:dyDescent="0.25">
      <c r="A43" s="16">
        <v>-62</v>
      </c>
      <c r="B43" s="40">
        <v>13.93</v>
      </c>
      <c r="C43" s="14">
        <v>6.9999999999999999E-4</v>
      </c>
      <c r="D43" s="54">
        <v>1.2210000000000001</v>
      </c>
      <c r="E43" s="62">
        <v>1476.3</v>
      </c>
      <c r="F43" s="694">
        <v>0.81899999999999995</v>
      </c>
      <c r="G43" s="75">
        <v>121.6</v>
      </c>
      <c r="H43" s="61">
        <v>238.8</v>
      </c>
      <c r="I43" s="74">
        <v>360.4</v>
      </c>
      <c r="J43" s="92">
        <v>0.67600000000000005</v>
      </c>
      <c r="K43" s="105">
        <v>1.8070999999999999</v>
      </c>
      <c r="L43" s="17">
        <v>-62</v>
      </c>
    </row>
    <row r="44" spans="1:12" x14ac:dyDescent="0.25">
      <c r="A44" s="16">
        <v>-61</v>
      </c>
      <c r="B44" s="39">
        <v>14.88</v>
      </c>
      <c r="C44" s="14">
        <v>6.9999999999999999E-4</v>
      </c>
      <c r="D44" s="54">
        <v>1.1480999999999999</v>
      </c>
      <c r="E44" s="62">
        <v>1473.5</v>
      </c>
      <c r="F44" s="694">
        <v>0.871</v>
      </c>
      <c r="G44" s="75">
        <v>122.8</v>
      </c>
      <c r="H44" s="61">
        <v>238.2</v>
      </c>
      <c r="I44" s="74">
        <v>361</v>
      </c>
      <c r="J44" s="92">
        <v>0.68169999999999997</v>
      </c>
      <c r="K44" s="105">
        <v>1.8047</v>
      </c>
      <c r="L44" s="17">
        <v>-61</v>
      </c>
    </row>
    <row r="45" spans="1:12" x14ac:dyDescent="0.25">
      <c r="A45" s="16">
        <v>-60</v>
      </c>
      <c r="B45" s="39">
        <v>15.89</v>
      </c>
      <c r="C45" s="14">
        <v>6.9999999999999999E-4</v>
      </c>
      <c r="D45" s="54">
        <v>1.0799000000000001</v>
      </c>
      <c r="E45" s="62">
        <v>1470.7</v>
      </c>
      <c r="F45" s="694">
        <v>0.92600000000000005</v>
      </c>
      <c r="G45" s="75">
        <v>124</v>
      </c>
      <c r="H45" s="61">
        <v>237.7</v>
      </c>
      <c r="I45" s="74">
        <v>361.7</v>
      </c>
      <c r="J45" s="92">
        <v>0.68730000000000002</v>
      </c>
      <c r="K45" s="105">
        <v>1.8024</v>
      </c>
      <c r="L45" s="17">
        <v>-60</v>
      </c>
    </row>
    <row r="46" spans="1:12" x14ac:dyDescent="0.25">
      <c r="A46" s="16">
        <v>-59</v>
      </c>
      <c r="B46" s="39">
        <v>16.95</v>
      </c>
      <c r="C46" s="14">
        <v>6.9999999999999999E-4</v>
      </c>
      <c r="D46" s="54">
        <v>1.0163</v>
      </c>
      <c r="E46" s="62">
        <v>1468</v>
      </c>
      <c r="F46" s="694">
        <v>0.98399999999999999</v>
      </c>
      <c r="G46" s="75">
        <v>125.2</v>
      </c>
      <c r="H46" s="61">
        <v>237.1</v>
      </c>
      <c r="I46" s="74">
        <v>362.3</v>
      </c>
      <c r="J46" s="92">
        <v>0.69289999999999996</v>
      </c>
      <c r="K46" s="105">
        <v>1.8001</v>
      </c>
      <c r="L46" s="17">
        <v>-59</v>
      </c>
    </row>
    <row r="47" spans="1:12" x14ac:dyDescent="0.25">
      <c r="A47" s="16">
        <v>-58</v>
      </c>
      <c r="B47" s="39">
        <v>18.07</v>
      </c>
      <c r="C47" s="14">
        <v>6.9999999999999999E-4</v>
      </c>
      <c r="D47" s="53">
        <v>0.95789999999999997</v>
      </c>
      <c r="E47" s="62">
        <v>1465.2</v>
      </c>
      <c r="F47" s="695">
        <v>1.044</v>
      </c>
      <c r="G47" s="76">
        <v>126.4</v>
      </c>
      <c r="H47" s="61">
        <v>236.5</v>
      </c>
      <c r="I47" s="74">
        <v>362.9</v>
      </c>
      <c r="J47" s="92">
        <v>0.69850000000000001</v>
      </c>
      <c r="K47" s="104">
        <v>1.7979000000000001</v>
      </c>
      <c r="L47" s="17">
        <v>-58</v>
      </c>
    </row>
    <row r="48" spans="1:12" x14ac:dyDescent="0.25">
      <c r="A48" s="16">
        <v>-57</v>
      </c>
      <c r="B48" s="39">
        <v>19.25</v>
      </c>
      <c r="C48" s="14">
        <v>6.9999999999999999E-4</v>
      </c>
      <c r="D48" s="53">
        <v>0.90249999999999997</v>
      </c>
      <c r="E48" s="62">
        <v>1462.4</v>
      </c>
      <c r="F48" s="695">
        <v>1.1080000000000001</v>
      </c>
      <c r="G48" s="75">
        <v>127.6</v>
      </c>
      <c r="H48" s="61">
        <v>236</v>
      </c>
      <c r="I48" s="74">
        <v>361.6</v>
      </c>
      <c r="J48" s="92">
        <v>0.70409999999999995</v>
      </c>
      <c r="K48" s="104">
        <v>1.7958000000000001</v>
      </c>
      <c r="L48" s="17">
        <v>-57</v>
      </c>
    </row>
    <row r="49" spans="1:12" x14ac:dyDescent="0.25">
      <c r="A49" s="16">
        <v>-56</v>
      </c>
      <c r="B49" s="40">
        <v>20.49</v>
      </c>
      <c r="C49" s="14">
        <v>6.9999999999999999E-4</v>
      </c>
      <c r="D49" s="53">
        <v>0.85109999999999997</v>
      </c>
      <c r="E49" s="62">
        <v>1459.6</v>
      </c>
      <c r="F49" s="695">
        <v>1.175</v>
      </c>
      <c r="G49" s="75">
        <v>128.80000000000001</v>
      </c>
      <c r="H49" s="61">
        <v>235.4</v>
      </c>
      <c r="I49" s="74">
        <v>364.2</v>
      </c>
      <c r="J49" s="92">
        <v>0.7097</v>
      </c>
      <c r="K49" s="104">
        <v>1.7937000000000001</v>
      </c>
      <c r="L49" s="17">
        <v>-56</v>
      </c>
    </row>
    <row r="50" spans="1:12" x14ac:dyDescent="0.25">
      <c r="A50" s="16">
        <v>-55</v>
      </c>
      <c r="B50" s="40">
        <v>21.8</v>
      </c>
      <c r="C50" s="14">
        <v>6.9999999999999999E-4</v>
      </c>
      <c r="D50" s="53">
        <v>0.80320000000000003</v>
      </c>
      <c r="E50" s="62">
        <v>1456.9</v>
      </c>
      <c r="F50" s="695">
        <v>1.2450000000000001</v>
      </c>
      <c r="G50" s="75">
        <v>130</v>
      </c>
      <c r="H50" s="61">
        <v>234.8</v>
      </c>
      <c r="I50" s="74">
        <v>364.8</v>
      </c>
      <c r="J50" s="92">
        <v>0.71519999999999995</v>
      </c>
      <c r="K50" s="104">
        <v>1.7916000000000001</v>
      </c>
      <c r="L50" s="17">
        <v>-55</v>
      </c>
    </row>
    <row r="51" spans="1:12" x14ac:dyDescent="0.25">
      <c r="A51" s="16">
        <v>-54</v>
      </c>
      <c r="B51" s="40">
        <v>23.17</v>
      </c>
      <c r="C51" s="14">
        <v>6.9999999999999999E-4</v>
      </c>
      <c r="D51" s="53">
        <v>0.75870000000000004</v>
      </c>
      <c r="E51" s="62">
        <v>1454.1</v>
      </c>
      <c r="F51" s="695">
        <v>1.3180000000000001</v>
      </c>
      <c r="G51" s="75">
        <v>131.19999999999999</v>
      </c>
      <c r="H51" s="61">
        <v>234.2</v>
      </c>
      <c r="I51" s="74">
        <v>365.4</v>
      </c>
      <c r="J51" s="92">
        <v>0.7208</v>
      </c>
      <c r="K51" s="104">
        <v>1.7896000000000001</v>
      </c>
      <c r="L51" s="17">
        <v>-54</v>
      </c>
    </row>
    <row r="52" spans="1:12" x14ac:dyDescent="0.25">
      <c r="A52" s="16">
        <v>-53</v>
      </c>
      <c r="B52" s="40">
        <v>24.62</v>
      </c>
      <c r="C52" s="14">
        <v>6.9999999999999999E-4</v>
      </c>
      <c r="D52" s="53">
        <v>0.71679999999999999</v>
      </c>
      <c r="E52" s="62">
        <v>1451.3</v>
      </c>
      <c r="F52" s="695">
        <v>1.395</v>
      </c>
      <c r="G52" s="75">
        <v>132.4</v>
      </c>
      <c r="H52" s="61">
        <v>231.6</v>
      </c>
      <c r="I52" s="74">
        <v>366.1</v>
      </c>
      <c r="J52" s="92">
        <v>0.72629999999999995</v>
      </c>
      <c r="K52" s="105">
        <v>1.7876000000000001</v>
      </c>
      <c r="L52" s="17">
        <v>-53</v>
      </c>
    </row>
    <row r="53" spans="1:12" x14ac:dyDescent="0.25">
      <c r="A53" s="16">
        <v>-52</v>
      </c>
      <c r="B53" s="40">
        <v>26.14</v>
      </c>
      <c r="C53" s="14">
        <v>6.9999999999999999E-4</v>
      </c>
      <c r="D53" s="53">
        <v>0.67749999999999999</v>
      </c>
      <c r="E53" s="62">
        <v>1448.5</v>
      </c>
      <c r="F53" s="695">
        <v>1.476</v>
      </c>
      <c r="G53" s="74">
        <v>133.69999999999999</v>
      </c>
      <c r="H53" s="61">
        <v>231.1</v>
      </c>
      <c r="I53" s="74">
        <v>366.7</v>
      </c>
      <c r="J53" s="92">
        <v>0.73180000000000001</v>
      </c>
      <c r="K53" s="105">
        <v>1.7857000000000001</v>
      </c>
      <c r="L53" s="17">
        <v>-52</v>
      </c>
    </row>
    <row r="54" spans="1:12" x14ac:dyDescent="0.25">
      <c r="A54" s="16">
        <v>-51</v>
      </c>
      <c r="B54" s="40">
        <v>27.73</v>
      </c>
      <c r="C54" s="14">
        <v>6.9999999999999999E-4</v>
      </c>
      <c r="D54" s="53">
        <v>0.64100000000000001</v>
      </c>
      <c r="E54" s="62">
        <v>1445.7</v>
      </c>
      <c r="F54" s="695">
        <v>1.56</v>
      </c>
      <c r="G54" s="75">
        <v>134.9</v>
      </c>
      <c r="H54" s="61">
        <v>232.5</v>
      </c>
      <c r="I54" s="74">
        <v>367.3</v>
      </c>
      <c r="J54" s="92">
        <v>0.73729999999999996</v>
      </c>
      <c r="K54" s="104">
        <v>1.7838000000000001</v>
      </c>
      <c r="L54" s="17">
        <v>-51</v>
      </c>
    </row>
    <row r="55" spans="1:12" x14ac:dyDescent="0.25">
      <c r="A55" s="16">
        <v>-50</v>
      </c>
      <c r="B55" s="40">
        <v>29.41</v>
      </c>
      <c r="C55" s="14">
        <v>6.9999999999999999E-4</v>
      </c>
      <c r="D55" s="53">
        <v>0.60680000000000001</v>
      </c>
      <c r="E55" s="62">
        <v>1442.9</v>
      </c>
      <c r="F55" s="695">
        <v>1.6479999999999999</v>
      </c>
      <c r="G55" s="75">
        <v>136.1</v>
      </c>
      <c r="H55" s="61">
        <v>231.9</v>
      </c>
      <c r="I55" s="74">
        <v>368</v>
      </c>
      <c r="J55" s="92">
        <v>0.74280000000000002</v>
      </c>
      <c r="K55" s="104">
        <v>1.7819</v>
      </c>
      <c r="L55" s="17">
        <v>-50</v>
      </c>
    </row>
    <row r="56" spans="1:12" x14ac:dyDescent="0.25">
      <c r="A56" s="16">
        <v>-49</v>
      </c>
      <c r="B56" s="40">
        <v>31.16</v>
      </c>
      <c r="C56" s="14">
        <v>6.9999999999999999E-4</v>
      </c>
      <c r="D56" s="53">
        <v>0.57469999999999999</v>
      </c>
      <c r="E56" s="62">
        <v>1440.1</v>
      </c>
      <c r="F56" s="695">
        <v>1.74</v>
      </c>
      <c r="G56" s="75">
        <v>137.30000000000001</v>
      </c>
      <c r="H56" s="61">
        <v>231.3</v>
      </c>
      <c r="I56" s="74">
        <v>368.6</v>
      </c>
      <c r="J56" s="92">
        <v>0.74819999999999998</v>
      </c>
      <c r="K56" s="105">
        <v>1.7801</v>
      </c>
      <c r="L56" s="17">
        <v>-49</v>
      </c>
    </row>
    <row r="57" spans="1:12" x14ac:dyDescent="0.25">
      <c r="A57" s="16">
        <v>-48</v>
      </c>
      <c r="B57" s="40">
        <v>31</v>
      </c>
      <c r="C57" s="14">
        <v>6.9999999999999999E-4</v>
      </c>
      <c r="D57" s="53">
        <v>0.54469999999999996</v>
      </c>
      <c r="E57" s="62">
        <v>1437.3</v>
      </c>
      <c r="F57" s="695">
        <v>1.8360000000000001</v>
      </c>
      <c r="G57" s="75">
        <v>138.5</v>
      </c>
      <c r="H57" s="61">
        <v>230.7</v>
      </c>
      <c r="I57" s="74">
        <v>369.2</v>
      </c>
      <c r="J57" s="92">
        <v>0.75370000000000004</v>
      </c>
      <c r="K57" s="105">
        <v>1.7783</v>
      </c>
      <c r="L57" s="17">
        <v>-48</v>
      </c>
    </row>
    <row r="58" spans="1:12" x14ac:dyDescent="0.25">
      <c r="A58" s="16">
        <v>-47</v>
      </c>
      <c r="B58" s="40">
        <v>34.93</v>
      </c>
      <c r="C58" s="14">
        <v>6.9999999999999999E-4</v>
      </c>
      <c r="D58" s="53">
        <v>0.51649999999999996</v>
      </c>
      <c r="E58" s="62">
        <v>1434.5</v>
      </c>
      <c r="F58" s="695">
        <v>1.9359999999999999</v>
      </c>
      <c r="G58" s="75">
        <v>139.80000000000001</v>
      </c>
      <c r="H58" s="61">
        <v>230.1</v>
      </c>
      <c r="I58" s="74">
        <v>369.9</v>
      </c>
      <c r="J58" s="92">
        <v>0.7591</v>
      </c>
      <c r="K58" s="105">
        <v>1.7766</v>
      </c>
      <c r="L58" s="17">
        <v>-47</v>
      </c>
    </row>
    <row r="59" spans="1:12" x14ac:dyDescent="0.25">
      <c r="A59" s="16">
        <v>-46</v>
      </c>
      <c r="B59" s="41">
        <v>36.950000000000003</v>
      </c>
      <c r="C59" s="14">
        <v>6.9999999999999999E-4</v>
      </c>
      <c r="D59" s="53">
        <v>0.49020000000000002</v>
      </c>
      <c r="E59" s="62">
        <v>1431.6</v>
      </c>
      <c r="F59" s="694">
        <v>2.04</v>
      </c>
      <c r="G59" s="75">
        <v>141</v>
      </c>
      <c r="H59" s="61">
        <v>229.5</v>
      </c>
      <c r="I59" s="74">
        <v>370.5</v>
      </c>
      <c r="J59" s="92">
        <v>0.76449999999999996</v>
      </c>
      <c r="K59" s="105">
        <v>1.7748999999999999</v>
      </c>
      <c r="L59" s="17">
        <v>-46</v>
      </c>
    </row>
    <row r="60" spans="1:12" x14ac:dyDescent="0.25">
      <c r="A60" s="16">
        <v>-45</v>
      </c>
      <c r="B60" s="40">
        <v>39.06</v>
      </c>
      <c r="C60" s="14">
        <v>6.9999999999999999E-4</v>
      </c>
      <c r="D60" s="53">
        <v>0.46529999999999999</v>
      </c>
      <c r="E60" s="62">
        <v>1428.8</v>
      </c>
      <c r="F60" s="694">
        <v>2.149</v>
      </c>
      <c r="G60" s="75">
        <v>142.19999999999999</v>
      </c>
      <c r="H60" s="61">
        <v>228.9</v>
      </c>
      <c r="I60" s="74">
        <v>371.1</v>
      </c>
      <c r="J60" s="92">
        <v>0.76990000000000003</v>
      </c>
      <c r="K60" s="105">
        <v>1.7732000000000001</v>
      </c>
      <c r="L60" s="17">
        <v>-45</v>
      </c>
    </row>
    <row r="61" spans="1:12" x14ac:dyDescent="0.25">
      <c r="A61" s="16">
        <v>-44</v>
      </c>
      <c r="B61" s="40">
        <v>41.27</v>
      </c>
      <c r="C61" s="14">
        <v>6.9999999999999999E-4</v>
      </c>
      <c r="D61" s="53">
        <v>0.44190000000000002</v>
      </c>
      <c r="E61" s="62">
        <v>1426</v>
      </c>
      <c r="F61" s="694">
        <v>2.2629999999999999</v>
      </c>
      <c r="G61" s="75">
        <v>141.5</v>
      </c>
      <c r="H61" s="61">
        <v>228.3</v>
      </c>
      <c r="I61" s="74">
        <v>371.8</v>
      </c>
      <c r="J61" s="92">
        <v>0.77529999999999999</v>
      </c>
      <c r="K61" s="104">
        <v>1.7716000000000001</v>
      </c>
      <c r="L61" s="17">
        <v>-44</v>
      </c>
    </row>
    <row r="62" spans="1:12" x14ac:dyDescent="0.25">
      <c r="A62" s="16">
        <v>-43</v>
      </c>
      <c r="B62" s="40">
        <v>43.58</v>
      </c>
      <c r="C62" s="14">
        <v>6.9999999999999999E-4</v>
      </c>
      <c r="D62" s="53">
        <v>0.41980000000000001</v>
      </c>
      <c r="E62" s="62">
        <v>1423.2</v>
      </c>
      <c r="F62" s="694">
        <v>2.3820000000000001</v>
      </c>
      <c r="G62" s="76">
        <v>144.69999999999999</v>
      </c>
      <c r="H62" s="61">
        <v>227.7</v>
      </c>
      <c r="I62" s="74">
        <v>372.4</v>
      </c>
      <c r="J62" s="92">
        <v>0.78059999999999996</v>
      </c>
      <c r="K62" s="104">
        <v>1.77</v>
      </c>
      <c r="L62" s="17">
        <v>-43</v>
      </c>
    </row>
    <row r="63" spans="1:12" x14ac:dyDescent="0.25">
      <c r="A63" s="16">
        <v>-42</v>
      </c>
      <c r="B63" s="40">
        <v>45.99</v>
      </c>
      <c r="C63" s="14">
        <v>6.9999999999999999E-4</v>
      </c>
      <c r="D63" s="53">
        <v>0.3992</v>
      </c>
      <c r="E63" s="62">
        <v>1420.3</v>
      </c>
      <c r="F63" s="694">
        <v>2.5049999999999999</v>
      </c>
      <c r="G63" s="75">
        <v>145.9</v>
      </c>
      <c r="H63" s="61">
        <v>227.1</v>
      </c>
      <c r="I63" s="74">
        <v>373</v>
      </c>
      <c r="J63" s="92">
        <v>0.78600000000000003</v>
      </c>
      <c r="K63" s="104">
        <v>1.7685</v>
      </c>
      <c r="L63" s="17">
        <v>-42</v>
      </c>
    </row>
    <row r="64" spans="1:12" ht="15.75" thickBot="1" x14ac:dyDescent="0.3">
      <c r="A64" s="18">
        <v>-41</v>
      </c>
      <c r="B64" s="42">
        <v>48.51</v>
      </c>
      <c r="C64" s="14">
        <v>6.9999999999999999E-4</v>
      </c>
      <c r="D64" s="56">
        <v>0.37980000000000003</v>
      </c>
      <c r="E64" s="63">
        <v>1417.5</v>
      </c>
      <c r="F64" s="696">
        <v>2.633</v>
      </c>
      <c r="G64" s="77">
        <v>147.19999999999999</v>
      </c>
      <c r="H64" s="86">
        <v>226.5</v>
      </c>
      <c r="I64" s="89">
        <v>373.7</v>
      </c>
      <c r="J64" s="93">
        <v>0.7913</v>
      </c>
      <c r="K64" s="106">
        <v>1.7669999999999999</v>
      </c>
      <c r="L64" s="19">
        <v>-41</v>
      </c>
    </row>
    <row r="65" spans="1:12" x14ac:dyDescent="0.25">
      <c r="A65" s="20">
        <v>-40</v>
      </c>
      <c r="B65" s="43">
        <v>51.14</v>
      </c>
      <c r="C65" s="14">
        <v>6.9999999999999999E-4</v>
      </c>
      <c r="D65" s="57">
        <v>0.3614</v>
      </c>
      <c r="E65" s="64">
        <v>1414.6</v>
      </c>
      <c r="F65" s="697">
        <v>2.7669999999999999</v>
      </c>
      <c r="G65" s="78">
        <v>148.4</v>
      </c>
      <c r="H65" s="83">
        <v>225.9</v>
      </c>
      <c r="I65" s="83">
        <v>374.3</v>
      </c>
      <c r="J65" s="94">
        <v>0.79669999999999996</v>
      </c>
      <c r="K65" s="107">
        <v>1.7655000000000001</v>
      </c>
      <c r="L65" s="22">
        <v>-40</v>
      </c>
    </row>
    <row r="66" spans="1:12" x14ac:dyDescent="0.25">
      <c r="A66" s="23">
        <v>-39</v>
      </c>
      <c r="B66" s="44">
        <v>51.88</v>
      </c>
      <c r="C66" s="14">
        <v>6.9999999999999999E-4</v>
      </c>
      <c r="D66" s="58">
        <v>0.34410000000000002</v>
      </c>
      <c r="E66" s="65">
        <v>1411.8</v>
      </c>
      <c r="F66" s="698">
        <v>2.9060000000000001</v>
      </c>
      <c r="G66" s="79">
        <v>149.6</v>
      </c>
      <c r="H66" s="70">
        <v>225.3</v>
      </c>
      <c r="I66" s="70">
        <v>374.9</v>
      </c>
      <c r="J66" s="95">
        <v>0.80200000000000005</v>
      </c>
      <c r="K66" s="108">
        <v>1.7641</v>
      </c>
      <c r="L66" s="26">
        <v>-39</v>
      </c>
    </row>
    <row r="67" spans="1:12" x14ac:dyDescent="0.25">
      <c r="A67" s="25">
        <v>-38</v>
      </c>
      <c r="B67" s="44">
        <v>56.74</v>
      </c>
      <c r="C67" s="14">
        <v>6.9999999999999999E-4</v>
      </c>
      <c r="D67" s="58">
        <v>0.32790000000000002</v>
      </c>
      <c r="E67" s="65">
        <v>1408.9</v>
      </c>
      <c r="F67" s="698">
        <v>1.05</v>
      </c>
      <c r="G67" s="80">
        <v>150.9</v>
      </c>
      <c r="H67" s="70">
        <v>224.7</v>
      </c>
      <c r="I67" s="70">
        <v>375.5</v>
      </c>
      <c r="J67" s="95">
        <v>0.80730000000000002</v>
      </c>
      <c r="K67" s="108">
        <v>1.7626999999999999</v>
      </c>
      <c r="L67" s="26">
        <v>-38</v>
      </c>
    </row>
    <row r="68" spans="1:12" x14ac:dyDescent="0.25">
      <c r="A68" s="23">
        <v>-37</v>
      </c>
      <c r="B68" s="44">
        <v>59.72</v>
      </c>
      <c r="C68" s="14">
        <v>6.9999999999999999E-4</v>
      </c>
      <c r="D68" s="58">
        <v>0.3125</v>
      </c>
      <c r="E68" s="65">
        <v>1406</v>
      </c>
      <c r="F68" s="698">
        <v>1.2</v>
      </c>
      <c r="G68" s="80">
        <v>152.1</v>
      </c>
      <c r="H68" s="70">
        <v>224</v>
      </c>
      <c r="I68" s="70">
        <v>376.2</v>
      </c>
      <c r="J68" s="95">
        <v>0.81259999999999999</v>
      </c>
      <c r="K68" s="108">
        <v>1.7613000000000001</v>
      </c>
      <c r="L68" s="26">
        <v>-37</v>
      </c>
    </row>
    <row r="69" spans="1:12" x14ac:dyDescent="0.25">
      <c r="A69" s="25">
        <v>-36</v>
      </c>
      <c r="B69" s="44">
        <v>62.83</v>
      </c>
      <c r="C69" s="14">
        <v>6.9999999999999999E-4</v>
      </c>
      <c r="D69" s="58">
        <v>0.29799999999999999</v>
      </c>
      <c r="E69" s="65">
        <v>1401.1</v>
      </c>
      <c r="F69" s="698">
        <v>3.3559999999999999</v>
      </c>
      <c r="G69" s="80">
        <v>153.4</v>
      </c>
      <c r="H69" s="70">
        <v>221.4</v>
      </c>
      <c r="I69" s="70">
        <v>376.8</v>
      </c>
      <c r="J69" s="95">
        <v>0.81779999999999997</v>
      </c>
      <c r="K69" s="108">
        <v>1.7599</v>
      </c>
      <c r="L69" s="26">
        <v>-36</v>
      </c>
    </row>
    <row r="70" spans="1:12" x14ac:dyDescent="0.25">
      <c r="A70" s="23">
        <v>-35</v>
      </c>
      <c r="B70" s="44">
        <v>66.069999999999993</v>
      </c>
      <c r="C70" s="14">
        <v>6.9999999999999999E-4</v>
      </c>
      <c r="D70" s="58">
        <v>0.2843</v>
      </c>
      <c r="E70" s="65">
        <v>1400.2</v>
      </c>
      <c r="F70" s="698">
        <v>1.518</v>
      </c>
      <c r="G70" s="80">
        <v>154.6</v>
      </c>
      <c r="H70" s="70">
        <v>222.8</v>
      </c>
      <c r="I70" s="70">
        <v>377.4</v>
      </c>
      <c r="J70" s="95">
        <v>0.82310000000000005</v>
      </c>
      <c r="K70" s="108">
        <v>1.7585999999999999</v>
      </c>
      <c r="L70" s="26">
        <v>-35</v>
      </c>
    </row>
    <row r="71" spans="1:12" x14ac:dyDescent="0.25">
      <c r="A71" s="25">
        <v>-34</v>
      </c>
      <c r="B71" s="44">
        <v>69.430000000000007</v>
      </c>
      <c r="C71" s="14">
        <v>6.9999999999999999E-4</v>
      </c>
      <c r="D71" s="58">
        <v>0.27129999999999999</v>
      </c>
      <c r="E71" s="66">
        <v>1397.4</v>
      </c>
      <c r="F71" s="698">
        <v>1.6859999999999999</v>
      </c>
      <c r="G71" s="80">
        <v>155.9</v>
      </c>
      <c r="H71" s="70">
        <v>222.2</v>
      </c>
      <c r="I71" s="70">
        <v>378.1</v>
      </c>
      <c r="J71" s="95">
        <v>0.82830000000000004</v>
      </c>
      <c r="K71" s="108">
        <v>1.7573000000000001</v>
      </c>
      <c r="L71" s="26">
        <v>-34</v>
      </c>
    </row>
    <row r="72" spans="1:12" x14ac:dyDescent="0.25">
      <c r="A72" s="23">
        <v>-33</v>
      </c>
      <c r="B72" s="44">
        <v>72.930000000000007</v>
      </c>
      <c r="C72" s="14">
        <v>6.9999999999999999E-4</v>
      </c>
      <c r="D72" s="58">
        <v>0.25900000000000001</v>
      </c>
      <c r="E72" s="65">
        <v>1394.5</v>
      </c>
      <c r="F72" s="698">
        <v>1.861</v>
      </c>
      <c r="G72" s="80">
        <v>157.1</v>
      </c>
      <c r="H72" s="70">
        <v>221.5</v>
      </c>
      <c r="I72" s="70">
        <v>378.7</v>
      </c>
      <c r="J72" s="95">
        <v>0.83360000000000001</v>
      </c>
      <c r="K72" s="108">
        <v>1.7561</v>
      </c>
      <c r="L72" s="26">
        <v>-33</v>
      </c>
    </row>
    <row r="73" spans="1:12" x14ac:dyDescent="0.25">
      <c r="A73" s="25">
        <v>-32</v>
      </c>
      <c r="B73" s="44">
        <v>76.58</v>
      </c>
      <c r="C73" s="14">
        <v>6.9999999999999999E-4</v>
      </c>
      <c r="D73" s="58">
        <v>0.24740000000000001</v>
      </c>
      <c r="E73" s="66">
        <v>1391.5</v>
      </c>
      <c r="F73" s="698">
        <v>4.0419999999999998</v>
      </c>
      <c r="G73" s="80">
        <v>158.4</v>
      </c>
      <c r="H73" s="70">
        <v>220.9</v>
      </c>
      <c r="I73" s="70">
        <v>379.3</v>
      </c>
      <c r="J73" s="95">
        <v>0.83879999999999999</v>
      </c>
      <c r="K73" s="108">
        <v>1.7547999999999999</v>
      </c>
      <c r="L73" s="26">
        <v>-32</v>
      </c>
    </row>
    <row r="74" spans="1:12" x14ac:dyDescent="0.25">
      <c r="A74" s="23">
        <v>-31</v>
      </c>
      <c r="B74" s="44">
        <v>80.36</v>
      </c>
      <c r="C74" s="14">
        <v>6.9999999999999999E-4</v>
      </c>
      <c r="D74" s="58">
        <v>0.23649999999999999</v>
      </c>
      <c r="E74" s="65">
        <v>1388.6</v>
      </c>
      <c r="F74" s="698">
        <v>4.2290000000000001</v>
      </c>
      <c r="G74" s="79">
        <v>159.69999999999999</v>
      </c>
      <c r="H74" s="70">
        <v>220.3</v>
      </c>
      <c r="I74" s="70">
        <v>379.9</v>
      </c>
      <c r="J74" s="95">
        <v>0.84399999999999997</v>
      </c>
      <c r="K74" s="108">
        <v>1.7536</v>
      </c>
      <c r="L74" s="26">
        <v>-31</v>
      </c>
    </row>
    <row r="75" spans="1:12" x14ac:dyDescent="0.25">
      <c r="A75" s="23">
        <v>-30</v>
      </c>
      <c r="B75" s="44">
        <v>84.29</v>
      </c>
      <c r="C75" s="14">
        <v>6.9999999999999999E-4</v>
      </c>
      <c r="D75" s="58">
        <v>0.22600000000000001</v>
      </c>
      <c r="E75" s="65">
        <v>1385.7</v>
      </c>
      <c r="F75" s="698">
        <v>4.4240000000000004</v>
      </c>
      <c r="G75" s="80">
        <v>160.9</v>
      </c>
      <c r="H75" s="70">
        <v>219.6</v>
      </c>
      <c r="I75" s="70">
        <v>380.6</v>
      </c>
      <c r="J75" s="95">
        <v>0.84919999999999995</v>
      </c>
      <c r="K75" s="108">
        <v>1.7524999999999999</v>
      </c>
      <c r="L75" s="26">
        <v>-30</v>
      </c>
    </row>
    <row r="76" spans="1:12" x14ac:dyDescent="0.25">
      <c r="A76" s="25">
        <v>-29</v>
      </c>
      <c r="B76" s="44">
        <v>88.37</v>
      </c>
      <c r="C76" s="14">
        <v>6.9999999999999999E-4</v>
      </c>
      <c r="D76" s="58">
        <v>0.2162</v>
      </c>
      <c r="E76" s="65">
        <v>1382.8</v>
      </c>
      <c r="F76" s="698">
        <v>4.625</v>
      </c>
      <c r="G76" s="80">
        <v>162.19999999999999</v>
      </c>
      <c r="H76" s="70">
        <v>219</v>
      </c>
      <c r="I76" s="70">
        <v>381.2</v>
      </c>
      <c r="J76" s="95">
        <v>0.85440000000000005</v>
      </c>
      <c r="K76" s="108">
        <v>1.7513000000000001</v>
      </c>
      <c r="L76" s="26">
        <v>-29</v>
      </c>
    </row>
    <row r="77" spans="1:12" x14ac:dyDescent="0.25">
      <c r="A77" s="25">
        <v>-28</v>
      </c>
      <c r="B77" s="44">
        <v>92.61</v>
      </c>
      <c r="C77" s="14">
        <v>6.9999999999999999E-4</v>
      </c>
      <c r="D77" s="58">
        <v>0.2069</v>
      </c>
      <c r="E77" s="65">
        <v>1379.8</v>
      </c>
      <c r="F77" s="698">
        <v>4.8330000000000002</v>
      </c>
      <c r="G77" s="80">
        <v>161.5</v>
      </c>
      <c r="H77" s="70">
        <v>218.3</v>
      </c>
      <c r="I77" s="70">
        <v>381.8</v>
      </c>
      <c r="J77" s="95">
        <v>0.85950000000000004</v>
      </c>
      <c r="K77" s="108">
        <v>1.7502</v>
      </c>
      <c r="L77" s="26">
        <v>-28</v>
      </c>
    </row>
    <row r="78" spans="1:12" x14ac:dyDescent="0.25">
      <c r="A78" s="23">
        <v>-27</v>
      </c>
      <c r="B78" s="44">
        <v>97.02</v>
      </c>
      <c r="C78" s="14">
        <v>6.9999999999999999E-4</v>
      </c>
      <c r="D78" s="58">
        <v>0.1981</v>
      </c>
      <c r="E78" s="65">
        <v>1376.9</v>
      </c>
      <c r="F78" s="698">
        <v>5.0490000000000004</v>
      </c>
      <c r="G78" s="80">
        <v>164.7</v>
      </c>
      <c r="H78" s="70">
        <v>217.7</v>
      </c>
      <c r="I78" s="70">
        <v>382.4</v>
      </c>
      <c r="J78" s="95">
        <v>0.86470000000000002</v>
      </c>
      <c r="K78" s="108">
        <v>1.7491000000000001</v>
      </c>
      <c r="L78" s="26">
        <v>-27</v>
      </c>
    </row>
    <row r="79" spans="1:12" x14ac:dyDescent="0.25">
      <c r="A79" s="25">
        <v>-26</v>
      </c>
      <c r="B79" s="44">
        <v>101.58</v>
      </c>
      <c r="C79" s="14">
        <v>6.9999999999999999E-4</v>
      </c>
      <c r="D79" s="58">
        <v>0.18959999999999999</v>
      </c>
      <c r="E79" s="66">
        <v>1371.9</v>
      </c>
      <c r="F79" s="698">
        <v>5.2729999999999997</v>
      </c>
      <c r="G79" s="80">
        <v>166</v>
      </c>
      <c r="H79" s="70">
        <v>217.1</v>
      </c>
      <c r="I79" s="70">
        <v>381.1</v>
      </c>
      <c r="J79" s="95">
        <v>0.86980000000000002</v>
      </c>
      <c r="K79" s="108">
        <v>1.7481</v>
      </c>
      <c r="L79" s="26">
        <v>-26</v>
      </c>
    </row>
    <row r="80" spans="1:12" x14ac:dyDescent="0.25">
      <c r="A80" s="25">
        <v>-25</v>
      </c>
      <c r="B80" s="44">
        <v>106.32</v>
      </c>
      <c r="C80" s="14">
        <v>6.9999999999999999E-4</v>
      </c>
      <c r="D80" s="58">
        <v>0.1817</v>
      </c>
      <c r="E80" s="66">
        <v>1371</v>
      </c>
      <c r="F80" s="698">
        <v>5.5039999999999996</v>
      </c>
      <c r="G80" s="80">
        <v>167.3</v>
      </c>
      <c r="H80" s="70">
        <v>216.4</v>
      </c>
      <c r="I80" s="70">
        <v>381.7</v>
      </c>
      <c r="J80" s="95">
        <v>0.875</v>
      </c>
      <c r="K80" s="108">
        <v>1.7470000000000001</v>
      </c>
      <c r="L80" s="26">
        <v>-25</v>
      </c>
    </row>
    <row r="81" spans="1:12" x14ac:dyDescent="0.25">
      <c r="A81" s="23">
        <v>-24</v>
      </c>
      <c r="B81" s="44">
        <v>111.22</v>
      </c>
      <c r="C81" s="14">
        <v>6.9999999999999999E-4</v>
      </c>
      <c r="D81" s="58">
        <v>0.1741</v>
      </c>
      <c r="E81" s="65">
        <v>1368</v>
      </c>
      <c r="F81" s="698">
        <v>5.7430000000000003</v>
      </c>
      <c r="G81" s="79">
        <v>168.6</v>
      </c>
      <c r="H81" s="70">
        <v>215.7</v>
      </c>
      <c r="I81" s="70">
        <v>384.3</v>
      </c>
      <c r="J81" s="95">
        <v>0.88009999999999999</v>
      </c>
      <c r="K81" s="108">
        <v>1.746</v>
      </c>
      <c r="L81" s="26">
        <v>-24</v>
      </c>
    </row>
    <row r="82" spans="1:12" x14ac:dyDescent="0.25">
      <c r="A82" s="25">
        <v>-23</v>
      </c>
      <c r="B82" s="44">
        <v>116.31</v>
      </c>
      <c r="C82" s="14">
        <v>6.9999999999999999E-4</v>
      </c>
      <c r="D82" s="58">
        <v>0.16689999999999999</v>
      </c>
      <c r="E82" s="65">
        <v>1365</v>
      </c>
      <c r="F82" s="698">
        <v>5.9909999999999997</v>
      </c>
      <c r="G82" s="80">
        <v>169.8</v>
      </c>
      <c r="H82" s="70">
        <v>215.1</v>
      </c>
      <c r="I82" s="70">
        <v>384.9</v>
      </c>
      <c r="J82" s="95">
        <v>0.88519999999999999</v>
      </c>
      <c r="K82" s="108">
        <v>1.7450000000000001</v>
      </c>
      <c r="L82" s="26">
        <v>-23</v>
      </c>
    </row>
    <row r="83" spans="1:12" x14ac:dyDescent="0.25">
      <c r="A83" s="23">
        <v>-22</v>
      </c>
      <c r="B83" s="44">
        <v>121.57</v>
      </c>
      <c r="C83" s="14">
        <v>6.9999999999999999E-4</v>
      </c>
      <c r="D83" s="58">
        <v>0.16009999999999999</v>
      </c>
      <c r="E83" s="65">
        <v>1362</v>
      </c>
      <c r="F83" s="698">
        <v>6.2469999999999999</v>
      </c>
      <c r="G83" s="80">
        <v>171.1</v>
      </c>
      <c r="H83" s="70">
        <v>214.4</v>
      </c>
      <c r="I83" s="70">
        <v>385.5</v>
      </c>
      <c r="J83" s="95">
        <v>0.89029999999999998</v>
      </c>
      <c r="K83" s="108">
        <v>1.744</v>
      </c>
      <c r="L83" s="26">
        <v>-22</v>
      </c>
    </row>
    <row r="84" spans="1:12" x14ac:dyDescent="0.25">
      <c r="A84" s="25">
        <v>-21</v>
      </c>
      <c r="B84" s="44">
        <v>127.02</v>
      </c>
      <c r="C84" s="14">
        <v>6.9999999999999999E-4</v>
      </c>
      <c r="D84" s="58">
        <v>0.15359999999999999</v>
      </c>
      <c r="E84" s="65">
        <v>1359</v>
      </c>
      <c r="F84" s="698">
        <v>6.5110000000000001</v>
      </c>
      <c r="G84" s="81">
        <v>172.4</v>
      </c>
      <c r="H84" s="70">
        <v>213.7</v>
      </c>
      <c r="I84" s="70">
        <v>386.2</v>
      </c>
      <c r="J84" s="95">
        <v>0.89539999999999997</v>
      </c>
      <c r="K84" s="108">
        <v>1.7431000000000001</v>
      </c>
      <c r="L84" s="26">
        <v>-21</v>
      </c>
    </row>
    <row r="85" spans="1:12" x14ac:dyDescent="0.25">
      <c r="A85" s="23">
        <v>-20</v>
      </c>
      <c r="B85" s="44">
        <v>132.66999999999999</v>
      </c>
      <c r="C85" s="14">
        <v>6.9999999999999999E-4</v>
      </c>
      <c r="D85" s="58">
        <v>0.1474</v>
      </c>
      <c r="E85" s="65">
        <v>1356</v>
      </c>
      <c r="F85" s="698">
        <v>6.7839999999999998</v>
      </c>
      <c r="G85" s="81">
        <v>171.7</v>
      </c>
      <c r="H85" s="70">
        <v>213.1</v>
      </c>
      <c r="I85" s="70">
        <v>386.8</v>
      </c>
      <c r="J85" s="95">
        <v>0.90049999999999997</v>
      </c>
      <c r="K85" s="108">
        <v>1.7422</v>
      </c>
      <c r="L85" s="26">
        <v>-20</v>
      </c>
    </row>
    <row r="86" spans="1:12" x14ac:dyDescent="0.25">
      <c r="A86" s="25">
        <v>-19</v>
      </c>
      <c r="B86" s="44">
        <v>138.5</v>
      </c>
      <c r="C86" s="14">
        <v>6.9999999999999999E-4</v>
      </c>
      <c r="D86" s="58">
        <v>0.14149999999999999</v>
      </c>
      <c r="E86" s="65">
        <v>1351</v>
      </c>
      <c r="F86" s="698">
        <v>7.0659999999999998</v>
      </c>
      <c r="G86" s="81">
        <v>175</v>
      </c>
      <c r="H86" s="70">
        <v>212.4</v>
      </c>
      <c r="I86" s="70">
        <v>387.4</v>
      </c>
      <c r="J86" s="95">
        <v>0.90549999999999997</v>
      </c>
      <c r="K86" s="108">
        <v>1.7413000000000001</v>
      </c>
      <c r="L86" s="26">
        <v>-19</v>
      </c>
    </row>
    <row r="87" spans="1:12" x14ac:dyDescent="0.25">
      <c r="A87" s="23">
        <v>-18</v>
      </c>
      <c r="B87" s="44">
        <v>144.54</v>
      </c>
      <c r="C87" s="14">
        <v>6.9999999999999999E-4</v>
      </c>
      <c r="D87" s="58">
        <v>0.13589999999999999</v>
      </c>
      <c r="E87" s="65">
        <v>1349.9</v>
      </c>
      <c r="F87" s="698">
        <v>7.3570000000000002</v>
      </c>
      <c r="G87" s="81">
        <v>176.3</v>
      </c>
      <c r="H87" s="70">
        <v>211.7</v>
      </c>
      <c r="I87" s="70">
        <v>388</v>
      </c>
      <c r="J87" s="95">
        <v>0.91059999999999997</v>
      </c>
      <c r="K87" s="108">
        <v>1.7403999999999999</v>
      </c>
      <c r="L87" s="26">
        <v>-18</v>
      </c>
    </row>
    <row r="88" spans="1:12" x14ac:dyDescent="0.25">
      <c r="A88" s="25">
        <v>-17</v>
      </c>
      <c r="B88" s="44">
        <v>150.78</v>
      </c>
      <c r="C88" s="14">
        <v>6.9999999999999999E-4</v>
      </c>
      <c r="D88" s="58">
        <v>0.13059999999999999</v>
      </c>
      <c r="E88" s="66">
        <v>1346.9</v>
      </c>
      <c r="F88" s="698">
        <v>7.6580000000000004</v>
      </c>
      <c r="G88" s="81">
        <v>177.6</v>
      </c>
      <c r="H88" s="70">
        <v>211</v>
      </c>
      <c r="I88" s="70">
        <v>388.6</v>
      </c>
      <c r="J88" s="95">
        <v>0.91569999999999996</v>
      </c>
      <c r="K88" s="108">
        <v>1.7395</v>
      </c>
      <c r="L88" s="26">
        <v>-17</v>
      </c>
    </row>
    <row r="89" spans="1:12" x14ac:dyDescent="0.25">
      <c r="A89" s="23">
        <v>-16</v>
      </c>
      <c r="B89" s="44">
        <v>157.22999999999999</v>
      </c>
      <c r="C89" s="14">
        <v>6.9999999999999999E-4</v>
      </c>
      <c r="D89" s="58">
        <v>0.1255</v>
      </c>
      <c r="E89" s="65">
        <v>1343.8</v>
      </c>
      <c r="F89" s="698">
        <v>7.968</v>
      </c>
      <c r="G89" s="81">
        <v>178.9</v>
      </c>
      <c r="H89" s="70">
        <v>210.4</v>
      </c>
      <c r="I89" s="70">
        <v>389.2</v>
      </c>
      <c r="J89" s="95">
        <v>0.92069999999999996</v>
      </c>
      <c r="K89" s="108">
        <v>1.7386999999999999</v>
      </c>
      <c r="L89" s="26">
        <v>-16</v>
      </c>
    </row>
    <row r="90" spans="1:12" x14ac:dyDescent="0.25">
      <c r="A90" s="23">
        <v>-15</v>
      </c>
      <c r="B90" s="44">
        <v>161.9</v>
      </c>
      <c r="C90" s="14">
        <v>6.9999999999999999E-4</v>
      </c>
      <c r="D90" s="58">
        <v>0.1207</v>
      </c>
      <c r="E90" s="65">
        <v>1340.8</v>
      </c>
      <c r="F90" s="698">
        <v>8.2880000000000003</v>
      </c>
      <c r="G90" s="80">
        <v>180.2</v>
      </c>
      <c r="H90" s="70">
        <v>209.7</v>
      </c>
      <c r="I90" s="70">
        <v>389.8</v>
      </c>
      <c r="J90" s="95">
        <v>0.92569999999999997</v>
      </c>
      <c r="K90" s="108">
        <v>1.7379</v>
      </c>
      <c r="L90" s="26">
        <v>-15</v>
      </c>
    </row>
    <row r="91" spans="1:12" x14ac:dyDescent="0.25">
      <c r="A91" s="25">
        <v>-14</v>
      </c>
      <c r="B91" s="44">
        <v>170.78</v>
      </c>
      <c r="C91" s="14">
        <v>6.9999999999999999E-4</v>
      </c>
      <c r="D91" s="58">
        <v>0.11600000000000001</v>
      </c>
      <c r="E91" s="66">
        <v>1337.7</v>
      </c>
      <c r="F91" s="698">
        <v>8.6180000000000003</v>
      </c>
      <c r="G91" s="80">
        <v>181.5</v>
      </c>
      <c r="H91" s="70">
        <v>209</v>
      </c>
      <c r="I91" s="70">
        <v>390.4</v>
      </c>
      <c r="J91" s="95">
        <v>0.93069999999999997</v>
      </c>
      <c r="K91" s="108">
        <v>1.7371000000000001</v>
      </c>
      <c r="L91" s="26">
        <v>-14</v>
      </c>
    </row>
    <row r="92" spans="1:12" x14ac:dyDescent="0.25">
      <c r="A92" s="23">
        <v>-13</v>
      </c>
      <c r="B92" s="44">
        <v>177.89</v>
      </c>
      <c r="C92" s="25">
        <v>6.9999999999999999E-4</v>
      </c>
      <c r="D92" s="58">
        <v>0.1116</v>
      </c>
      <c r="E92" s="65">
        <v>1334.6</v>
      </c>
      <c r="F92" s="698">
        <v>8.9580000000000002</v>
      </c>
      <c r="G92" s="80">
        <v>182.8</v>
      </c>
      <c r="H92" s="70">
        <v>208.3</v>
      </c>
      <c r="I92" s="70">
        <v>391.1</v>
      </c>
      <c r="J92" s="95">
        <v>0.93569999999999998</v>
      </c>
      <c r="K92" s="108">
        <v>1.7363</v>
      </c>
      <c r="L92" s="26">
        <v>-13</v>
      </c>
    </row>
    <row r="93" spans="1:12" x14ac:dyDescent="0.25">
      <c r="A93" s="25">
        <v>-12</v>
      </c>
      <c r="B93" s="44">
        <v>185.22</v>
      </c>
      <c r="C93" s="25">
        <v>8.0000000000000004E-4</v>
      </c>
      <c r="D93" s="58">
        <v>0.1074</v>
      </c>
      <c r="E93" s="66">
        <v>1331.5</v>
      </c>
      <c r="F93" s="698">
        <v>9.3089999999999993</v>
      </c>
      <c r="G93" s="80">
        <v>184.1</v>
      </c>
      <c r="H93" s="70">
        <v>207.6</v>
      </c>
      <c r="I93" s="70">
        <v>391.7</v>
      </c>
      <c r="J93" s="95">
        <v>0.94069999999999998</v>
      </c>
      <c r="K93" s="108">
        <v>1.7356</v>
      </c>
      <c r="L93" s="26">
        <v>-12</v>
      </c>
    </row>
    <row r="94" spans="1:12" x14ac:dyDescent="0.25">
      <c r="A94" s="23">
        <v>-11</v>
      </c>
      <c r="B94" s="44">
        <v>192.79</v>
      </c>
      <c r="C94" s="25">
        <v>8.0000000000000004E-4</v>
      </c>
      <c r="D94" s="58">
        <v>0.10340000000000001</v>
      </c>
      <c r="E94" s="65">
        <v>1328.4</v>
      </c>
      <c r="F94" s="698">
        <v>9.6709999999999994</v>
      </c>
      <c r="G94" s="80">
        <v>185.4</v>
      </c>
      <c r="H94" s="70">
        <v>206.9</v>
      </c>
      <c r="I94" s="70">
        <v>392.3</v>
      </c>
      <c r="J94" s="95">
        <v>0.94569999999999999</v>
      </c>
      <c r="K94" s="108">
        <v>1.7347999999999999</v>
      </c>
      <c r="L94" s="26">
        <v>-11</v>
      </c>
    </row>
    <row r="95" spans="1:12" x14ac:dyDescent="0.25">
      <c r="A95" s="25">
        <v>-10</v>
      </c>
      <c r="B95" s="44">
        <v>200.6</v>
      </c>
      <c r="C95" s="25">
        <v>8.0000000000000004E-4</v>
      </c>
      <c r="D95" s="58">
        <v>9.9599999999999994E-2</v>
      </c>
      <c r="E95" s="65">
        <v>1325.3</v>
      </c>
      <c r="F95" s="699">
        <v>10.044</v>
      </c>
      <c r="G95" s="80">
        <v>186.7</v>
      </c>
      <c r="H95" s="70">
        <v>206.2</v>
      </c>
      <c r="I95" s="70">
        <v>392.9</v>
      </c>
      <c r="J95" s="95">
        <v>0.95069999999999999</v>
      </c>
      <c r="K95" s="108">
        <v>1.7341</v>
      </c>
      <c r="L95" s="26">
        <v>-10</v>
      </c>
    </row>
    <row r="96" spans="1:12" x14ac:dyDescent="0.25">
      <c r="A96" s="23">
        <v>-9</v>
      </c>
      <c r="B96" s="44">
        <v>208.65</v>
      </c>
      <c r="C96" s="25">
        <v>8.0000000000000004E-4</v>
      </c>
      <c r="D96" s="58">
        <v>9.5899999999999999E-2</v>
      </c>
      <c r="E96" s="65">
        <v>1322.1</v>
      </c>
      <c r="F96" s="699">
        <v>10.428000000000001</v>
      </c>
      <c r="G96" s="80">
        <v>188</v>
      </c>
      <c r="H96" s="70">
        <v>205.4</v>
      </c>
      <c r="I96" s="70">
        <v>391.5</v>
      </c>
      <c r="J96" s="95">
        <v>0.95569999999999999</v>
      </c>
      <c r="K96" s="108">
        <v>1.7334000000000001</v>
      </c>
      <c r="L96" s="26">
        <v>-9</v>
      </c>
    </row>
    <row r="97" spans="1:12" x14ac:dyDescent="0.25">
      <c r="A97" s="25">
        <v>-8</v>
      </c>
      <c r="B97" s="44">
        <v>216.95</v>
      </c>
      <c r="C97" s="25">
        <v>8.0000000000000004E-4</v>
      </c>
      <c r="D97" s="58">
        <v>9.2399999999999996E-2</v>
      </c>
      <c r="E97" s="66">
        <v>1319</v>
      </c>
      <c r="F97" s="699">
        <v>10.823</v>
      </c>
      <c r="G97" s="80">
        <v>189.3</v>
      </c>
      <c r="H97" s="70">
        <v>204.7</v>
      </c>
      <c r="I97" s="70">
        <v>394.1</v>
      </c>
      <c r="J97" s="95">
        <v>0.96060000000000001</v>
      </c>
      <c r="K97" s="108">
        <v>1.7326999999999999</v>
      </c>
      <c r="L97" s="26">
        <v>-8</v>
      </c>
    </row>
    <row r="98" spans="1:12" x14ac:dyDescent="0.25">
      <c r="A98" s="23">
        <v>-7</v>
      </c>
      <c r="B98" s="44">
        <v>225.5</v>
      </c>
      <c r="C98" s="25">
        <v>8.0000000000000004E-4</v>
      </c>
      <c r="D98" s="58">
        <v>8.8999999999999996E-2</v>
      </c>
      <c r="E98" s="65">
        <v>1315.8</v>
      </c>
      <c r="F98" s="699">
        <v>11.231</v>
      </c>
      <c r="G98" s="80">
        <v>190.7</v>
      </c>
      <c r="H98" s="70">
        <v>204</v>
      </c>
      <c r="I98" s="70">
        <v>394.7</v>
      </c>
      <c r="J98" s="95">
        <v>0.96560000000000001</v>
      </c>
      <c r="K98" s="108">
        <v>1.7321</v>
      </c>
      <c r="L98" s="26">
        <v>-7</v>
      </c>
    </row>
    <row r="99" spans="1:12" x14ac:dyDescent="0.25">
      <c r="A99" s="25">
        <v>-6</v>
      </c>
      <c r="B99" s="44">
        <v>234.32</v>
      </c>
      <c r="C99" s="25">
        <v>8.0000000000000004E-4</v>
      </c>
      <c r="D99" s="58">
        <v>8.5800000000000001E-2</v>
      </c>
      <c r="E99" s="66">
        <v>1312.6</v>
      </c>
      <c r="F99" s="699">
        <v>11.65</v>
      </c>
      <c r="G99" s="80">
        <v>192</v>
      </c>
      <c r="H99" s="70">
        <v>201.3</v>
      </c>
      <c r="I99" s="70">
        <v>395.3</v>
      </c>
      <c r="J99" s="95">
        <v>0.97050000000000003</v>
      </c>
      <c r="K99" s="108">
        <v>1.7314000000000001</v>
      </c>
      <c r="L99" s="26">
        <v>-6</v>
      </c>
    </row>
    <row r="100" spans="1:12" x14ac:dyDescent="0.25">
      <c r="A100" s="25">
        <v>-5</v>
      </c>
      <c r="B100" s="44">
        <v>243.39</v>
      </c>
      <c r="C100" s="25">
        <v>8.0000000000000004E-4</v>
      </c>
      <c r="D100" s="58">
        <v>8.2799999999999999E-2</v>
      </c>
      <c r="E100" s="65">
        <v>1309.4000000000001</v>
      </c>
      <c r="F100" s="699">
        <v>12.082000000000001</v>
      </c>
      <c r="G100" s="80">
        <v>193.3</v>
      </c>
      <c r="H100" s="70">
        <v>202.5</v>
      </c>
      <c r="I100" s="70">
        <v>395.9</v>
      </c>
      <c r="J100" s="95">
        <v>0.97550000000000003</v>
      </c>
      <c r="K100" s="108">
        <v>1.7307999999999999</v>
      </c>
      <c r="L100" s="26">
        <v>-5</v>
      </c>
    </row>
    <row r="101" spans="1:12" x14ac:dyDescent="0.25">
      <c r="A101" s="23">
        <v>-4</v>
      </c>
      <c r="B101" s="44">
        <v>252.74</v>
      </c>
      <c r="C101" s="25">
        <v>8.0000000000000004E-4</v>
      </c>
      <c r="D101" s="58">
        <v>7.9799999999999996E-2</v>
      </c>
      <c r="E101" s="65">
        <v>1306.2</v>
      </c>
      <c r="F101" s="699">
        <v>12.526</v>
      </c>
      <c r="G101" s="80">
        <v>194.6</v>
      </c>
      <c r="H101" s="70">
        <v>201.8</v>
      </c>
      <c r="I101" s="70">
        <v>396.4</v>
      </c>
      <c r="J101" s="95">
        <v>0.98040000000000005</v>
      </c>
      <c r="K101" s="108">
        <v>1.7302</v>
      </c>
      <c r="L101" s="26">
        <v>-4</v>
      </c>
    </row>
    <row r="102" spans="1:12" x14ac:dyDescent="0.25">
      <c r="A102" s="25">
        <v>-3</v>
      </c>
      <c r="B102" s="44">
        <v>262.36</v>
      </c>
      <c r="C102" s="25">
        <v>8.0000000000000004E-4</v>
      </c>
      <c r="D102" s="58">
        <v>7.6999999999999999E-2</v>
      </c>
      <c r="E102" s="65">
        <v>1301</v>
      </c>
      <c r="F102" s="699">
        <v>12.983000000000001</v>
      </c>
      <c r="G102" s="80">
        <v>196</v>
      </c>
      <c r="H102" s="70">
        <v>201.1</v>
      </c>
      <c r="I102" s="70">
        <v>397</v>
      </c>
      <c r="J102" s="95">
        <v>0.98529999999999995</v>
      </c>
      <c r="K102" s="108">
        <v>1.7295</v>
      </c>
      <c r="L102" s="26">
        <v>-3</v>
      </c>
    </row>
    <row r="103" spans="1:12" x14ac:dyDescent="0.25">
      <c r="A103" s="23">
        <v>-2</v>
      </c>
      <c r="B103" s="44">
        <v>272.26</v>
      </c>
      <c r="C103" s="25">
        <v>8.0000000000000004E-4</v>
      </c>
      <c r="D103" s="58">
        <v>7.4300000000000005E-2</v>
      </c>
      <c r="E103" s="65">
        <v>1299.8</v>
      </c>
      <c r="F103" s="699">
        <v>13.454000000000001</v>
      </c>
      <c r="G103" s="80">
        <v>197.3</v>
      </c>
      <c r="H103" s="70">
        <v>200.3</v>
      </c>
      <c r="I103" s="70">
        <v>397.6</v>
      </c>
      <c r="J103" s="95">
        <v>0.99019999999999997</v>
      </c>
      <c r="K103" s="108">
        <v>1.7290000000000001</v>
      </c>
      <c r="L103" s="26">
        <v>-2</v>
      </c>
    </row>
    <row r="104" spans="1:12" x14ac:dyDescent="0.25">
      <c r="A104" s="23">
        <v>-1</v>
      </c>
      <c r="B104" s="44">
        <v>282.45</v>
      </c>
      <c r="C104" s="25">
        <v>8.0000000000000004E-4</v>
      </c>
      <c r="D104" s="58">
        <v>7.1800000000000003E-2</v>
      </c>
      <c r="E104" s="65">
        <v>1296.5</v>
      </c>
      <c r="F104" s="698">
        <v>13.936999999999999</v>
      </c>
      <c r="G104" s="80">
        <v>198.7</v>
      </c>
      <c r="H104" s="69">
        <v>199.6</v>
      </c>
      <c r="I104" s="70">
        <v>398.2</v>
      </c>
      <c r="J104" s="95">
        <v>0.99509999999999998</v>
      </c>
      <c r="K104" s="108">
        <v>1.7283999999999999</v>
      </c>
      <c r="L104" s="26">
        <v>-1</v>
      </c>
    </row>
    <row r="105" spans="1:12" x14ac:dyDescent="0.25">
      <c r="A105" s="25">
        <v>0</v>
      </c>
      <c r="B105" s="44">
        <v>292.93</v>
      </c>
      <c r="C105" s="25">
        <v>8.0000000000000004E-4</v>
      </c>
      <c r="D105" s="58">
        <v>6.93E-2</v>
      </c>
      <c r="E105" s="65">
        <v>1293.3</v>
      </c>
      <c r="F105" s="700">
        <v>14.435</v>
      </c>
      <c r="G105" s="81">
        <v>200</v>
      </c>
      <c r="H105" s="69">
        <v>198.8</v>
      </c>
      <c r="I105" s="70">
        <v>398.8</v>
      </c>
      <c r="J105" s="96">
        <v>1</v>
      </c>
      <c r="K105" s="108">
        <v>1.7278</v>
      </c>
      <c r="L105" s="27">
        <v>0</v>
      </c>
    </row>
    <row r="106" spans="1:12" x14ac:dyDescent="0.25">
      <c r="A106" s="25">
        <v>1</v>
      </c>
      <c r="B106" s="44">
        <v>303.7</v>
      </c>
      <c r="C106" s="25">
        <v>8.0000000000000004E-4</v>
      </c>
      <c r="D106" s="58">
        <v>6.6900000000000001E-2</v>
      </c>
      <c r="E106" s="65">
        <v>1290</v>
      </c>
      <c r="F106" s="699">
        <v>14.946</v>
      </c>
      <c r="G106" s="81">
        <v>201.3</v>
      </c>
      <c r="H106" s="69">
        <v>198</v>
      </c>
      <c r="I106" s="70">
        <v>399.4</v>
      </c>
      <c r="J106" s="96">
        <v>1.0048999999999999</v>
      </c>
      <c r="K106" s="108">
        <v>1.7273000000000001</v>
      </c>
      <c r="L106" s="28">
        <v>1</v>
      </c>
    </row>
    <row r="107" spans="1:12" x14ac:dyDescent="0.25">
      <c r="A107" s="25">
        <v>2</v>
      </c>
      <c r="B107" s="44">
        <v>314.77</v>
      </c>
      <c r="C107" s="25">
        <v>8.0000000000000004E-4</v>
      </c>
      <c r="D107" s="58">
        <v>6.4600000000000005E-2</v>
      </c>
      <c r="E107" s="65">
        <v>1286.7</v>
      </c>
      <c r="F107" s="699">
        <v>15.472</v>
      </c>
      <c r="G107" s="81">
        <v>202.7</v>
      </c>
      <c r="H107" s="69">
        <v>197.3</v>
      </c>
      <c r="I107" s="70">
        <v>400</v>
      </c>
      <c r="J107" s="96">
        <v>1.0098</v>
      </c>
      <c r="K107" s="108">
        <v>1.7266999999999999</v>
      </c>
      <c r="L107" s="27">
        <v>2</v>
      </c>
    </row>
    <row r="108" spans="1:12" x14ac:dyDescent="0.25">
      <c r="A108" s="25">
        <v>3</v>
      </c>
      <c r="B108" s="44">
        <v>326.16000000000003</v>
      </c>
      <c r="C108" s="25">
        <v>8.0000000000000004E-4</v>
      </c>
      <c r="D108" s="58">
        <v>6.2399999999999997E-2</v>
      </c>
      <c r="E108" s="65">
        <v>1283.4000000000001</v>
      </c>
      <c r="F108" s="699">
        <v>16.013000000000002</v>
      </c>
      <c r="G108" s="81">
        <v>204</v>
      </c>
      <c r="H108" s="69">
        <v>196.5</v>
      </c>
      <c r="I108" s="70">
        <v>400.5</v>
      </c>
      <c r="J108" s="96">
        <v>1.0145999999999999</v>
      </c>
      <c r="K108" s="108">
        <v>1.7262</v>
      </c>
      <c r="L108" s="27">
        <v>3</v>
      </c>
    </row>
    <row r="109" spans="1:12" x14ac:dyDescent="0.25">
      <c r="A109" s="25">
        <v>4</v>
      </c>
      <c r="B109" s="44">
        <v>337.85</v>
      </c>
      <c r="C109" s="25">
        <v>8.0000000000000004E-4</v>
      </c>
      <c r="D109" s="58">
        <v>6.0400000000000002E-2</v>
      </c>
      <c r="E109" s="65">
        <v>1280.0999999999999</v>
      </c>
      <c r="F109" s="699">
        <v>16.568999999999999</v>
      </c>
      <c r="G109" s="81">
        <v>205.4</v>
      </c>
      <c r="H109" s="69">
        <v>195.7</v>
      </c>
      <c r="I109" s="70">
        <v>401.1</v>
      </c>
      <c r="J109" s="95">
        <v>1.0195000000000001</v>
      </c>
      <c r="K109" s="108">
        <v>1.7257</v>
      </c>
      <c r="L109" s="27">
        <v>4</v>
      </c>
    </row>
    <row r="110" spans="1:12" x14ac:dyDescent="0.25">
      <c r="A110" s="25">
        <v>5</v>
      </c>
      <c r="B110" s="44">
        <v>349.87</v>
      </c>
      <c r="C110" s="25">
        <v>8.0000000000000004E-4</v>
      </c>
      <c r="D110" s="58">
        <v>5.8299999999999998E-2</v>
      </c>
      <c r="E110" s="65">
        <v>1276.7</v>
      </c>
      <c r="F110" s="698">
        <v>17.14</v>
      </c>
      <c r="G110" s="81">
        <v>206.8</v>
      </c>
      <c r="H110" s="69">
        <v>194.9</v>
      </c>
      <c r="I110" s="70">
        <v>401.7</v>
      </c>
      <c r="J110" s="96">
        <v>1.0244</v>
      </c>
      <c r="K110" s="108">
        <v>1.7252000000000001</v>
      </c>
      <c r="L110" s="27">
        <v>5</v>
      </c>
    </row>
    <row r="111" spans="1:12" x14ac:dyDescent="0.25">
      <c r="A111" s="25">
        <v>6</v>
      </c>
      <c r="B111" s="44">
        <v>362.21</v>
      </c>
      <c r="C111" s="25">
        <v>8.0000000000000004E-4</v>
      </c>
      <c r="D111" s="58">
        <v>5.6399999999999999E-2</v>
      </c>
      <c r="E111" s="65">
        <v>1273.4000000000001</v>
      </c>
      <c r="F111" s="698">
        <v>17.725999999999999</v>
      </c>
      <c r="G111" s="81">
        <v>208.1</v>
      </c>
      <c r="H111" s="69">
        <v>194.2</v>
      </c>
      <c r="I111" s="70">
        <v>402.3</v>
      </c>
      <c r="J111" s="96">
        <v>1.0291999999999999</v>
      </c>
      <c r="K111" s="108">
        <v>1.7246999999999999</v>
      </c>
      <c r="L111" s="27">
        <v>6</v>
      </c>
    </row>
    <row r="112" spans="1:12" x14ac:dyDescent="0.25">
      <c r="A112" s="25">
        <v>7</v>
      </c>
      <c r="B112" s="44">
        <v>374.88</v>
      </c>
      <c r="C112" s="25">
        <v>8.0000000000000004E-4</v>
      </c>
      <c r="D112" s="58">
        <v>5.4600000000000003E-2</v>
      </c>
      <c r="E112" s="65">
        <v>1270</v>
      </c>
      <c r="F112" s="699">
        <v>18.329000000000001</v>
      </c>
      <c r="G112" s="81">
        <v>209.5</v>
      </c>
      <c r="H112" s="69">
        <v>193.4</v>
      </c>
      <c r="I112" s="70">
        <v>402.8</v>
      </c>
      <c r="J112" s="96">
        <v>1.034</v>
      </c>
      <c r="K112" s="108">
        <v>1.7242</v>
      </c>
      <c r="L112" s="27">
        <v>7</v>
      </c>
    </row>
    <row r="113" spans="1:12" x14ac:dyDescent="0.25">
      <c r="A113" s="25">
        <v>8</v>
      </c>
      <c r="B113" s="44">
        <v>387.88</v>
      </c>
      <c r="C113" s="25">
        <v>8.0000000000000004E-4</v>
      </c>
      <c r="D113" s="58">
        <v>5.28E-2</v>
      </c>
      <c r="E113" s="65">
        <v>1266.5999999999999</v>
      </c>
      <c r="F113" s="700">
        <v>18.948</v>
      </c>
      <c r="G113" s="81">
        <v>210.8</v>
      </c>
      <c r="H113" s="69">
        <v>192.6</v>
      </c>
      <c r="I113" s="70">
        <v>403.4</v>
      </c>
      <c r="J113" s="96">
        <v>1.0388999999999999</v>
      </c>
      <c r="K113" s="108">
        <v>1.7238</v>
      </c>
      <c r="L113" s="27">
        <v>8</v>
      </c>
    </row>
    <row r="114" spans="1:12" x14ac:dyDescent="0.25">
      <c r="A114" s="25">
        <v>9</v>
      </c>
      <c r="B114" s="44">
        <v>401.23</v>
      </c>
      <c r="C114" s="25">
        <v>8.0000000000000004E-4</v>
      </c>
      <c r="D114" s="58">
        <v>5.11E-2</v>
      </c>
      <c r="E114" s="65">
        <v>1261.2</v>
      </c>
      <c r="F114" s="699">
        <v>19.582999999999998</v>
      </c>
      <c r="G114" s="81">
        <v>212.2</v>
      </c>
      <c r="H114" s="69">
        <v>191.8</v>
      </c>
      <c r="I114" s="70">
        <v>404</v>
      </c>
      <c r="J114" s="96">
        <v>1.0437000000000001</v>
      </c>
      <c r="K114" s="108">
        <v>1.7233000000000001</v>
      </c>
      <c r="L114" s="27">
        <v>9</v>
      </c>
    </row>
    <row r="115" spans="1:12" x14ac:dyDescent="0.25">
      <c r="A115" s="25">
        <v>10</v>
      </c>
      <c r="B115" s="44">
        <v>414.92</v>
      </c>
      <c r="C115" s="25">
        <v>8.0000000000000004E-4</v>
      </c>
      <c r="D115" s="58">
        <v>4.9399999999999999E-2</v>
      </c>
      <c r="E115" s="65">
        <v>1259.8</v>
      </c>
      <c r="F115" s="698">
        <v>20.236000000000001</v>
      </c>
      <c r="G115" s="81">
        <v>213.6</v>
      </c>
      <c r="H115" s="69">
        <v>190.9</v>
      </c>
      <c r="I115" s="70">
        <v>404.5</v>
      </c>
      <c r="J115" s="96">
        <v>1.0485</v>
      </c>
      <c r="K115" s="108">
        <v>1.7229000000000001</v>
      </c>
      <c r="L115" s="28">
        <v>10</v>
      </c>
    </row>
    <row r="116" spans="1:12" x14ac:dyDescent="0.25">
      <c r="A116" s="25">
        <v>11</v>
      </c>
      <c r="B116" s="44">
        <v>428.97</v>
      </c>
      <c r="C116" s="25">
        <v>8.0000000000000004E-4</v>
      </c>
      <c r="D116" s="58">
        <v>4.7800000000000002E-2</v>
      </c>
      <c r="E116" s="65">
        <v>1256.3</v>
      </c>
      <c r="F116" s="698">
        <v>20.905999999999999</v>
      </c>
      <c r="G116" s="81">
        <v>215</v>
      </c>
      <c r="H116" s="69">
        <v>190.1</v>
      </c>
      <c r="I116" s="70">
        <v>405.1</v>
      </c>
      <c r="J116" s="96">
        <v>1.0532999999999999</v>
      </c>
      <c r="K116" s="108">
        <v>1.7223999999999999</v>
      </c>
      <c r="L116" s="28">
        <v>11</v>
      </c>
    </row>
    <row r="117" spans="1:12" x14ac:dyDescent="0.25">
      <c r="A117" s="25">
        <v>12</v>
      </c>
      <c r="B117" s="44">
        <v>443.37</v>
      </c>
      <c r="C117" s="25">
        <v>8.0000000000000004E-4</v>
      </c>
      <c r="D117" s="58">
        <v>4.6300000000000001E-2</v>
      </c>
      <c r="E117" s="65">
        <v>1252.9000000000001</v>
      </c>
      <c r="F117" s="698">
        <v>21.594000000000001</v>
      </c>
      <c r="G117" s="81">
        <v>216.4</v>
      </c>
      <c r="H117" s="69">
        <v>189.3</v>
      </c>
      <c r="I117" s="70">
        <v>405.6</v>
      </c>
      <c r="J117" s="96">
        <v>1.0582</v>
      </c>
      <c r="K117" s="108">
        <v>1.722</v>
      </c>
      <c r="L117" s="28">
        <v>12</v>
      </c>
    </row>
    <row r="118" spans="1:12" x14ac:dyDescent="0.25">
      <c r="A118" s="25">
        <v>13</v>
      </c>
      <c r="B118" s="44">
        <v>458.11</v>
      </c>
      <c r="C118" s="25">
        <v>8.0000000000000004E-4</v>
      </c>
      <c r="D118" s="58">
        <v>4.48E-2</v>
      </c>
      <c r="E118" s="65">
        <v>1249.4000000000001</v>
      </c>
      <c r="F118" s="698">
        <v>22.300999999999998</v>
      </c>
      <c r="G118" s="81">
        <v>217.7</v>
      </c>
      <c r="H118" s="69">
        <v>188.5</v>
      </c>
      <c r="I118" s="70">
        <v>406.2</v>
      </c>
      <c r="J118" s="96">
        <v>1.0629999999999999</v>
      </c>
      <c r="K118" s="108">
        <v>1.7216</v>
      </c>
      <c r="L118" s="28">
        <v>13</v>
      </c>
    </row>
    <row r="119" spans="1:12" x14ac:dyDescent="0.25">
      <c r="A119" s="25">
        <v>14</v>
      </c>
      <c r="B119" s="44">
        <v>473.25</v>
      </c>
      <c r="C119" s="25">
        <v>8.0000000000000004E-4</v>
      </c>
      <c r="D119" s="58">
        <v>4.3400000000000001E-2</v>
      </c>
      <c r="E119" s="65">
        <v>1245.9000000000001</v>
      </c>
      <c r="F119" s="698">
        <v>23.026</v>
      </c>
      <c r="G119" s="81">
        <v>219.1</v>
      </c>
      <c r="H119" s="69">
        <v>187.6</v>
      </c>
      <c r="I119" s="70">
        <v>406.8</v>
      </c>
      <c r="J119" s="96">
        <v>1.0678000000000001</v>
      </c>
      <c r="K119" s="108">
        <v>1.7212000000000001</v>
      </c>
      <c r="L119" s="28">
        <v>14</v>
      </c>
    </row>
    <row r="120" spans="1:12" x14ac:dyDescent="0.25">
      <c r="A120" s="25">
        <v>15</v>
      </c>
      <c r="B120" s="44">
        <v>488.78</v>
      </c>
      <c r="C120" s="25">
        <v>8.0000000000000004E-4</v>
      </c>
      <c r="D120" s="58">
        <v>4.2099999999999999E-2</v>
      </c>
      <c r="E120" s="65">
        <v>1242.3</v>
      </c>
      <c r="F120" s="698">
        <v>23.77</v>
      </c>
      <c r="G120" s="81">
        <v>220.5</v>
      </c>
      <c r="H120" s="69">
        <v>186.8</v>
      </c>
      <c r="I120" s="70">
        <v>407.3</v>
      </c>
      <c r="J120" s="96">
        <v>1.0726</v>
      </c>
      <c r="K120" s="108">
        <v>1.7208000000000001</v>
      </c>
      <c r="L120" s="28">
        <v>15</v>
      </c>
    </row>
    <row r="121" spans="1:12" x14ac:dyDescent="0.25">
      <c r="A121" s="25">
        <v>16</v>
      </c>
      <c r="B121" s="44">
        <v>504.68</v>
      </c>
      <c r="C121" s="25">
        <v>8.0000000000000004E-4</v>
      </c>
      <c r="D121" s="58">
        <v>4.0800000000000003E-2</v>
      </c>
      <c r="E121" s="66">
        <v>1238.8</v>
      </c>
      <c r="F121" s="698">
        <v>24.533000000000001</v>
      </c>
      <c r="G121" s="81">
        <v>221.9</v>
      </c>
      <c r="H121" s="69">
        <v>185.9</v>
      </c>
      <c r="I121" s="70">
        <v>407.8</v>
      </c>
      <c r="J121" s="96">
        <v>1.0772999999999999</v>
      </c>
      <c r="K121" s="108">
        <v>1.7203999999999999</v>
      </c>
      <c r="L121" s="28">
        <v>16</v>
      </c>
    </row>
    <row r="122" spans="1:12" x14ac:dyDescent="0.25">
      <c r="A122" s="25">
        <v>17</v>
      </c>
      <c r="B122" s="44">
        <v>520.98</v>
      </c>
      <c r="C122" s="25">
        <v>8.0000000000000004E-4</v>
      </c>
      <c r="D122" s="58">
        <v>3.95E-2</v>
      </c>
      <c r="E122" s="65">
        <v>1235.2</v>
      </c>
      <c r="F122" s="698">
        <v>25.317</v>
      </c>
      <c r="G122" s="81">
        <v>223.3</v>
      </c>
      <c r="H122" s="69">
        <v>185.1</v>
      </c>
      <c r="I122" s="70">
        <v>408.4</v>
      </c>
      <c r="J122" s="96">
        <v>1.0821000000000001</v>
      </c>
      <c r="K122" s="108">
        <v>1.72</v>
      </c>
      <c r="L122" s="28">
        <v>17</v>
      </c>
    </row>
    <row r="123" spans="1:12" x14ac:dyDescent="0.25">
      <c r="A123" s="25">
        <v>18</v>
      </c>
      <c r="B123" s="45">
        <v>537.66999999999996</v>
      </c>
      <c r="C123" s="25">
        <v>8.0000000000000004E-4</v>
      </c>
      <c r="D123" s="58">
        <v>3.8300000000000001E-2</v>
      </c>
      <c r="E123" s="65">
        <v>1231.5999999999999</v>
      </c>
      <c r="F123" s="698">
        <v>26.120999999999999</v>
      </c>
      <c r="G123" s="81">
        <v>224.7</v>
      </c>
      <c r="H123" s="69">
        <v>184.2</v>
      </c>
      <c r="I123" s="70">
        <v>408.9</v>
      </c>
      <c r="J123" s="96">
        <v>1.0869</v>
      </c>
      <c r="K123" s="108">
        <v>1.7196</v>
      </c>
      <c r="L123" s="28">
        <v>18</v>
      </c>
    </row>
    <row r="124" spans="1:12" ht="15.75" thickBot="1" x14ac:dyDescent="0.3">
      <c r="A124" s="29">
        <v>19</v>
      </c>
      <c r="B124" s="46">
        <v>554.76</v>
      </c>
      <c r="C124" s="25">
        <v>8.0000000000000004E-4</v>
      </c>
      <c r="D124" s="59">
        <v>3.7100000000000001E-2</v>
      </c>
      <c r="E124" s="67">
        <v>1228</v>
      </c>
      <c r="F124" s="701">
        <v>26.945</v>
      </c>
      <c r="G124" s="82">
        <v>226.1</v>
      </c>
      <c r="H124" s="87">
        <v>181.3</v>
      </c>
      <c r="I124" s="71">
        <v>409.5</v>
      </c>
      <c r="J124" s="97">
        <v>1.0916999999999999</v>
      </c>
      <c r="K124" s="109">
        <v>1.7192000000000001</v>
      </c>
      <c r="L124" s="31">
        <v>19</v>
      </c>
    </row>
    <row r="125" spans="1:12" x14ac:dyDescent="0.25">
      <c r="A125" s="21">
        <v>20</v>
      </c>
      <c r="B125" s="47">
        <v>572.25</v>
      </c>
      <c r="C125" s="25">
        <v>8.0000000000000004E-4</v>
      </c>
      <c r="D125" s="57">
        <v>3.5999999999999997E-2</v>
      </c>
      <c r="E125" s="68">
        <v>1224.4000000000001</v>
      </c>
      <c r="F125" s="702">
        <v>27.791</v>
      </c>
      <c r="G125" s="83">
        <v>227.5</v>
      </c>
      <c r="H125" s="64">
        <v>182.5</v>
      </c>
      <c r="I125" s="72">
        <v>410</v>
      </c>
      <c r="J125" s="98">
        <v>1.0964</v>
      </c>
      <c r="K125" s="110">
        <v>1.7189000000000001</v>
      </c>
      <c r="L125" s="22">
        <v>20</v>
      </c>
    </row>
    <row r="126" spans="1:12" x14ac:dyDescent="0.25">
      <c r="A126" s="24">
        <v>21</v>
      </c>
      <c r="B126" s="48">
        <v>590.16</v>
      </c>
      <c r="C126" s="25">
        <v>8.0000000000000004E-4</v>
      </c>
      <c r="D126" s="58">
        <v>3.49E-2</v>
      </c>
      <c r="E126" s="69">
        <v>1220.7</v>
      </c>
      <c r="F126" s="703">
        <v>28.658999999999999</v>
      </c>
      <c r="G126" s="70">
        <v>228.9</v>
      </c>
      <c r="H126" s="65">
        <v>181.6</v>
      </c>
      <c r="I126" s="66">
        <v>410.5</v>
      </c>
      <c r="J126" s="99">
        <v>1.1012</v>
      </c>
      <c r="K126" s="111">
        <v>1.7184999999999999</v>
      </c>
      <c r="L126" s="27">
        <v>21</v>
      </c>
    </row>
    <row r="127" spans="1:12" x14ac:dyDescent="0.25">
      <c r="A127" s="24">
        <v>22</v>
      </c>
      <c r="B127" s="48">
        <v>608.49</v>
      </c>
      <c r="C127" s="25">
        <v>8.0000000000000004E-4</v>
      </c>
      <c r="D127" s="58">
        <v>3.3799999999999997E-2</v>
      </c>
      <c r="E127" s="69">
        <v>1217</v>
      </c>
      <c r="F127" s="703">
        <v>29.548999999999999</v>
      </c>
      <c r="G127" s="70">
        <v>230.4</v>
      </c>
      <c r="H127" s="65">
        <v>180.7</v>
      </c>
      <c r="I127" s="66">
        <v>411</v>
      </c>
      <c r="J127" s="99">
        <v>1.1060000000000001</v>
      </c>
      <c r="K127" s="111">
        <v>1.7181999999999999</v>
      </c>
      <c r="L127" s="27">
        <v>22</v>
      </c>
    </row>
    <row r="128" spans="1:12" x14ac:dyDescent="0.25">
      <c r="A128" s="24">
        <v>23</v>
      </c>
      <c r="B128" s="48">
        <v>627.25</v>
      </c>
      <c r="C128" s="25">
        <v>8.0000000000000004E-4</v>
      </c>
      <c r="D128" s="58">
        <v>3.2800000000000003E-2</v>
      </c>
      <c r="E128" s="69">
        <v>1213.3</v>
      </c>
      <c r="F128" s="703">
        <v>30.462</v>
      </c>
      <c r="G128" s="70">
        <v>231.8</v>
      </c>
      <c r="H128" s="65">
        <v>179.8</v>
      </c>
      <c r="I128" s="66">
        <v>411.6</v>
      </c>
      <c r="J128" s="99">
        <v>1.1107</v>
      </c>
      <c r="K128" s="111">
        <v>1.7178</v>
      </c>
      <c r="L128" s="27">
        <v>23</v>
      </c>
    </row>
    <row r="129" spans="1:12" x14ac:dyDescent="0.25">
      <c r="A129" s="24">
        <v>24</v>
      </c>
      <c r="B129" s="48">
        <v>646.44000000000005</v>
      </c>
      <c r="C129" s="25">
        <v>8.0000000000000004E-4</v>
      </c>
      <c r="D129" s="58">
        <v>3.1800000000000002E-2</v>
      </c>
      <c r="E129" s="69">
        <v>1209.5999999999999</v>
      </c>
      <c r="F129" s="703">
        <v>31.399000000000001</v>
      </c>
      <c r="G129" s="70">
        <v>233.2</v>
      </c>
      <c r="H129" s="66">
        <v>178.9</v>
      </c>
      <c r="I129" s="66">
        <v>412.1</v>
      </c>
      <c r="J129" s="99">
        <v>1.1154999999999999</v>
      </c>
      <c r="K129" s="111">
        <v>1.7175</v>
      </c>
      <c r="L129" s="27">
        <v>24</v>
      </c>
    </row>
    <row r="130" spans="1:12" x14ac:dyDescent="0.25">
      <c r="A130" s="24">
        <v>25</v>
      </c>
      <c r="B130" s="48">
        <v>666.06</v>
      </c>
      <c r="C130" s="25">
        <v>8.0000000000000004E-4</v>
      </c>
      <c r="D130" s="58">
        <v>3.09E-2</v>
      </c>
      <c r="E130" s="69">
        <v>1205.9000000000001</v>
      </c>
      <c r="F130" s="703">
        <v>32.359000000000002</v>
      </c>
      <c r="G130" s="70">
        <v>234.6</v>
      </c>
      <c r="H130" s="65">
        <v>178</v>
      </c>
      <c r="I130" s="66">
        <v>412.6</v>
      </c>
      <c r="J130" s="99">
        <v>1.1202000000000001</v>
      </c>
      <c r="K130" s="111">
        <v>1.7171000000000001</v>
      </c>
      <c r="L130" s="27">
        <v>25</v>
      </c>
    </row>
    <row r="131" spans="1:12" x14ac:dyDescent="0.25">
      <c r="A131" s="24">
        <v>26</v>
      </c>
      <c r="B131" s="48">
        <v>686.13</v>
      </c>
      <c r="C131" s="25">
        <v>8.0000000000000004E-4</v>
      </c>
      <c r="D131" s="58">
        <v>0.03</v>
      </c>
      <c r="E131" s="69">
        <v>1202.0999999999999</v>
      </c>
      <c r="F131" s="703">
        <v>33.344000000000001</v>
      </c>
      <c r="G131" s="70">
        <v>236.1</v>
      </c>
      <c r="H131" s="66">
        <v>177</v>
      </c>
      <c r="I131" s="66">
        <v>413.1</v>
      </c>
      <c r="J131" s="99">
        <v>1.125</v>
      </c>
      <c r="K131" s="111">
        <v>1.7168000000000001</v>
      </c>
      <c r="L131" s="27">
        <v>26</v>
      </c>
    </row>
    <row r="132" spans="1:12" x14ac:dyDescent="0.25">
      <c r="A132" s="24">
        <v>27</v>
      </c>
      <c r="B132" s="48">
        <v>706.66</v>
      </c>
      <c r="C132" s="25">
        <v>8.0000000000000004E-4</v>
      </c>
      <c r="D132" s="58">
        <v>2.9100000000000001E-2</v>
      </c>
      <c r="E132" s="69">
        <v>1198.3</v>
      </c>
      <c r="F132" s="703">
        <v>34.353999999999999</v>
      </c>
      <c r="G132" s="70">
        <v>237.5</v>
      </c>
      <c r="H132" s="65">
        <v>176.1</v>
      </c>
      <c r="I132" s="66">
        <v>413.6</v>
      </c>
      <c r="J132" s="99">
        <v>1.1296999999999999</v>
      </c>
      <c r="K132" s="111">
        <v>1.7164999999999999</v>
      </c>
      <c r="L132" s="27">
        <v>27</v>
      </c>
    </row>
    <row r="133" spans="1:12" x14ac:dyDescent="0.25">
      <c r="A133" s="24">
        <v>28</v>
      </c>
      <c r="B133" s="48">
        <v>727.64</v>
      </c>
      <c r="C133" s="25">
        <v>8.0000000000000004E-4</v>
      </c>
      <c r="D133" s="58">
        <v>2.8299999999999999E-2</v>
      </c>
      <c r="E133" s="69">
        <v>1194.4000000000001</v>
      </c>
      <c r="F133" s="703">
        <v>35.389000000000003</v>
      </c>
      <c r="G133" s="70">
        <v>238.9</v>
      </c>
      <c r="H133" s="65">
        <v>175.2</v>
      </c>
      <c r="I133" s="66">
        <v>414.1</v>
      </c>
      <c r="J133" s="99">
        <v>1.1345000000000001</v>
      </c>
      <c r="K133" s="111">
        <v>1.7161</v>
      </c>
      <c r="L133" s="27">
        <v>28</v>
      </c>
    </row>
    <row r="134" spans="1:12" x14ac:dyDescent="0.25">
      <c r="A134" s="24">
        <v>29</v>
      </c>
      <c r="B134" s="48">
        <v>749.04</v>
      </c>
      <c r="C134" s="25">
        <v>8.0000000000000004E-4</v>
      </c>
      <c r="D134" s="58">
        <v>2.7400000000000001E-2</v>
      </c>
      <c r="E134" s="69">
        <v>1190.5999999999999</v>
      </c>
      <c r="F134" s="703">
        <v>36.451000000000001</v>
      </c>
      <c r="G134" s="70">
        <v>240.4</v>
      </c>
      <c r="H134" s="65">
        <v>174.2</v>
      </c>
      <c r="I134" s="66">
        <v>414.6</v>
      </c>
      <c r="J134" s="99">
        <v>1.1392</v>
      </c>
      <c r="K134" s="111">
        <v>1.7158</v>
      </c>
      <c r="L134" s="27">
        <v>29</v>
      </c>
    </row>
    <row r="135" spans="1:12" x14ac:dyDescent="0.25">
      <c r="A135" s="24">
        <v>30</v>
      </c>
      <c r="B135" s="48">
        <v>771.02</v>
      </c>
      <c r="C135" s="25">
        <v>8.0000000000000004E-4</v>
      </c>
      <c r="D135" s="58">
        <v>2.6599999999999999E-2</v>
      </c>
      <c r="E135" s="69">
        <v>1186.7</v>
      </c>
      <c r="F135" s="703">
        <v>37.54</v>
      </c>
      <c r="G135" s="70">
        <v>241.8</v>
      </c>
      <c r="H135" s="65">
        <v>171.3</v>
      </c>
      <c r="I135" s="66">
        <v>415.1</v>
      </c>
      <c r="J135" s="99">
        <v>1.1438999999999999</v>
      </c>
      <c r="K135" s="111">
        <v>1.7155</v>
      </c>
      <c r="L135" s="27">
        <v>30</v>
      </c>
    </row>
    <row r="136" spans="1:12" x14ac:dyDescent="0.25">
      <c r="A136" s="24">
        <v>31</v>
      </c>
      <c r="B136" s="48">
        <v>793.43</v>
      </c>
      <c r="C136" s="25">
        <v>8.0000000000000004E-4</v>
      </c>
      <c r="D136" s="58">
        <v>2.5899999999999999E-2</v>
      </c>
      <c r="E136" s="69">
        <v>1182.8</v>
      </c>
      <c r="F136" s="703">
        <v>38.656999999999996</v>
      </c>
      <c r="G136" s="70">
        <v>243.3</v>
      </c>
      <c r="H136" s="65">
        <v>172.3</v>
      </c>
      <c r="I136" s="66">
        <v>415.6</v>
      </c>
      <c r="J136" s="99">
        <v>1.1487000000000001</v>
      </c>
      <c r="K136" s="111">
        <v>1.7151000000000001</v>
      </c>
      <c r="L136" s="27">
        <v>31</v>
      </c>
    </row>
    <row r="137" spans="1:12" x14ac:dyDescent="0.25">
      <c r="A137" s="24">
        <v>32</v>
      </c>
      <c r="B137" s="49">
        <v>816.28</v>
      </c>
      <c r="C137" s="25">
        <v>8.0000000000000004E-4</v>
      </c>
      <c r="D137" s="58">
        <v>2.5100000000000001E-2</v>
      </c>
      <c r="E137" s="70">
        <v>1178.8</v>
      </c>
      <c r="F137" s="703">
        <v>39.802</v>
      </c>
      <c r="G137" s="70">
        <v>244.8</v>
      </c>
      <c r="H137" s="65">
        <v>171.3</v>
      </c>
      <c r="I137" s="66">
        <v>416.1</v>
      </c>
      <c r="J137" s="99">
        <v>1.1534</v>
      </c>
      <c r="K137" s="111">
        <v>1.7148000000000001</v>
      </c>
      <c r="L137" s="27">
        <v>32</v>
      </c>
    </row>
    <row r="138" spans="1:12" x14ac:dyDescent="0.25">
      <c r="A138" s="24">
        <v>33</v>
      </c>
      <c r="B138" s="49">
        <v>839.66</v>
      </c>
      <c r="C138" s="25">
        <v>8.9999999999999998E-4</v>
      </c>
      <c r="D138" s="58">
        <v>2.4400000000000002E-2</v>
      </c>
      <c r="E138" s="70">
        <v>1174.9000000000001</v>
      </c>
      <c r="F138" s="703">
        <v>40.975000000000001</v>
      </c>
      <c r="G138" s="70">
        <v>246.2</v>
      </c>
      <c r="H138" s="65">
        <v>170.3</v>
      </c>
      <c r="I138" s="66">
        <v>416.6</v>
      </c>
      <c r="J138" s="99">
        <v>1.1580999999999999</v>
      </c>
      <c r="K138" s="111">
        <v>1.7144999999999999</v>
      </c>
      <c r="L138" s="27">
        <v>33</v>
      </c>
    </row>
    <row r="139" spans="1:12" x14ac:dyDescent="0.25">
      <c r="A139" s="24">
        <v>34</v>
      </c>
      <c r="B139" s="49">
        <v>863.53</v>
      </c>
      <c r="C139" s="25">
        <v>8.9999999999999998E-4</v>
      </c>
      <c r="D139" s="58">
        <v>2.3699999999999999E-2</v>
      </c>
      <c r="E139" s="69">
        <v>1170.8</v>
      </c>
      <c r="F139" s="703">
        <v>42.179000000000002</v>
      </c>
      <c r="G139" s="70">
        <v>247.7</v>
      </c>
      <c r="H139" s="65">
        <v>169.3</v>
      </c>
      <c r="I139" s="66">
        <v>417</v>
      </c>
      <c r="J139" s="99">
        <v>1.1628000000000001</v>
      </c>
      <c r="K139" s="111">
        <v>1.7141999999999999</v>
      </c>
      <c r="L139" s="27">
        <v>34</v>
      </c>
    </row>
    <row r="140" spans="1:12" x14ac:dyDescent="0.25">
      <c r="A140" s="24">
        <v>35</v>
      </c>
      <c r="B140" s="49">
        <v>887.91</v>
      </c>
      <c r="C140" s="25">
        <v>8.9999999999999998E-4</v>
      </c>
      <c r="D140" s="58">
        <v>2.3E-2</v>
      </c>
      <c r="E140" s="69">
        <v>1166.8</v>
      </c>
      <c r="F140" s="703">
        <v>43.412999999999997</v>
      </c>
      <c r="G140" s="70">
        <v>249.2</v>
      </c>
      <c r="H140" s="65">
        <v>168.3</v>
      </c>
      <c r="I140" s="66">
        <v>417.5</v>
      </c>
      <c r="J140" s="99">
        <v>1.1676</v>
      </c>
      <c r="K140" s="111">
        <v>1.7138</v>
      </c>
      <c r="L140" s="27">
        <v>35</v>
      </c>
    </row>
    <row r="141" spans="1:12" x14ac:dyDescent="0.25">
      <c r="A141" s="24">
        <v>36</v>
      </c>
      <c r="B141" s="48">
        <v>912.8</v>
      </c>
      <c r="C141" s="25">
        <v>8.9999999999999998E-4</v>
      </c>
      <c r="D141" s="58">
        <v>2.24E-2</v>
      </c>
      <c r="E141" s="69">
        <v>1162.7</v>
      </c>
      <c r="F141" s="703">
        <v>44.679000000000002</v>
      </c>
      <c r="G141" s="70">
        <v>250.6</v>
      </c>
      <c r="H141" s="65">
        <v>167.3</v>
      </c>
      <c r="I141" s="66">
        <v>418</v>
      </c>
      <c r="J141" s="99">
        <v>1.1722999999999999</v>
      </c>
      <c r="K141" s="111">
        <v>1.7135</v>
      </c>
      <c r="L141" s="27">
        <v>36</v>
      </c>
    </row>
    <row r="142" spans="1:12" x14ac:dyDescent="0.25">
      <c r="A142" s="24">
        <v>37</v>
      </c>
      <c r="B142" s="48">
        <v>938.2</v>
      </c>
      <c r="C142" s="25">
        <v>8.9999999999999998E-4</v>
      </c>
      <c r="D142" s="58">
        <v>2.18E-2</v>
      </c>
      <c r="E142" s="69">
        <v>1158.5999999999999</v>
      </c>
      <c r="F142" s="703">
        <v>45.976999999999997</v>
      </c>
      <c r="G142" s="70">
        <v>252.1</v>
      </c>
      <c r="H142" s="65">
        <v>166.3</v>
      </c>
      <c r="I142" s="66">
        <v>418.4</v>
      </c>
      <c r="J142" s="99">
        <v>1.177</v>
      </c>
      <c r="K142" s="111">
        <v>1.7132000000000001</v>
      </c>
      <c r="L142" s="27">
        <v>37</v>
      </c>
    </row>
    <row r="143" spans="1:12" x14ac:dyDescent="0.25">
      <c r="A143" s="24">
        <v>38</v>
      </c>
      <c r="B143" s="48">
        <v>964.14</v>
      </c>
      <c r="C143" s="25">
        <v>8.9999999999999998E-4</v>
      </c>
      <c r="D143" s="58">
        <v>2.1100000000000001E-2</v>
      </c>
      <c r="E143" s="69">
        <v>1154.5</v>
      </c>
      <c r="F143" s="703">
        <v>47.308</v>
      </c>
      <c r="G143" s="70">
        <v>253.6</v>
      </c>
      <c r="H143" s="65">
        <v>165.3</v>
      </c>
      <c r="I143" s="66">
        <v>418.9</v>
      </c>
      <c r="J143" s="99">
        <v>1.1817</v>
      </c>
      <c r="K143" s="111">
        <v>1.7129000000000001</v>
      </c>
      <c r="L143" s="27">
        <v>38</v>
      </c>
    </row>
    <row r="144" spans="1:12" x14ac:dyDescent="0.25">
      <c r="A144" s="24">
        <v>39</v>
      </c>
      <c r="B144" s="48">
        <v>990.6</v>
      </c>
      <c r="C144" s="25">
        <v>8.9999999999999998E-4</v>
      </c>
      <c r="D144" s="58">
        <v>2.0500000000000001E-2</v>
      </c>
      <c r="E144" s="69">
        <v>1150.3</v>
      </c>
      <c r="F144" s="703">
        <v>48.671999999999997</v>
      </c>
      <c r="G144" s="70">
        <v>255.1</v>
      </c>
      <c r="H144" s="65">
        <v>164.2</v>
      </c>
      <c r="I144" s="66">
        <v>419.3</v>
      </c>
      <c r="J144" s="99">
        <v>1.1863999999999999</v>
      </c>
      <c r="K144" s="111">
        <v>1.7124999999999999</v>
      </c>
      <c r="L144" s="27">
        <v>39</v>
      </c>
    </row>
    <row r="145" spans="1:12" x14ac:dyDescent="0.25">
      <c r="A145" s="24">
        <v>40</v>
      </c>
      <c r="B145" s="49">
        <v>1017.61</v>
      </c>
      <c r="C145" s="25">
        <v>8.9999999999999998E-4</v>
      </c>
      <c r="D145" s="58">
        <v>0.02</v>
      </c>
      <c r="E145" s="69">
        <v>1146.0999999999999</v>
      </c>
      <c r="F145" s="703">
        <v>50.072000000000003</v>
      </c>
      <c r="G145" s="70">
        <v>256.60000000000002</v>
      </c>
      <c r="H145" s="66">
        <v>163.19999999999999</v>
      </c>
      <c r="I145" s="66">
        <v>419.8</v>
      </c>
      <c r="J145" s="99">
        <v>1.1912</v>
      </c>
      <c r="K145" s="111">
        <v>1.7121999999999999</v>
      </c>
      <c r="L145" s="27">
        <v>40</v>
      </c>
    </row>
    <row r="146" spans="1:12" x14ac:dyDescent="0.25">
      <c r="A146" s="24">
        <v>41</v>
      </c>
      <c r="B146" s="49">
        <v>1045.1600000000001</v>
      </c>
      <c r="C146" s="25">
        <v>8.9999999999999998E-4</v>
      </c>
      <c r="D146" s="58">
        <v>1.9400000000000001E-2</v>
      </c>
      <c r="E146" s="69">
        <v>1141.9000000000001</v>
      </c>
      <c r="F146" s="703">
        <v>51.508000000000003</v>
      </c>
      <c r="G146" s="70">
        <v>258.10000000000002</v>
      </c>
      <c r="H146" s="65">
        <v>162.1</v>
      </c>
      <c r="I146" s="66">
        <v>420.2</v>
      </c>
      <c r="J146" s="99">
        <v>1.1959</v>
      </c>
      <c r="K146" s="111">
        <v>1.7119</v>
      </c>
      <c r="L146" s="27">
        <v>41</v>
      </c>
    </row>
    <row r="147" spans="1:12" x14ac:dyDescent="0.25">
      <c r="A147" s="24">
        <v>42</v>
      </c>
      <c r="B147" s="49">
        <v>1071.26</v>
      </c>
      <c r="C147" s="25">
        <v>8.9999999999999998E-4</v>
      </c>
      <c r="D147" s="58">
        <v>1.89E-2</v>
      </c>
      <c r="E147" s="70">
        <v>1137.5999999999999</v>
      </c>
      <c r="F147" s="703">
        <v>52.98</v>
      </c>
      <c r="G147" s="70">
        <v>259.60000000000002</v>
      </c>
      <c r="H147" s="65">
        <v>161</v>
      </c>
      <c r="I147" s="66">
        <v>420.6</v>
      </c>
      <c r="J147" s="99">
        <v>1.2005999999999999</v>
      </c>
      <c r="K147" s="111">
        <v>1.7115</v>
      </c>
      <c r="L147" s="27">
        <v>42</v>
      </c>
    </row>
    <row r="148" spans="1:12" x14ac:dyDescent="0.25">
      <c r="A148" s="24">
        <v>43</v>
      </c>
      <c r="B148" s="49">
        <v>1101.93</v>
      </c>
      <c r="C148" s="25">
        <v>8.9999999999999998E-4</v>
      </c>
      <c r="D148" s="58">
        <v>1.84E-2</v>
      </c>
      <c r="E148" s="70">
        <v>1133.3</v>
      </c>
      <c r="F148" s="703">
        <v>54.49</v>
      </c>
      <c r="G148" s="70">
        <v>261.10000000000002</v>
      </c>
      <c r="H148" s="65">
        <v>159.9</v>
      </c>
      <c r="I148" s="66">
        <v>421.1</v>
      </c>
      <c r="J148" s="99">
        <v>1.2053</v>
      </c>
      <c r="K148" s="111">
        <v>1.7112000000000001</v>
      </c>
      <c r="L148" s="27">
        <v>43</v>
      </c>
    </row>
    <row r="149" spans="1:12" x14ac:dyDescent="0.25">
      <c r="A149" s="24">
        <v>44</v>
      </c>
      <c r="B149" s="49">
        <v>1131.1600000000001</v>
      </c>
      <c r="C149" s="25">
        <v>8.9999999999999998E-4</v>
      </c>
      <c r="D149" s="58">
        <v>1.78E-2</v>
      </c>
      <c r="E149" s="70">
        <v>1128.9000000000001</v>
      </c>
      <c r="F149" s="703">
        <v>56.04</v>
      </c>
      <c r="G149" s="70">
        <v>262.7</v>
      </c>
      <c r="H149" s="65">
        <v>158.80000000000001</v>
      </c>
      <c r="I149" s="66">
        <v>421.5</v>
      </c>
      <c r="J149" s="99">
        <v>1.2101</v>
      </c>
      <c r="K149" s="111">
        <v>1.7108000000000001</v>
      </c>
      <c r="L149" s="27">
        <v>44</v>
      </c>
    </row>
    <row r="150" spans="1:12" x14ac:dyDescent="0.25">
      <c r="A150" s="24">
        <v>45</v>
      </c>
      <c r="B150" s="49">
        <v>1161.01</v>
      </c>
      <c r="C150" s="25">
        <v>8.9999999999999998E-4</v>
      </c>
      <c r="D150" s="58">
        <v>1.7399999999999999E-2</v>
      </c>
      <c r="E150" s="70">
        <v>1124.5</v>
      </c>
      <c r="F150" s="703">
        <v>57.63</v>
      </c>
      <c r="G150" s="70">
        <v>264.2</v>
      </c>
      <c r="H150" s="65">
        <v>157.69999999999999</v>
      </c>
      <c r="I150" s="66">
        <v>421.9</v>
      </c>
      <c r="J150" s="99">
        <v>1.2148000000000001</v>
      </c>
      <c r="K150" s="111">
        <v>1.7104999999999999</v>
      </c>
      <c r="L150" s="27">
        <v>45</v>
      </c>
    </row>
    <row r="151" spans="1:12" x14ac:dyDescent="0.25">
      <c r="A151" s="24">
        <v>46</v>
      </c>
      <c r="B151" s="49">
        <v>1191.4100000000001</v>
      </c>
      <c r="C151" s="25">
        <v>8.9999999999999998E-4</v>
      </c>
      <c r="D151" s="58">
        <v>1.6899999999999998E-2</v>
      </c>
      <c r="E151" s="70">
        <v>1120</v>
      </c>
      <c r="F151" s="703">
        <v>59.261000000000003</v>
      </c>
      <c r="G151" s="70">
        <v>265.7</v>
      </c>
      <c r="H151" s="65">
        <v>156.6</v>
      </c>
      <c r="I151" s="66">
        <v>422.3</v>
      </c>
      <c r="J151" s="99">
        <v>1.2195</v>
      </c>
      <c r="K151" s="111">
        <v>1.7101</v>
      </c>
      <c r="L151" s="27">
        <v>46</v>
      </c>
    </row>
    <row r="152" spans="1:12" x14ac:dyDescent="0.25">
      <c r="A152" s="24">
        <v>47</v>
      </c>
      <c r="B152" s="49">
        <v>1222.4100000000001</v>
      </c>
      <c r="C152" s="25">
        <v>8.9999999999999998E-4</v>
      </c>
      <c r="D152" s="58">
        <v>1.6400000000000001E-2</v>
      </c>
      <c r="E152" s="69">
        <v>1115.5999999999999</v>
      </c>
      <c r="F152" s="703">
        <v>60.933999999999997</v>
      </c>
      <c r="G152" s="70">
        <v>267.3</v>
      </c>
      <c r="H152" s="65">
        <v>155.4</v>
      </c>
      <c r="I152" s="66">
        <v>422.7</v>
      </c>
      <c r="J152" s="99">
        <v>1.2242</v>
      </c>
      <c r="K152" s="111">
        <v>1.7097</v>
      </c>
      <c r="L152" s="27">
        <v>47</v>
      </c>
    </row>
    <row r="153" spans="1:12" x14ac:dyDescent="0.25">
      <c r="A153" s="24">
        <v>48</v>
      </c>
      <c r="B153" s="49">
        <v>1253.95</v>
      </c>
      <c r="C153" s="25">
        <v>8.9999999999999998E-4</v>
      </c>
      <c r="D153" s="58">
        <v>1.6E-2</v>
      </c>
      <c r="E153" s="69">
        <v>1111</v>
      </c>
      <c r="F153" s="703">
        <v>62.652000000000001</v>
      </c>
      <c r="G153" s="70">
        <v>268.8</v>
      </c>
      <c r="H153" s="65">
        <v>154.30000000000001</v>
      </c>
      <c r="I153" s="66">
        <v>423.1</v>
      </c>
      <c r="J153" s="99">
        <v>1.2290000000000001</v>
      </c>
      <c r="K153" s="111">
        <v>1.7093</v>
      </c>
      <c r="L153" s="27">
        <v>48</v>
      </c>
    </row>
    <row r="154" spans="1:12" x14ac:dyDescent="0.25">
      <c r="A154" s="24">
        <v>49</v>
      </c>
      <c r="B154" s="49">
        <v>1286.17</v>
      </c>
      <c r="C154" s="25">
        <v>8.9999999999999998E-4</v>
      </c>
      <c r="D154" s="58">
        <v>1.55E-2</v>
      </c>
      <c r="E154" s="69">
        <v>1106.4000000000001</v>
      </c>
      <c r="F154" s="703">
        <v>64.415000000000006</v>
      </c>
      <c r="G154" s="70">
        <v>270.39999999999998</v>
      </c>
      <c r="H154" s="65">
        <v>153.1</v>
      </c>
      <c r="I154" s="66">
        <v>423.5</v>
      </c>
      <c r="J154" s="99">
        <v>1.2337</v>
      </c>
      <c r="K154" s="111">
        <v>1.7090000000000001</v>
      </c>
      <c r="L154" s="27">
        <v>49</v>
      </c>
    </row>
    <row r="155" spans="1:12" x14ac:dyDescent="0.25">
      <c r="A155" s="32">
        <v>50</v>
      </c>
      <c r="B155" s="49">
        <v>1319</v>
      </c>
      <c r="C155" s="25">
        <v>8.9999999999999998E-4</v>
      </c>
      <c r="D155" s="58">
        <v>1.5100000000000001E-2</v>
      </c>
      <c r="E155" s="69">
        <v>1101.8</v>
      </c>
      <c r="F155" s="703">
        <v>66.224999999999994</v>
      </c>
      <c r="G155" s="70">
        <v>271.89999999999998</v>
      </c>
      <c r="H155" s="65">
        <v>151.9</v>
      </c>
      <c r="I155" s="66">
        <v>423.8</v>
      </c>
      <c r="J155" s="99">
        <v>1.2383999999999999</v>
      </c>
      <c r="K155" s="111">
        <v>1.7085999999999999</v>
      </c>
      <c r="L155" s="17">
        <v>50</v>
      </c>
    </row>
    <row r="156" spans="1:12" x14ac:dyDescent="0.25">
      <c r="A156" s="24">
        <v>51</v>
      </c>
      <c r="B156" s="49">
        <v>1352.44</v>
      </c>
      <c r="C156" s="25">
        <v>8.9999999999999998E-4</v>
      </c>
      <c r="D156" s="58">
        <v>1.47E-2</v>
      </c>
      <c r="E156" s="69">
        <v>1097.0999999999999</v>
      </c>
      <c r="F156" s="703">
        <v>68.084000000000003</v>
      </c>
      <c r="G156" s="70">
        <v>271.5</v>
      </c>
      <c r="H156" s="65">
        <v>150.69999999999999</v>
      </c>
      <c r="I156" s="66">
        <v>424.2</v>
      </c>
      <c r="J156" s="99">
        <v>1.2432000000000001</v>
      </c>
      <c r="K156" s="111">
        <v>1.7081999999999999</v>
      </c>
      <c r="L156" s="27">
        <v>51</v>
      </c>
    </row>
    <row r="157" spans="1:12" x14ac:dyDescent="0.25">
      <c r="A157" s="32">
        <v>52</v>
      </c>
      <c r="B157" s="49">
        <v>1386.52</v>
      </c>
      <c r="C157" s="25">
        <v>8.9999999999999998E-4</v>
      </c>
      <c r="D157" s="58">
        <v>1.43E-2</v>
      </c>
      <c r="E157" s="69">
        <v>1092.4000000000001</v>
      </c>
      <c r="F157" s="703">
        <v>69.992000000000004</v>
      </c>
      <c r="G157" s="70">
        <v>275.10000000000002</v>
      </c>
      <c r="H157" s="65">
        <v>149.5</v>
      </c>
      <c r="I157" s="66">
        <v>424.6</v>
      </c>
      <c r="J157" s="99">
        <v>1.2479</v>
      </c>
      <c r="K157" s="111">
        <v>1.7077</v>
      </c>
      <c r="L157" s="17">
        <v>52</v>
      </c>
    </row>
    <row r="158" spans="1:12" x14ac:dyDescent="0.25">
      <c r="A158" s="24">
        <v>53</v>
      </c>
      <c r="B158" s="49">
        <v>1421.23</v>
      </c>
      <c r="C158" s="25">
        <v>8.9999999999999998E-4</v>
      </c>
      <c r="D158" s="58">
        <v>1.3899999999999999E-2</v>
      </c>
      <c r="E158" s="69">
        <v>1087.5999999999999</v>
      </c>
      <c r="F158" s="703">
        <v>71.951999999999998</v>
      </c>
      <c r="G158" s="70">
        <v>276.60000000000002</v>
      </c>
      <c r="H158" s="65">
        <v>148.30000000000001</v>
      </c>
      <c r="I158" s="66">
        <v>424.9</v>
      </c>
      <c r="J158" s="99">
        <v>1.2526999999999999</v>
      </c>
      <c r="K158" s="111">
        <v>1.7073</v>
      </c>
      <c r="L158" s="27">
        <v>53</v>
      </c>
    </row>
    <row r="159" spans="1:12" x14ac:dyDescent="0.25">
      <c r="A159" s="32">
        <v>54</v>
      </c>
      <c r="B159" s="49">
        <v>1456.58</v>
      </c>
      <c r="C159" s="25">
        <v>8.9999999999999998E-4</v>
      </c>
      <c r="D159" s="58">
        <v>1.35E-2</v>
      </c>
      <c r="E159" s="69">
        <v>1082.8</v>
      </c>
      <c r="F159" s="703">
        <v>71.965999999999994</v>
      </c>
      <c r="G159" s="70">
        <v>278.2</v>
      </c>
      <c r="H159" s="65">
        <v>147</v>
      </c>
      <c r="I159" s="66">
        <v>425.3</v>
      </c>
      <c r="J159" s="99">
        <v>1.2574000000000001</v>
      </c>
      <c r="K159" s="111">
        <v>1.7069000000000001</v>
      </c>
      <c r="L159" s="17">
        <v>54</v>
      </c>
    </row>
    <row r="160" spans="1:12" x14ac:dyDescent="0.25">
      <c r="A160" s="32">
        <v>55</v>
      </c>
      <c r="B160" s="49">
        <v>1492.59</v>
      </c>
      <c r="C160" s="25">
        <v>8.9999999999999998E-4</v>
      </c>
      <c r="D160" s="58">
        <v>1.32E-2</v>
      </c>
      <c r="E160" s="69">
        <v>1077.9000000000001</v>
      </c>
      <c r="F160" s="703">
        <v>76.034999999999997</v>
      </c>
      <c r="G160" s="70">
        <v>279.8</v>
      </c>
      <c r="H160" s="65">
        <v>145.80000000000001</v>
      </c>
      <c r="I160" s="66">
        <v>425.6</v>
      </c>
      <c r="J160" s="99">
        <v>1.2622</v>
      </c>
      <c r="K160" s="111">
        <v>1.7063999999999999</v>
      </c>
      <c r="L160" s="17">
        <v>55</v>
      </c>
    </row>
    <row r="161" spans="1:12" x14ac:dyDescent="0.25">
      <c r="A161" s="24">
        <v>56</v>
      </c>
      <c r="B161" s="49">
        <v>1529.26</v>
      </c>
      <c r="C161" s="25">
        <v>8.9999999999999998E-4</v>
      </c>
      <c r="D161" s="58">
        <v>1.2800000000000001E-2</v>
      </c>
      <c r="E161" s="69">
        <v>1072.9000000000001</v>
      </c>
      <c r="F161" s="703">
        <v>78.162000000000006</v>
      </c>
      <c r="G161" s="70">
        <v>281.39999999999998</v>
      </c>
      <c r="H161" s="65">
        <v>144.5</v>
      </c>
      <c r="I161" s="66">
        <v>425.9</v>
      </c>
      <c r="J161" s="99">
        <v>1.2669999999999999</v>
      </c>
      <c r="K161" s="111">
        <v>1.7059</v>
      </c>
      <c r="L161" s="27">
        <v>56</v>
      </c>
    </row>
    <row r="162" spans="1:12" x14ac:dyDescent="0.25">
      <c r="A162" s="32">
        <v>57</v>
      </c>
      <c r="B162" s="49">
        <v>1566.61</v>
      </c>
      <c r="C162" s="25">
        <v>8.9999999999999998E-4</v>
      </c>
      <c r="D162" s="58">
        <v>1.24E-2</v>
      </c>
      <c r="E162" s="69">
        <v>1067.9000000000001</v>
      </c>
      <c r="F162" s="703">
        <v>80.347999999999999</v>
      </c>
      <c r="G162" s="70">
        <v>283</v>
      </c>
      <c r="H162" s="65">
        <v>143.19999999999999</v>
      </c>
      <c r="I162" s="66">
        <v>426.2</v>
      </c>
      <c r="J162" s="99">
        <v>1.2717000000000001</v>
      </c>
      <c r="K162" s="111">
        <v>1.7055</v>
      </c>
      <c r="L162" s="17">
        <v>57</v>
      </c>
    </row>
    <row r="163" spans="1:12" x14ac:dyDescent="0.25">
      <c r="A163" s="24">
        <v>58</v>
      </c>
      <c r="B163" s="49">
        <v>1604.63</v>
      </c>
      <c r="C163" s="25">
        <v>8.9999999999999998E-4</v>
      </c>
      <c r="D163" s="58">
        <v>1.21E-2</v>
      </c>
      <c r="E163" s="69">
        <v>1062.8</v>
      </c>
      <c r="F163" s="703">
        <v>82.596000000000004</v>
      </c>
      <c r="G163" s="70">
        <v>284.60000000000002</v>
      </c>
      <c r="H163" s="66">
        <v>141.9</v>
      </c>
      <c r="I163" s="66">
        <v>426.5</v>
      </c>
      <c r="J163" s="99">
        <v>1.2765</v>
      </c>
      <c r="K163" s="111">
        <v>1.7050000000000001</v>
      </c>
      <c r="L163" s="27">
        <v>58</v>
      </c>
    </row>
    <row r="164" spans="1:12" x14ac:dyDescent="0.25">
      <c r="A164" s="24">
        <v>59</v>
      </c>
      <c r="B164" s="49">
        <v>1643.35</v>
      </c>
      <c r="C164" s="25">
        <v>8.9999999999999998E-4</v>
      </c>
      <c r="D164" s="58">
        <v>1.18E-2</v>
      </c>
      <c r="E164" s="69">
        <v>1057.7</v>
      </c>
      <c r="F164" s="703">
        <v>84.908000000000001</v>
      </c>
      <c r="G164" s="70">
        <v>286.3</v>
      </c>
      <c r="H164" s="65">
        <v>140.5</v>
      </c>
      <c r="I164" s="66">
        <v>426.8</v>
      </c>
      <c r="J164" s="99">
        <v>1.2813000000000001</v>
      </c>
      <c r="K164" s="111">
        <v>1.7043999999999999</v>
      </c>
      <c r="L164" s="27">
        <v>59</v>
      </c>
    </row>
    <row r="165" spans="1:12" x14ac:dyDescent="0.25">
      <c r="A165" s="24">
        <v>60</v>
      </c>
      <c r="B165" s="49">
        <v>1682.76</v>
      </c>
      <c r="C165" s="52">
        <v>1E-3</v>
      </c>
      <c r="D165" s="58">
        <v>1.15E-2</v>
      </c>
      <c r="E165" s="69">
        <v>1052.5</v>
      </c>
      <c r="F165" s="703">
        <v>87.287000000000006</v>
      </c>
      <c r="G165" s="70">
        <v>287.89999999999998</v>
      </c>
      <c r="H165" s="65">
        <v>139.19999999999999</v>
      </c>
      <c r="I165" s="66">
        <v>427.1</v>
      </c>
      <c r="J165" s="99">
        <v>1.2861</v>
      </c>
      <c r="K165" s="111">
        <v>1.7039</v>
      </c>
      <c r="L165" s="27">
        <v>60</v>
      </c>
    </row>
    <row r="166" spans="1:12" x14ac:dyDescent="0.25">
      <c r="A166" s="24">
        <v>61</v>
      </c>
      <c r="B166" s="49">
        <v>1722.88</v>
      </c>
      <c r="C166" s="52">
        <v>1E-3</v>
      </c>
      <c r="D166" s="58">
        <v>1.11E-2</v>
      </c>
      <c r="E166" s="69">
        <v>1047.2</v>
      </c>
      <c r="F166" s="703">
        <v>89.734999999999999</v>
      </c>
      <c r="G166" s="70">
        <v>289.5</v>
      </c>
      <c r="H166" s="66">
        <v>137.80000000000001</v>
      </c>
      <c r="I166" s="66">
        <v>427.4</v>
      </c>
      <c r="J166" s="99">
        <v>1.2908999999999999</v>
      </c>
      <c r="K166" s="111">
        <v>1.7033</v>
      </c>
      <c r="L166" s="27">
        <v>61</v>
      </c>
    </row>
    <row r="167" spans="1:12" x14ac:dyDescent="0.25">
      <c r="A167" s="24">
        <v>62</v>
      </c>
      <c r="B167" s="49">
        <v>1763.72</v>
      </c>
      <c r="C167" s="52">
        <v>1E-3</v>
      </c>
      <c r="D167" s="58">
        <v>1.0800000000000001E-2</v>
      </c>
      <c r="E167" s="69">
        <v>1041.8</v>
      </c>
      <c r="F167" s="703">
        <v>92.254999999999995</v>
      </c>
      <c r="G167" s="70">
        <v>291.2</v>
      </c>
      <c r="H167" s="65">
        <v>136.4</v>
      </c>
      <c r="I167" s="66">
        <v>427.6</v>
      </c>
      <c r="J167" s="99">
        <v>1.2957000000000001</v>
      </c>
      <c r="K167" s="111">
        <v>1.7028000000000001</v>
      </c>
      <c r="L167" s="27">
        <v>62</v>
      </c>
    </row>
    <row r="168" spans="1:12" x14ac:dyDescent="0.25">
      <c r="A168" s="24">
        <v>63</v>
      </c>
      <c r="B168" s="49">
        <v>1805.28</v>
      </c>
      <c r="C168" s="52">
        <v>1E-3</v>
      </c>
      <c r="D168" s="58">
        <v>1.0500000000000001E-2</v>
      </c>
      <c r="E168" s="69">
        <v>1036.4000000000001</v>
      </c>
      <c r="F168" s="703">
        <v>94.850999999999999</v>
      </c>
      <c r="G168" s="70">
        <v>292.89999999999998</v>
      </c>
      <c r="H168" s="65">
        <v>135</v>
      </c>
      <c r="I168" s="66">
        <v>427.9</v>
      </c>
      <c r="J168" s="100">
        <v>1.3006</v>
      </c>
      <c r="K168" s="111">
        <v>1.7020999999999999</v>
      </c>
      <c r="L168" s="27">
        <v>63</v>
      </c>
    </row>
    <row r="169" spans="1:12" x14ac:dyDescent="0.25">
      <c r="A169" s="24">
        <v>64</v>
      </c>
      <c r="B169" s="49">
        <v>1847.47</v>
      </c>
      <c r="C169" s="52">
        <v>1E-3</v>
      </c>
      <c r="D169" s="58">
        <v>1.03E-2</v>
      </c>
      <c r="E169" s="69">
        <v>1030.9000000000001</v>
      </c>
      <c r="F169" s="703">
        <v>97.525999999999996</v>
      </c>
      <c r="G169" s="70">
        <v>294.5</v>
      </c>
      <c r="H169" s="65">
        <v>133.6</v>
      </c>
      <c r="I169" s="66">
        <v>428.1</v>
      </c>
      <c r="J169" s="100">
        <v>1.3053999999999999</v>
      </c>
      <c r="K169" s="111">
        <v>1.7015</v>
      </c>
      <c r="L169" s="27">
        <v>64</v>
      </c>
    </row>
    <row r="170" spans="1:12" x14ac:dyDescent="0.25">
      <c r="A170" s="24">
        <v>65</v>
      </c>
      <c r="B170" s="49">
        <v>1890.54</v>
      </c>
      <c r="C170" s="52">
        <v>1E-3</v>
      </c>
      <c r="D170" s="58">
        <v>0.01</v>
      </c>
      <c r="E170" s="69">
        <v>1025.3</v>
      </c>
      <c r="F170" s="704">
        <v>100.283</v>
      </c>
      <c r="G170" s="70">
        <v>296.2</v>
      </c>
      <c r="H170" s="66">
        <v>132.1</v>
      </c>
      <c r="I170" s="66">
        <v>428.3</v>
      </c>
      <c r="J170" s="100">
        <v>1.3102</v>
      </c>
      <c r="K170" s="111">
        <v>1.7009000000000001</v>
      </c>
      <c r="L170" s="27">
        <v>65</v>
      </c>
    </row>
    <row r="171" spans="1:12" x14ac:dyDescent="0.25">
      <c r="A171" s="24">
        <v>66</v>
      </c>
      <c r="B171" s="49">
        <v>1934.36</v>
      </c>
      <c r="C171" s="52">
        <v>1E-3</v>
      </c>
      <c r="D171" s="58">
        <v>9.7000000000000003E-3</v>
      </c>
      <c r="E171" s="69">
        <v>1019.6</v>
      </c>
      <c r="F171" s="704">
        <v>103.125</v>
      </c>
      <c r="G171" s="70">
        <v>297.89999999999998</v>
      </c>
      <c r="H171" s="65">
        <v>130.6</v>
      </c>
      <c r="I171" s="66">
        <v>428.5</v>
      </c>
      <c r="J171" s="100">
        <v>1.3150999999999999</v>
      </c>
      <c r="K171" s="111">
        <v>1.7001999999999999</v>
      </c>
      <c r="L171" s="27">
        <v>66</v>
      </c>
    </row>
    <row r="172" spans="1:12" x14ac:dyDescent="0.25">
      <c r="A172" s="24">
        <v>67</v>
      </c>
      <c r="B172" s="49">
        <v>1978.94</v>
      </c>
      <c r="C172" s="52">
        <v>1E-3</v>
      </c>
      <c r="D172" s="58">
        <v>9.4000000000000004E-3</v>
      </c>
      <c r="E172" s="69">
        <v>1013.8</v>
      </c>
      <c r="F172" s="704">
        <v>106.05800000000001</v>
      </c>
      <c r="G172" s="70">
        <v>299.60000000000002</v>
      </c>
      <c r="H172" s="65">
        <v>129.1</v>
      </c>
      <c r="I172" s="66">
        <v>428.7</v>
      </c>
      <c r="J172" s="100">
        <v>1.32</v>
      </c>
      <c r="K172" s="111">
        <v>1.6995</v>
      </c>
      <c r="L172" s="27">
        <v>67</v>
      </c>
    </row>
    <row r="173" spans="1:12" x14ac:dyDescent="0.25">
      <c r="A173" s="24">
        <v>68</v>
      </c>
      <c r="B173" s="49">
        <v>2024.28</v>
      </c>
      <c r="C173" s="52">
        <v>1E-3</v>
      </c>
      <c r="D173" s="58">
        <v>9.1999999999999998E-3</v>
      </c>
      <c r="E173" s="69">
        <v>1008</v>
      </c>
      <c r="F173" s="704">
        <v>109.08499999999999</v>
      </c>
      <c r="G173" s="70">
        <v>301.3</v>
      </c>
      <c r="H173" s="65">
        <v>127.5</v>
      </c>
      <c r="I173" s="66">
        <v>428.8</v>
      </c>
      <c r="J173" s="100">
        <v>1.3249</v>
      </c>
      <c r="K173" s="111">
        <v>1.6987000000000001</v>
      </c>
      <c r="L173" s="27">
        <v>68</v>
      </c>
    </row>
    <row r="174" spans="1:12" x14ac:dyDescent="0.25">
      <c r="A174" s="24">
        <v>69</v>
      </c>
      <c r="B174" s="49">
        <v>2070.42</v>
      </c>
      <c r="C174" s="52">
        <v>1E-3</v>
      </c>
      <c r="D174" s="58">
        <v>8.8999999999999999E-3</v>
      </c>
      <c r="E174" s="69">
        <v>1002</v>
      </c>
      <c r="F174" s="704">
        <v>112.212</v>
      </c>
      <c r="G174" s="70">
        <v>303</v>
      </c>
      <c r="H174" s="65">
        <v>126</v>
      </c>
      <c r="I174" s="66">
        <v>429</v>
      </c>
      <c r="J174" s="100">
        <v>1.3298000000000001</v>
      </c>
      <c r="K174" s="111">
        <v>1.6979</v>
      </c>
      <c r="L174" s="27">
        <v>69</v>
      </c>
    </row>
    <row r="175" spans="1:12" x14ac:dyDescent="0.25">
      <c r="A175" s="24">
        <v>70</v>
      </c>
      <c r="B175" s="49">
        <v>2117.34</v>
      </c>
      <c r="C175" s="52">
        <v>1E-3</v>
      </c>
      <c r="D175" s="58">
        <v>8.6999999999999994E-3</v>
      </c>
      <c r="E175" s="70">
        <v>995.9</v>
      </c>
      <c r="F175" s="704">
        <v>115.44199999999999</v>
      </c>
      <c r="G175" s="70">
        <v>304.8</v>
      </c>
      <c r="H175" s="65">
        <v>124.4</v>
      </c>
      <c r="I175" s="66">
        <v>429.1</v>
      </c>
      <c r="J175" s="100">
        <v>1.3347</v>
      </c>
      <c r="K175" s="111">
        <v>1.6971000000000001</v>
      </c>
      <c r="L175" s="27">
        <v>70</v>
      </c>
    </row>
    <row r="176" spans="1:12" x14ac:dyDescent="0.25">
      <c r="A176" s="24">
        <v>71</v>
      </c>
      <c r="B176" s="49">
        <v>2165.08</v>
      </c>
      <c r="C176" s="52">
        <v>1E-3</v>
      </c>
      <c r="D176" s="58">
        <v>8.3999999999999995E-3</v>
      </c>
      <c r="E176" s="70">
        <v>989.7</v>
      </c>
      <c r="F176" s="704">
        <v>118.783</v>
      </c>
      <c r="G176" s="70">
        <v>306.5</v>
      </c>
      <c r="H176" s="65">
        <v>122.7</v>
      </c>
      <c r="I176" s="66">
        <v>429.2</v>
      </c>
      <c r="J176" s="100">
        <v>1.3396999999999999</v>
      </c>
      <c r="K176" s="111">
        <v>1.6962999999999999</v>
      </c>
      <c r="L176" s="27">
        <v>71</v>
      </c>
    </row>
    <row r="177" spans="1:12" x14ac:dyDescent="0.25">
      <c r="A177" s="24">
        <v>72</v>
      </c>
      <c r="B177" s="49">
        <v>2213.63</v>
      </c>
      <c r="C177" s="52">
        <v>1E-3</v>
      </c>
      <c r="D177" s="58">
        <v>8.2000000000000007E-3</v>
      </c>
      <c r="E177" s="70">
        <v>983.4</v>
      </c>
      <c r="F177" s="704">
        <v>122.239</v>
      </c>
      <c r="G177" s="70">
        <v>308.3</v>
      </c>
      <c r="H177" s="65">
        <v>121.1</v>
      </c>
      <c r="I177" s="66">
        <v>429.3</v>
      </c>
      <c r="J177" s="100">
        <v>1.3446</v>
      </c>
      <c r="K177" s="111">
        <v>1.6954</v>
      </c>
      <c r="L177" s="27">
        <v>72</v>
      </c>
    </row>
    <row r="178" spans="1:12" x14ac:dyDescent="0.25">
      <c r="A178" s="24">
        <v>73</v>
      </c>
      <c r="B178" s="49">
        <v>2263.0100000000002</v>
      </c>
      <c r="C178" s="52">
        <v>1E-3</v>
      </c>
      <c r="D178" s="58">
        <v>7.9000000000000008E-3</v>
      </c>
      <c r="E178" s="70">
        <v>977</v>
      </c>
      <c r="F178" s="704">
        <v>125.818</v>
      </c>
      <c r="G178" s="70">
        <v>310.10000000000002</v>
      </c>
      <c r="H178" s="65">
        <v>119.4</v>
      </c>
      <c r="I178" s="66">
        <v>429.4</v>
      </c>
      <c r="J178" s="100">
        <v>1.3495999999999999</v>
      </c>
      <c r="K178" s="111">
        <v>1.6944999999999999</v>
      </c>
      <c r="L178" s="27">
        <v>73</v>
      </c>
    </row>
    <row r="179" spans="1:12" x14ac:dyDescent="0.25">
      <c r="A179" s="24">
        <v>74</v>
      </c>
      <c r="B179" s="49">
        <v>2313.23</v>
      </c>
      <c r="C179" s="52">
        <v>1E-3</v>
      </c>
      <c r="D179" s="58">
        <v>7.7000000000000002E-3</v>
      </c>
      <c r="E179" s="70">
        <v>970.4</v>
      </c>
      <c r="F179" s="704">
        <v>129.52699999999999</v>
      </c>
      <c r="G179" s="70">
        <v>311.8</v>
      </c>
      <c r="H179" s="66">
        <v>117.6</v>
      </c>
      <c r="I179" s="66">
        <v>429.5</v>
      </c>
      <c r="J179" s="100">
        <v>1.3547</v>
      </c>
      <c r="K179" s="111">
        <v>1.6935</v>
      </c>
      <c r="L179" s="27">
        <v>74</v>
      </c>
    </row>
    <row r="180" spans="1:12" x14ac:dyDescent="0.25">
      <c r="A180" s="24">
        <v>75</v>
      </c>
      <c r="B180" s="49">
        <v>2364.31</v>
      </c>
      <c r="C180" s="52">
        <v>1E-3</v>
      </c>
      <c r="D180" s="58">
        <v>7.4999999999999997E-3</v>
      </c>
      <c r="E180" s="70">
        <v>963.7</v>
      </c>
      <c r="F180" s="705">
        <v>133.37299999999999</v>
      </c>
      <c r="G180" s="70">
        <v>313.7</v>
      </c>
      <c r="H180" s="66">
        <v>115.8</v>
      </c>
      <c r="I180" s="66">
        <v>429.5</v>
      </c>
      <c r="J180" s="100">
        <v>1.3596999999999999</v>
      </c>
      <c r="K180" s="111">
        <v>1.6923999999999999</v>
      </c>
      <c r="L180" s="27">
        <v>75</v>
      </c>
    </row>
    <row r="181" spans="1:12" x14ac:dyDescent="0.25">
      <c r="A181" s="24">
        <v>76</v>
      </c>
      <c r="B181" s="49">
        <v>2416.25</v>
      </c>
      <c r="C181" s="52">
        <v>1E-3</v>
      </c>
      <c r="D181" s="58">
        <v>7.3000000000000001E-3</v>
      </c>
      <c r="E181" s="70">
        <v>956.9</v>
      </c>
      <c r="F181" s="703">
        <v>137.36600000000001</v>
      </c>
      <c r="G181" s="70">
        <v>315.5</v>
      </c>
      <c r="H181" s="65">
        <v>114</v>
      </c>
      <c r="I181" s="66">
        <v>429.5</v>
      </c>
      <c r="J181" s="100">
        <v>1.3648</v>
      </c>
      <c r="K181" s="111">
        <v>1.6913</v>
      </c>
      <c r="L181" s="27">
        <v>76</v>
      </c>
    </row>
    <row r="182" spans="1:12" x14ac:dyDescent="0.25">
      <c r="A182" s="24">
        <v>77</v>
      </c>
      <c r="B182" s="49">
        <v>2469.08</v>
      </c>
      <c r="C182" s="25">
        <v>1.1000000000000001E-3</v>
      </c>
      <c r="D182" s="58">
        <v>7.1000000000000004E-3</v>
      </c>
      <c r="E182" s="70">
        <v>949.9</v>
      </c>
      <c r="F182" s="704">
        <v>141.51400000000001</v>
      </c>
      <c r="G182" s="70">
        <v>317.3</v>
      </c>
      <c r="H182" s="66">
        <v>112.2</v>
      </c>
      <c r="I182" s="66">
        <v>429.5</v>
      </c>
      <c r="J182" s="100">
        <v>1.3698999999999999</v>
      </c>
      <c r="K182" s="111">
        <v>1.6901999999999999</v>
      </c>
      <c r="L182" s="27">
        <v>77</v>
      </c>
    </row>
    <row r="183" spans="1:12" x14ac:dyDescent="0.25">
      <c r="A183" s="24">
        <v>78</v>
      </c>
      <c r="B183" s="49">
        <v>2522.79</v>
      </c>
      <c r="C183" s="25">
        <v>1.1000000000000001E-3</v>
      </c>
      <c r="D183" s="58">
        <v>6.8999999999999999E-3</v>
      </c>
      <c r="E183" s="70">
        <v>942.7</v>
      </c>
      <c r="F183" s="704">
        <v>145.83000000000001</v>
      </c>
      <c r="G183" s="70">
        <v>319.2</v>
      </c>
      <c r="H183" s="65">
        <v>110.3</v>
      </c>
      <c r="I183" s="66">
        <v>429.4</v>
      </c>
      <c r="J183" s="100">
        <v>1.375</v>
      </c>
      <c r="K183" s="112">
        <v>1.6890000000000001</v>
      </c>
      <c r="L183" s="27">
        <v>78</v>
      </c>
    </row>
    <row r="184" spans="1:12" ht="15.75" thickBot="1" x14ac:dyDescent="0.3">
      <c r="A184" s="30">
        <v>79</v>
      </c>
      <c r="B184" s="50">
        <v>2577.42</v>
      </c>
      <c r="C184" s="25">
        <v>1.1000000000000001E-3</v>
      </c>
      <c r="D184" s="59">
        <v>6.7000000000000002E-3</v>
      </c>
      <c r="E184" s="71">
        <v>935.4</v>
      </c>
      <c r="F184" s="706">
        <v>150.32400000000001</v>
      </c>
      <c r="G184" s="71">
        <v>321</v>
      </c>
      <c r="H184" s="67">
        <v>108.3</v>
      </c>
      <c r="I184" s="90">
        <v>429.3</v>
      </c>
      <c r="J184" s="101">
        <v>1.3801000000000001</v>
      </c>
      <c r="K184" s="113">
        <v>1.6877</v>
      </c>
      <c r="L184" s="33">
        <v>79</v>
      </c>
    </row>
    <row r="185" spans="1:12" x14ac:dyDescent="0.25">
      <c r="A185" s="20">
        <v>80</v>
      </c>
      <c r="B185" s="43">
        <v>2632.97</v>
      </c>
      <c r="C185" s="25">
        <v>1.1000000000000001E-3</v>
      </c>
      <c r="D185" s="57">
        <v>6.4999999999999997E-3</v>
      </c>
      <c r="E185" s="72">
        <v>927.8</v>
      </c>
      <c r="F185" s="707">
        <v>155.01</v>
      </c>
      <c r="G185" s="84">
        <v>322.89999999999998</v>
      </c>
      <c r="H185" s="83">
        <v>106.3</v>
      </c>
      <c r="I185" s="83">
        <v>429.2</v>
      </c>
      <c r="J185" s="102">
        <v>1.3854</v>
      </c>
      <c r="K185" s="107">
        <v>1.6862999999999999</v>
      </c>
      <c r="L185" s="22">
        <v>80</v>
      </c>
    </row>
    <row r="186" spans="1:12" x14ac:dyDescent="0.25">
      <c r="A186" s="25">
        <v>81</v>
      </c>
      <c r="B186" s="44">
        <v>2689.46</v>
      </c>
      <c r="C186" s="25">
        <v>1.1000000000000001E-3</v>
      </c>
      <c r="D186" s="58">
        <v>6.3E-3</v>
      </c>
      <c r="E186" s="66">
        <v>920.1</v>
      </c>
      <c r="F186" s="708">
        <v>159.904</v>
      </c>
      <c r="G186" s="81">
        <v>324.89999999999998</v>
      </c>
      <c r="H186" s="69">
        <v>104.2</v>
      </c>
      <c r="I186" s="70">
        <v>429.1</v>
      </c>
      <c r="J186" s="100">
        <v>1.3906000000000001</v>
      </c>
      <c r="K186" s="108">
        <v>1.6849000000000001</v>
      </c>
      <c r="L186" s="27">
        <v>81</v>
      </c>
    </row>
    <row r="187" spans="1:12" x14ac:dyDescent="0.25">
      <c r="A187" s="25">
        <v>82</v>
      </c>
      <c r="B187" s="44">
        <v>2746.9</v>
      </c>
      <c r="C187" s="25">
        <v>1.1000000000000001E-3</v>
      </c>
      <c r="D187" s="58">
        <v>6.1000000000000004E-3</v>
      </c>
      <c r="E187" s="66">
        <v>912.1</v>
      </c>
      <c r="F187" s="708">
        <v>165.02199999999999</v>
      </c>
      <c r="G187" s="81">
        <v>326.8</v>
      </c>
      <c r="H187" s="69">
        <v>102.1</v>
      </c>
      <c r="I187" s="70">
        <v>428.9</v>
      </c>
      <c r="J187" s="100">
        <v>1.3958999999999999</v>
      </c>
      <c r="K187" s="108">
        <v>1.6834</v>
      </c>
      <c r="L187" s="27">
        <v>82</v>
      </c>
    </row>
    <row r="188" spans="1:12" x14ac:dyDescent="0.25">
      <c r="A188" s="25">
        <v>83</v>
      </c>
      <c r="B188" s="44">
        <v>2805.31</v>
      </c>
      <c r="C188" s="25">
        <v>1.1000000000000001E-3</v>
      </c>
      <c r="D188" s="58">
        <v>5.8999999999999999E-3</v>
      </c>
      <c r="E188" s="66">
        <v>903.9</v>
      </c>
      <c r="F188" s="709">
        <v>170.38300000000001</v>
      </c>
      <c r="G188" s="81">
        <v>328.8</v>
      </c>
      <c r="H188" s="70">
        <v>99.9</v>
      </c>
      <c r="I188" s="70">
        <v>428.7</v>
      </c>
      <c r="J188" s="99">
        <v>1.4012</v>
      </c>
      <c r="K188" s="108">
        <v>1.6818</v>
      </c>
      <c r="L188" s="27">
        <v>83</v>
      </c>
    </row>
    <row r="189" spans="1:12" x14ac:dyDescent="0.25">
      <c r="A189" s="25">
        <v>84</v>
      </c>
      <c r="B189" s="44">
        <v>2864.7</v>
      </c>
      <c r="C189" s="25">
        <v>1.1000000000000001E-3</v>
      </c>
      <c r="D189" s="58">
        <v>5.7000000000000002E-3</v>
      </c>
      <c r="E189" s="66">
        <v>895.5</v>
      </c>
      <c r="F189" s="708">
        <v>176.01</v>
      </c>
      <c r="G189" s="81">
        <v>330.7</v>
      </c>
      <c r="H189" s="70">
        <v>97.7</v>
      </c>
      <c r="I189" s="70">
        <v>428.4</v>
      </c>
      <c r="J189" s="99">
        <v>1.4066000000000001</v>
      </c>
      <c r="K189" s="108">
        <v>1.68</v>
      </c>
      <c r="L189" s="27">
        <v>84</v>
      </c>
    </row>
    <row r="190" spans="1:12" x14ac:dyDescent="0.25">
      <c r="A190" s="25">
        <v>85</v>
      </c>
      <c r="B190" s="44">
        <v>2925.11</v>
      </c>
      <c r="C190" s="25">
        <v>1.1000000000000001E-3</v>
      </c>
      <c r="D190" s="58">
        <v>5.4999999999999997E-3</v>
      </c>
      <c r="E190" s="66">
        <v>886.7</v>
      </c>
      <c r="F190" s="708">
        <v>181.929</v>
      </c>
      <c r="G190" s="81">
        <v>332.8</v>
      </c>
      <c r="H190" s="70">
        <v>95.3</v>
      </c>
      <c r="I190" s="70">
        <v>428.1</v>
      </c>
      <c r="J190" s="99">
        <v>1.4120999999999999</v>
      </c>
      <c r="K190" s="108">
        <v>1.6781999999999999</v>
      </c>
      <c r="L190" s="27">
        <v>85</v>
      </c>
    </row>
    <row r="191" spans="1:12" x14ac:dyDescent="0.25">
      <c r="A191" s="25">
        <v>86</v>
      </c>
      <c r="B191" s="44">
        <v>2986.54</v>
      </c>
      <c r="C191" s="25">
        <v>1.1000000000000001E-3</v>
      </c>
      <c r="D191" s="58">
        <v>5.3E-3</v>
      </c>
      <c r="E191" s="66">
        <v>877.6</v>
      </c>
      <c r="F191" s="708">
        <v>188.16900000000001</v>
      </c>
      <c r="G191" s="81">
        <v>334.8</v>
      </c>
      <c r="H191" s="70">
        <v>92.9</v>
      </c>
      <c r="I191" s="70">
        <v>427.7</v>
      </c>
      <c r="J191" s="99">
        <v>1.4176</v>
      </c>
      <c r="K191" s="108">
        <v>1.6761999999999999</v>
      </c>
      <c r="L191" s="27">
        <v>86</v>
      </c>
    </row>
    <row r="192" spans="1:12" x14ac:dyDescent="0.25">
      <c r="A192" s="25">
        <v>87</v>
      </c>
      <c r="B192" s="44">
        <v>3049.01</v>
      </c>
      <c r="C192" s="25">
        <v>1.1999999999999999E-3</v>
      </c>
      <c r="D192" s="58">
        <v>5.1000000000000004E-3</v>
      </c>
      <c r="E192" s="66">
        <v>868.2</v>
      </c>
      <c r="F192" s="708">
        <v>194.76599999999999</v>
      </c>
      <c r="G192" s="81">
        <v>336.9</v>
      </c>
      <c r="H192" s="70">
        <v>90.4</v>
      </c>
      <c r="I192" s="70">
        <v>427.3</v>
      </c>
      <c r="J192" s="99">
        <v>1.4232</v>
      </c>
      <c r="K192" s="108">
        <v>1.6740999999999999</v>
      </c>
      <c r="L192" s="27">
        <v>87</v>
      </c>
    </row>
    <row r="193" spans="1:15" x14ac:dyDescent="0.25">
      <c r="A193" s="25">
        <v>88</v>
      </c>
      <c r="B193" s="44">
        <v>3112.55</v>
      </c>
      <c r="C193" s="25">
        <v>1.1999999999999999E-3</v>
      </c>
      <c r="D193" s="58">
        <v>5.0000000000000001E-3</v>
      </c>
      <c r="E193" s="66">
        <v>858.4</v>
      </c>
      <c r="F193" s="708">
        <v>201.761</v>
      </c>
      <c r="G193" s="81">
        <v>339</v>
      </c>
      <c r="H193" s="70">
        <v>87.7</v>
      </c>
      <c r="I193" s="70">
        <v>426.8</v>
      </c>
      <c r="J193" s="99">
        <v>1.4289000000000001</v>
      </c>
      <c r="K193" s="108">
        <v>1.6718999999999999</v>
      </c>
      <c r="L193" s="27">
        <v>88</v>
      </c>
    </row>
    <row r="194" spans="1:15" x14ac:dyDescent="0.25">
      <c r="A194" s="25">
        <v>89</v>
      </c>
      <c r="B194" s="44">
        <v>3177.1</v>
      </c>
      <c r="C194" s="25">
        <v>1.1999999999999999E-3</v>
      </c>
      <c r="D194" s="58">
        <v>4.7999999999999996E-3</v>
      </c>
      <c r="E194" s="66">
        <v>848.1</v>
      </c>
      <c r="F194" s="708">
        <v>209.20599999999999</v>
      </c>
      <c r="G194" s="81">
        <v>341.2</v>
      </c>
      <c r="H194" s="70">
        <v>85</v>
      </c>
      <c r="I194" s="70">
        <v>426.2</v>
      </c>
      <c r="J194" s="99">
        <v>1.4347000000000001</v>
      </c>
      <c r="K194" s="108">
        <v>1.6694</v>
      </c>
      <c r="L194" s="27">
        <v>89</v>
      </c>
    </row>
    <row r="195" spans="1:15" x14ac:dyDescent="0.25">
      <c r="A195" s="25">
        <v>90</v>
      </c>
      <c r="B195" s="44">
        <v>3242.87</v>
      </c>
      <c r="C195" s="25">
        <v>1.1999999999999999E-3</v>
      </c>
      <c r="D195" s="58">
        <v>4.5999999999999999E-3</v>
      </c>
      <c r="E195" s="66">
        <v>837.3</v>
      </c>
      <c r="F195" s="708">
        <v>217.16200000000001</v>
      </c>
      <c r="G195" s="81">
        <v>343.4</v>
      </c>
      <c r="H195" s="70">
        <v>82.1</v>
      </c>
      <c r="I195" s="70">
        <v>425.5</v>
      </c>
      <c r="J195" s="99">
        <v>1.4406000000000001</v>
      </c>
      <c r="K195" s="108">
        <v>1.6668000000000001</v>
      </c>
      <c r="L195" s="27">
        <v>90</v>
      </c>
      <c r="O195">
        <f>G193+G194</f>
        <v>680.2</v>
      </c>
    </row>
    <row r="196" spans="1:15" x14ac:dyDescent="0.25">
      <c r="A196" s="25">
        <v>91</v>
      </c>
      <c r="B196" s="44">
        <v>3309.78</v>
      </c>
      <c r="C196" s="25">
        <v>1.1999999999999999E-3</v>
      </c>
      <c r="D196" s="58">
        <v>4.4000000000000003E-3</v>
      </c>
      <c r="E196" s="66">
        <v>826</v>
      </c>
      <c r="F196" s="708">
        <v>225.70599999999999</v>
      </c>
      <c r="G196" s="81">
        <v>345.7</v>
      </c>
      <c r="H196" s="70">
        <v>79.099999999999994</v>
      </c>
      <c r="I196" s="70">
        <v>424.8</v>
      </c>
      <c r="J196" s="99">
        <v>1.4466000000000001</v>
      </c>
      <c r="K196" s="108">
        <v>1.6638999999999999</v>
      </c>
      <c r="L196" s="27">
        <v>91</v>
      </c>
    </row>
    <row r="197" spans="1:15" x14ac:dyDescent="0.25">
      <c r="A197" s="25">
        <v>92</v>
      </c>
      <c r="B197" s="44">
        <v>3377.85</v>
      </c>
      <c r="C197" s="25">
        <v>1.1999999999999999E-3</v>
      </c>
      <c r="D197" s="58">
        <v>4.3E-3</v>
      </c>
      <c r="E197" s="66">
        <v>814</v>
      </c>
      <c r="F197" s="708">
        <v>234.93600000000001</v>
      </c>
      <c r="G197" s="81">
        <v>348</v>
      </c>
      <c r="H197" s="70">
        <v>75.900000000000006</v>
      </c>
      <c r="I197" s="70">
        <v>423.9</v>
      </c>
      <c r="J197" s="99">
        <v>1.4528000000000001</v>
      </c>
      <c r="K197" s="108">
        <v>1.6607000000000001</v>
      </c>
      <c r="L197" s="27">
        <v>92</v>
      </c>
    </row>
    <row r="198" spans="1:15" x14ac:dyDescent="0.25">
      <c r="A198" s="25">
        <v>93</v>
      </c>
      <c r="B198" s="44">
        <v>3447.13</v>
      </c>
      <c r="C198" s="25">
        <v>1.1999999999999999E-3</v>
      </c>
      <c r="D198" s="58">
        <v>4.1000000000000003E-3</v>
      </c>
      <c r="E198" s="66">
        <v>801.1</v>
      </c>
      <c r="F198" s="708">
        <v>244.97800000000001</v>
      </c>
      <c r="G198" s="81">
        <v>350.4</v>
      </c>
      <c r="H198" s="70">
        <v>72.5</v>
      </c>
      <c r="I198" s="70">
        <v>422.9</v>
      </c>
      <c r="J198" s="99">
        <v>1.4592000000000001</v>
      </c>
      <c r="K198" s="108">
        <v>1.6572</v>
      </c>
      <c r="L198" s="27">
        <v>93</v>
      </c>
    </row>
    <row r="199" spans="1:15" x14ac:dyDescent="0.25">
      <c r="A199" s="25">
        <v>94</v>
      </c>
      <c r="B199" s="44">
        <v>3517.65</v>
      </c>
      <c r="C199" s="25">
        <v>1.2999999999999999E-3</v>
      </c>
      <c r="D199" s="58">
        <v>3.8999999999999998E-3</v>
      </c>
      <c r="E199" s="66">
        <v>787.4</v>
      </c>
      <c r="F199" s="708">
        <v>256.005</v>
      </c>
      <c r="G199" s="81">
        <v>353</v>
      </c>
      <c r="H199" s="70">
        <v>68.900000000000006</v>
      </c>
      <c r="I199" s="70">
        <v>421.8</v>
      </c>
      <c r="J199" s="99">
        <v>1.4658</v>
      </c>
      <c r="K199" s="108">
        <v>1.6533</v>
      </c>
      <c r="L199" s="27">
        <v>94</v>
      </c>
    </row>
    <row r="200" spans="1:15" x14ac:dyDescent="0.25">
      <c r="A200" s="25">
        <v>95</v>
      </c>
      <c r="B200" s="44">
        <v>3589.44</v>
      </c>
      <c r="C200" s="25">
        <v>1.2999999999999999E-3</v>
      </c>
      <c r="D200" s="58">
        <v>3.7000000000000002E-3</v>
      </c>
      <c r="E200" s="66">
        <v>772.3</v>
      </c>
      <c r="F200" s="708">
        <v>268.255</v>
      </c>
      <c r="G200" s="81">
        <v>355.6</v>
      </c>
      <c r="H200" s="70">
        <v>64.900000000000006</v>
      </c>
      <c r="I200" s="70">
        <v>420.5</v>
      </c>
      <c r="J200" s="99">
        <v>1.4726999999999999</v>
      </c>
      <c r="K200" s="108">
        <v>1.6489</v>
      </c>
      <c r="L200" s="27">
        <v>95</v>
      </c>
    </row>
    <row r="201" spans="1:15" x14ac:dyDescent="0.25">
      <c r="A201" s="25">
        <v>96</v>
      </c>
      <c r="B201" s="44">
        <v>3662.57</v>
      </c>
      <c r="C201" s="25">
        <v>1.2999999999999999E-3</v>
      </c>
      <c r="D201" s="58">
        <v>3.5000000000000001E-3</v>
      </c>
      <c r="E201" s="66">
        <v>755.8</v>
      </c>
      <c r="F201" s="708">
        <v>282.07900000000001</v>
      </c>
      <c r="G201" s="81">
        <v>358.4</v>
      </c>
      <c r="H201" s="70">
        <v>60.5</v>
      </c>
      <c r="I201" s="70">
        <v>418.9</v>
      </c>
      <c r="J201" s="99">
        <v>1.4799</v>
      </c>
      <c r="K201" s="108">
        <v>1.6438999999999999</v>
      </c>
      <c r="L201" s="27">
        <v>96</v>
      </c>
    </row>
    <row r="202" spans="1:15" x14ac:dyDescent="0.25">
      <c r="A202" s="25">
        <v>97</v>
      </c>
      <c r="B202" s="44">
        <v>3737.09</v>
      </c>
      <c r="C202" s="25">
        <v>1.4E-3</v>
      </c>
      <c r="D202" s="58">
        <v>3.3999999999999998E-3</v>
      </c>
      <c r="E202" s="66">
        <v>737.1</v>
      </c>
      <c r="F202" s="708">
        <v>298.029</v>
      </c>
      <c r="G202" s="81">
        <v>361.3</v>
      </c>
      <c r="H202" s="70">
        <v>55.7</v>
      </c>
      <c r="I202" s="70">
        <v>417</v>
      </c>
      <c r="J202" s="99">
        <v>1.4877</v>
      </c>
      <c r="K202" s="108">
        <v>1.6380999999999999</v>
      </c>
      <c r="L202" s="27">
        <v>97</v>
      </c>
    </row>
    <row r="203" spans="1:15" x14ac:dyDescent="0.25">
      <c r="A203" s="25">
        <v>98</v>
      </c>
      <c r="B203" s="44">
        <v>3813.08</v>
      </c>
      <c r="C203" s="25">
        <v>1.4E-3</v>
      </c>
      <c r="D203" s="58">
        <v>3.2000000000000002E-3</v>
      </c>
      <c r="E203" s="66">
        <v>715.4</v>
      </c>
      <c r="F203" s="708">
        <v>317.065</v>
      </c>
      <c r="G203" s="81">
        <v>364.6</v>
      </c>
      <c r="H203" s="70">
        <v>50</v>
      </c>
      <c r="I203" s="70">
        <v>414.6</v>
      </c>
      <c r="J203" s="99">
        <v>1.4963</v>
      </c>
      <c r="K203" s="108">
        <v>1.6311</v>
      </c>
      <c r="L203" s="27">
        <v>98</v>
      </c>
    </row>
    <row r="204" spans="1:15" x14ac:dyDescent="0.25">
      <c r="A204" s="25">
        <v>99</v>
      </c>
      <c r="B204" s="44">
        <v>3890.64</v>
      </c>
      <c r="C204" s="25">
        <v>1.5E-3</v>
      </c>
      <c r="D204" s="58">
        <v>2.8999999999999998E-3</v>
      </c>
      <c r="E204" s="66">
        <v>688.6</v>
      </c>
      <c r="F204" s="708">
        <v>341.13299999999998</v>
      </c>
      <c r="G204" s="81">
        <v>368.4</v>
      </c>
      <c r="H204" s="70">
        <v>41.2</v>
      </c>
      <c r="I204" s="70">
        <v>411.5</v>
      </c>
      <c r="J204" s="99">
        <v>1.5061</v>
      </c>
      <c r="K204" s="108">
        <v>1.6221000000000001</v>
      </c>
      <c r="L204" s="27">
        <v>99</v>
      </c>
    </row>
    <row r="205" spans="1:15" x14ac:dyDescent="0.25">
      <c r="A205" s="25">
        <v>100</v>
      </c>
      <c r="B205" s="44">
        <v>3969.94</v>
      </c>
      <c r="C205" s="25">
        <v>1.5E-3</v>
      </c>
      <c r="D205" s="58">
        <v>2.7000000000000001E-3</v>
      </c>
      <c r="E205" s="66">
        <v>651.4</v>
      </c>
      <c r="F205" s="708">
        <v>375.50299999999999</v>
      </c>
      <c r="G205" s="81">
        <v>373.2</v>
      </c>
      <c r="H205" s="70">
        <v>33.799999999999997</v>
      </c>
      <c r="I205" s="70">
        <v>407</v>
      </c>
      <c r="J205" s="99">
        <v>1.5186999999999999</v>
      </c>
      <c r="K205" s="114">
        <v>1.6092</v>
      </c>
      <c r="L205" s="27">
        <v>100</v>
      </c>
    </row>
    <row r="206" spans="1:15" ht="15.75" thickBot="1" x14ac:dyDescent="0.3">
      <c r="A206" s="34">
        <v>101</v>
      </c>
      <c r="B206" s="51">
        <v>4051.35</v>
      </c>
      <c r="C206" s="34">
        <v>1.8E-3</v>
      </c>
      <c r="D206" s="60">
        <v>2.2000000000000001E-3</v>
      </c>
      <c r="E206" s="73">
        <v>566.4</v>
      </c>
      <c r="F206" s="710">
        <v>457.59399999999999</v>
      </c>
      <c r="G206" s="85">
        <v>383</v>
      </c>
      <c r="H206" s="88">
        <v>13</v>
      </c>
      <c r="I206" s="88">
        <v>396</v>
      </c>
      <c r="J206" s="103">
        <v>1.5447</v>
      </c>
      <c r="K206" s="115">
        <v>1.5793999999999999</v>
      </c>
      <c r="L206" s="35">
        <v>101</v>
      </c>
    </row>
    <row r="207" spans="1:15" ht="15.75" thickTop="1" x14ac:dyDescent="0.25"/>
  </sheetData>
  <mergeCells count="9">
    <mergeCell ref="J1:K1"/>
    <mergeCell ref="J2:K2"/>
    <mergeCell ref="B3:B4"/>
    <mergeCell ref="C1:D1"/>
    <mergeCell ref="C2:D2"/>
    <mergeCell ref="E1:F1"/>
    <mergeCell ref="E2:F2"/>
    <mergeCell ref="G1:I1"/>
    <mergeCell ref="G2:I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P118"/>
  <sheetViews>
    <sheetView tabSelected="1" topLeftCell="RW16" zoomScaleNormal="100" workbookViewId="0">
      <selection activeCell="SF35" sqref="SF35"/>
    </sheetView>
  </sheetViews>
  <sheetFormatPr defaultRowHeight="15" x14ac:dyDescent="0.25"/>
  <cols>
    <col min="1" max="1" width="9.28515625" bestFit="1" customWidth="1"/>
    <col min="2" max="2" width="13.7109375" bestFit="1" customWidth="1"/>
    <col min="3" max="3" width="11.42578125" customWidth="1"/>
    <col min="4" max="7" width="9.28515625" bestFit="1" customWidth="1"/>
    <col min="9" max="9" width="9.28515625" bestFit="1" customWidth="1"/>
    <col min="10" max="10" width="10.28515625" bestFit="1" customWidth="1"/>
    <col min="11" max="11" width="11" bestFit="1" customWidth="1"/>
    <col min="12" max="12" width="9.28515625" bestFit="1" customWidth="1"/>
    <col min="13" max="13" width="9.7109375" bestFit="1" customWidth="1"/>
    <col min="14" max="15" width="9.28515625" bestFit="1" customWidth="1"/>
    <col min="17" max="17" width="9.28515625" bestFit="1" customWidth="1"/>
    <col min="18" max="18" width="11.85546875" bestFit="1" customWidth="1"/>
    <col min="19" max="19" width="9.28515625" bestFit="1" customWidth="1"/>
    <col min="20" max="20" width="12.140625" bestFit="1" customWidth="1"/>
    <col min="21" max="21" width="9.28515625" bestFit="1" customWidth="1"/>
    <col min="22" max="22" width="11.85546875" bestFit="1" customWidth="1"/>
    <col min="23" max="23" width="9.28515625" bestFit="1" customWidth="1"/>
    <col min="25" max="25" width="9.28515625" bestFit="1" customWidth="1"/>
    <col min="26" max="26" width="9.7109375" bestFit="1" customWidth="1"/>
    <col min="27" max="27" width="11.28515625" bestFit="1" customWidth="1"/>
    <col min="28" max="28" width="9.28515625" bestFit="1" customWidth="1"/>
    <col min="29" max="29" width="11" bestFit="1" customWidth="1"/>
    <col min="30" max="31" width="9.28515625" bestFit="1" customWidth="1"/>
    <col min="33" max="35" width="9.28515625" bestFit="1" customWidth="1"/>
    <col min="36" max="36" width="11.28515625" bestFit="1" customWidth="1"/>
    <col min="37" max="37" width="9.28515625" bestFit="1" customWidth="1"/>
    <col min="38" max="38" width="9.42578125" customWidth="1"/>
    <col min="39" max="39" width="9.28515625" bestFit="1" customWidth="1"/>
    <col min="41" max="42" width="9.28515625" bestFit="1" customWidth="1"/>
    <col min="43" max="43" width="11.28515625" bestFit="1" customWidth="1"/>
    <col min="44" max="44" width="9.28515625" bestFit="1" customWidth="1"/>
    <col min="45" max="45" width="11" bestFit="1" customWidth="1"/>
    <col min="46" max="47" width="9.28515625" bestFit="1" customWidth="1"/>
    <col min="49" max="51" width="9.28515625" bestFit="1" customWidth="1"/>
    <col min="52" max="52" width="10" bestFit="1" customWidth="1"/>
    <col min="53" max="55" width="9.28515625" bestFit="1" customWidth="1"/>
    <col min="57" max="63" width="9.28515625" bestFit="1" customWidth="1"/>
    <col min="65" max="71" width="9.28515625" bestFit="1" customWidth="1"/>
    <col min="73" max="79" width="9.28515625" bestFit="1" customWidth="1"/>
    <col min="81" max="87" width="9.28515625" bestFit="1" customWidth="1"/>
    <col min="89" max="95" width="9.28515625" bestFit="1" customWidth="1"/>
    <col min="97" max="103" width="9.28515625" bestFit="1" customWidth="1"/>
    <col min="105" max="111" width="9.28515625" bestFit="1" customWidth="1"/>
    <col min="113" max="119" width="9.28515625" bestFit="1" customWidth="1"/>
    <col min="121" max="121" width="9.5703125" bestFit="1" customWidth="1"/>
    <col min="122" max="127" width="9.28515625" bestFit="1" customWidth="1"/>
    <col min="129" max="129" width="9.28515625" bestFit="1" customWidth="1"/>
    <col min="130" max="130" width="9.5703125" bestFit="1" customWidth="1"/>
    <col min="131" max="135" width="9.28515625" bestFit="1" customWidth="1"/>
    <col min="137" max="143" width="9.28515625" bestFit="1" customWidth="1"/>
    <col min="145" max="151" width="9.28515625" bestFit="1" customWidth="1"/>
    <col min="153" max="154" width="9.28515625" bestFit="1" customWidth="1"/>
    <col min="155" max="155" width="9.42578125" bestFit="1" customWidth="1"/>
    <col min="156" max="156" width="11" bestFit="1" customWidth="1"/>
    <col min="157" max="157" width="9.42578125" bestFit="1" customWidth="1"/>
    <col min="158" max="159" width="9.28515625" bestFit="1" customWidth="1"/>
    <col min="161" max="167" width="9.28515625" bestFit="1" customWidth="1"/>
    <col min="169" max="175" width="9.28515625" bestFit="1" customWidth="1"/>
    <col min="177" max="183" width="9.28515625" bestFit="1" customWidth="1"/>
    <col min="185" max="191" width="9.28515625" bestFit="1" customWidth="1"/>
    <col min="193" max="199" width="9.28515625" bestFit="1" customWidth="1"/>
    <col min="201" max="201" width="9.5703125" bestFit="1" customWidth="1"/>
    <col min="202" max="207" width="9.28515625" bestFit="1" customWidth="1"/>
    <col min="209" max="215" width="9.28515625" bestFit="1" customWidth="1"/>
    <col min="217" max="223" width="9.28515625" bestFit="1" customWidth="1"/>
    <col min="225" max="231" width="9.28515625" bestFit="1" customWidth="1"/>
    <col min="233" max="239" width="9.28515625" bestFit="1" customWidth="1"/>
    <col min="241" max="247" width="9.28515625" bestFit="1" customWidth="1"/>
    <col min="249" max="255" width="9.28515625" bestFit="1" customWidth="1"/>
    <col min="257" max="263" width="9.28515625" bestFit="1" customWidth="1"/>
    <col min="265" max="271" width="9.28515625" bestFit="1" customWidth="1"/>
    <col min="273" max="279" width="9.28515625" bestFit="1" customWidth="1"/>
    <col min="281" max="287" width="9.28515625" bestFit="1" customWidth="1"/>
    <col min="289" max="295" width="9.28515625" bestFit="1" customWidth="1"/>
    <col min="297" max="303" width="9.28515625" bestFit="1" customWidth="1"/>
    <col min="305" max="311" width="9.28515625" bestFit="1" customWidth="1"/>
    <col min="313" max="319" width="9.28515625" bestFit="1" customWidth="1"/>
    <col min="321" max="327" width="9.28515625" bestFit="1" customWidth="1"/>
    <col min="329" max="335" width="9.28515625" bestFit="1" customWidth="1"/>
    <col min="337" max="343" width="9.28515625" bestFit="1" customWidth="1"/>
    <col min="345" max="351" width="9.28515625" bestFit="1" customWidth="1"/>
    <col min="353" max="355" width="9.28515625" bestFit="1" customWidth="1"/>
    <col min="356" max="356" width="9.42578125" bestFit="1" customWidth="1"/>
    <col min="357" max="357" width="10.140625" bestFit="1" customWidth="1"/>
    <col min="358" max="358" width="11.140625" bestFit="1" customWidth="1"/>
    <col min="359" max="359" width="9.28515625" bestFit="1" customWidth="1"/>
    <col min="361" max="367" width="9.28515625" bestFit="1" customWidth="1"/>
    <col min="369" max="375" width="9.28515625" bestFit="1" customWidth="1"/>
    <col min="377" max="383" width="9.28515625" bestFit="1" customWidth="1"/>
    <col min="385" max="389" width="9.28515625" bestFit="1" customWidth="1"/>
    <col min="390" max="390" width="9.42578125" bestFit="1" customWidth="1"/>
    <col min="391" max="391" width="9.28515625" bestFit="1" customWidth="1"/>
    <col min="393" max="399" width="9.28515625" bestFit="1" customWidth="1"/>
    <col min="401" max="407" width="9.28515625" bestFit="1" customWidth="1"/>
    <col min="409" max="415" width="9.28515625" bestFit="1" customWidth="1"/>
    <col min="417" max="417" width="9.28515625" bestFit="1" customWidth="1"/>
    <col min="418" max="418" width="10.42578125" bestFit="1" customWidth="1"/>
    <col min="419" max="423" width="9.28515625" bestFit="1" customWidth="1"/>
    <col min="425" max="431" width="9.28515625" bestFit="1" customWidth="1"/>
    <col min="433" max="439" width="9.28515625" bestFit="1" customWidth="1"/>
    <col min="441" max="447" width="9.28515625" bestFit="1" customWidth="1"/>
    <col min="449" max="455" width="9.28515625" bestFit="1" customWidth="1"/>
    <col min="457" max="463" width="9.28515625" bestFit="1" customWidth="1"/>
    <col min="465" max="471" width="9.28515625" bestFit="1" customWidth="1"/>
    <col min="473" max="479" width="9.28515625" bestFit="1" customWidth="1"/>
    <col min="481" max="487" width="9.28515625" bestFit="1" customWidth="1"/>
    <col min="489" max="495" width="9.28515625" bestFit="1" customWidth="1"/>
    <col min="497" max="503" width="9.28515625" bestFit="1" customWidth="1"/>
    <col min="505" max="511" width="9.28515625" bestFit="1" customWidth="1"/>
    <col min="513" max="519" width="9.28515625" bestFit="1" customWidth="1"/>
    <col min="521" max="527" width="9.28515625" bestFit="1" customWidth="1"/>
    <col min="529" max="535" width="9.28515625" bestFit="1" customWidth="1"/>
    <col min="537" max="543" width="9.28515625" bestFit="1" customWidth="1"/>
    <col min="545" max="551" width="9.28515625" bestFit="1" customWidth="1"/>
    <col min="553" max="559" width="9.28515625" bestFit="1" customWidth="1"/>
    <col min="561" max="567" width="9.28515625" bestFit="1" customWidth="1"/>
    <col min="569" max="575" width="9.28515625" bestFit="1" customWidth="1"/>
    <col min="577" max="583" width="9.28515625" bestFit="1" customWidth="1"/>
    <col min="585" max="591" width="9.28515625" bestFit="1" customWidth="1"/>
    <col min="593" max="599" width="9.28515625" bestFit="1" customWidth="1"/>
    <col min="601" max="602" width="9.28515625" bestFit="1" customWidth="1"/>
    <col min="603" max="603" width="10.28515625" bestFit="1" customWidth="1"/>
    <col min="604" max="607" width="9.28515625" bestFit="1" customWidth="1"/>
    <col min="609" max="615" width="9.28515625" bestFit="1" customWidth="1"/>
    <col min="617" max="617" width="9.28515625" customWidth="1"/>
    <col min="618" max="623" width="9.28515625" bestFit="1" customWidth="1"/>
    <col min="625" max="631" width="9.28515625" bestFit="1" customWidth="1"/>
    <col min="633" max="636" width="9.28515625" bestFit="1" customWidth="1"/>
    <col min="637" max="637" width="9.5703125" bestFit="1" customWidth="1"/>
    <col min="638" max="639" width="9.28515625" bestFit="1" customWidth="1"/>
  </cols>
  <sheetData>
    <row r="1" spans="1:640" ht="16.5" customHeight="1" thickTop="1" thickBot="1" x14ac:dyDescent="0.3">
      <c r="A1" s="116" t="s">
        <v>25</v>
      </c>
      <c r="B1" s="736" t="s">
        <v>27</v>
      </c>
      <c r="C1" s="737"/>
      <c r="D1" s="737"/>
      <c r="E1" s="737"/>
      <c r="F1" s="134">
        <v>10</v>
      </c>
      <c r="G1" s="168"/>
      <c r="H1" s="127"/>
      <c r="I1" s="736" t="s">
        <v>28</v>
      </c>
      <c r="J1" s="737"/>
      <c r="K1" s="737"/>
      <c r="L1" s="737"/>
      <c r="M1" s="737"/>
      <c r="N1" s="168">
        <v>20</v>
      </c>
      <c r="O1" s="118" t="s">
        <v>25</v>
      </c>
      <c r="P1" s="6"/>
      <c r="Q1" s="116" t="s">
        <v>25</v>
      </c>
      <c r="R1" s="736" t="s">
        <v>37</v>
      </c>
      <c r="S1" s="737"/>
      <c r="T1" s="737"/>
      <c r="U1" s="737"/>
      <c r="V1" s="134">
        <v>30</v>
      </c>
      <c r="W1" s="168"/>
      <c r="X1" s="726"/>
      <c r="Y1" s="736" t="s">
        <v>38</v>
      </c>
      <c r="Z1" s="737"/>
      <c r="AA1" s="737"/>
      <c r="AB1" s="737"/>
      <c r="AC1" s="737"/>
      <c r="AD1" s="168">
        <v>40</v>
      </c>
      <c r="AE1" s="118" t="s">
        <v>25</v>
      </c>
      <c r="AF1" s="657"/>
      <c r="AG1" s="116" t="s">
        <v>25</v>
      </c>
      <c r="AH1" s="736" t="s">
        <v>40</v>
      </c>
      <c r="AI1" s="737"/>
      <c r="AJ1" s="737"/>
      <c r="AK1" s="737"/>
      <c r="AL1" s="134">
        <v>50</v>
      </c>
      <c r="AM1" s="168"/>
      <c r="AN1" s="726"/>
      <c r="AO1" s="734" t="s">
        <v>41</v>
      </c>
      <c r="AP1" s="735"/>
      <c r="AQ1" s="735"/>
      <c r="AR1" s="735"/>
      <c r="AS1" s="735"/>
      <c r="AT1" s="169">
        <v>60</v>
      </c>
      <c r="AU1" s="135" t="s">
        <v>25</v>
      </c>
      <c r="AW1" s="116" t="s">
        <v>25</v>
      </c>
      <c r="AX1" s="736" t="s">
        <v>43</v>
      </c>
      <c r="AY1" s="737"/>
      <c r="AZ1" s="737"/>
      <c r="BA1" s="737"/>
      <c r="BB1" s="134">
        <v>70</v>
      </c>
      <c r="BC1" s="168"/>
      <c r="BD1" s="726"/>
      <c r="BE1" s="736" t="s">
        <v>44</v>
      </c>
      <c r="BF1" s="737"/>
      <c r="BG1" s="737"/>
      <c r="BH1" s="737"/>
      <c r="BI1" s="737"/>
      <c r="BJ1" s="168">
        <v>80</v>
      </c>
      <c r="BK1" s="118" t="s">
        <v>25</v>
      </c>
      <c r="BM1" s="116" t="s">
        <v>25</v>
      </c>
      <c r="BN1" s="736" t="s">
        <v>45</v>
      </c>
      <c r="BO1" s="737"/>
      <c r="BP1" s="737"/>
      <c r="BQ1" s="737"/>
      <c r="BR1" s="134">
        <v>90</v>
      </c>
      <c r="BS1" s="168"/>
      <c r="BT1" s="726"/>
      <c r="BU1" s="736" t="s">
        <v>46</v>
      </c>
      <c r="BV1" s="737"/>
      <c r="BW1" s="737"/>
      <c r="BX1" s="737"/>
      <c r="BY1" s="737"/>
      <c r="BZ1" s="168">
        <v>100</v>
      </c>
      <c r="CA1" s="118" t="s">
        <v>25</v>
      </c>
      <c r="CC1" s="116" t="s">
        <v>25</v>
      </c>
      <c r="CD1" s="736" t="s">
        <v>48</v>
      </c>
      <c r="CE1" s="737"/>
      <c r="CF1" s="737"/>
      <c r="CG1" s="737"/>
      <c r="CH1" s="134">
        <v>101.325</v>
      </c>
      <c r="CI1" s="168"/>
      <c r="CJ1" s="726"/>
      <c r="CK1" s="736" t="s">
        <v>49</v>
      </c>
      <c r="CL1" s="737"/>
      <c r="CM1" s="737"/>
      <c r="CN1" s="737"/>
      <c r="CO1" s="737"/>
      <c r="CP1" s="168">
        <v>110</v>
      </c>
      <c r="CQ1" s="118" t="s">
        <v>25</v>
      </c>
      <c r="CS1" s="116" t="s">
        <v>25</v>
      </c>
      <c r="CT1" s="736" t="s">
        <v>50</v>
      </c>
      <c r="CU1" s="737"/>
      <c r="CV1" s="737"/>
      <c r="CW1" s="737"/>
      <c r="CX1" s="134">
        <v>120</v>
      </c>
      <c r="CY1" s="168"/>
      <c r="CZ1" s="726"/>
      <c r="DA1" s="734" t="s">
        <v>51</v>
      </c>
      <c r="DB1" s="735"/>
      <c r="DC1" s="735"/>
      <c r="DD1" s="735"/>
      <c r="DE1" s="735"/>
      <c r="DF1" s="169">
        <v>130</v>
      </c>
      <c r="DG1" s="135" t="s">
        <v>25</v>
      </c>
      <c r="DI1" s="116" t="s">
        <v>25</v>
      </c>
      <c r="DJ1" s="736" t="s">
        <v>53</v>
      </c>
      <c r="DK1" s="737"/>
      <c r="DL1" s="737"/>
      <c r="DM1" s="737"/>
      <c r="DN1" s="134">
        <v>140</v>
      </c>
      <c r="DO1" s="168"/>
      <c r="DP1" s="726"/>
      <c r="DQ1" s="736" t="s">
        <v>54</v>
      </c>
      <c r="DR1" s="737"/>
      <c r="DS1" s="737"/>
      <c r="DT1" s="737"/>
      <c r="DU1" s="737"/>
      <c r="DV1" s="168">
        <v>150</v>
      </c>
      <c r="DW1" s="118" t="s">
        <v>25</v>
      </c>
      <c r="DY1" s="116" t="s">
        <v>25</v>
      </c>
      <c r="DZ1" s="736" t="s">
        <v>55</v>
      </c>
      <c r="EA1" s="737"/>
      <c r="EB1" s="737"/>
      <c r="EC1" s="737"/>
      <c r="ED1" s="134">
        <v>160</v>
      </c>
      <c r="EE1" s="168"/>
      <c r="EF1" s="726"/>
      <c r="EG1" s="736" t="s">
        <v>56</v>
      </c>
      <c r="EH1" s="737"/>
      <c r="EI1" s="737"/>
      <c r="EJ1" s="737"/>
      <c r="EK1" s="737"/>
      <c r="EL1" s="168">
        <v>170</v>
      </c>
      <c r="EM1" s="118" t="s">
        <v>25</v>
      </c>
      <c r="EO1" s="116" t="s">
        <v>25</v>
      </c>
      <c r="EP1" s="736" t="s">
        <v>57</v>
      </c>
      <c r="EQ1" s="737"/>
      <c r="ER1" s="737"/>
      <c r="ES1" s="737"/>
      <c r="ET1" s="134">
        <v>180</v>
      </c>
      <c r="EU1" s="168"/>
      <c r="EV1" s="726"/>
      <c r="EW1" s="736" t="s">
        <v>58</v>
      </c>
      <c r="EX1" s="737"/>
      <c r="EY1" s="737"/>
      <c r="EZ1" s="737"/>
      <c r="FA1" s="737"/>
      <c r="FB1" s="168">
        <v>190</v>
      </c>
      <c r="FC1" s="118" t="s">
        <v>25</v>
      </c>
      <c r="FE1" s="116" t="s">
        <v>25</v>
      </c>
      <c r="FF1" s="736" t="s">
        <v>59</v>
      </c>
      <c r="FG1" s="737"/>
      <c r="FH1" s="737"/>
      <c r="FI1" s="737"/>
      <c r="FJ1" s="134">
        <v>200</v>
      </c>
      <c r="FK1" s="168"/>
      <c r="FL1" s="726"/>
      <c r="FM1" s="734" t="s">
        <v>60</v>
      </c>
      <c r="FN1" s="735"/>
      <c r="FO1" s="735"/>
      <c r="FP1" s="735"/>
      <c r="FQ1" s="735"/>
      <c r="FR1" s="169">
        <v>210</v>
      </c>
      <c r="FS1" s="135" t="s">
        <v>25</v>
      </c>
      <c r="FU1" s="116" t="s">
        <v>25</v>
      </c>
      <c r="FV1" s="736" t="s">
        <v>62</v>
      </c>
      <c r="FW1" s="737"/>
      <c r="FX1" s="737"/>
      <c r="FY1" s="737"/>
      <c r="FZ1" s="134">
        <v>220</v>
      </c>
      <c r="GA1" s="168"/>
      <c r="GB1" s="726"/>
      <c r="GC1" s="736" t="s">
        <v>63</v>
      </c>
      <c r="GD1" s="737"/>
      <c r="GE1" s="737"/>
      <c r="GF1" s="737"/>
      <c r="GG1" s="737"/>
      <c r="GH1" s="168">
        <v>230</v>
      </c>
      <c r="GI1" s="118" t="s">
        <v>25</v>
      </c>
      <c r="GK1" s="116" t="s">
        <v>25</v>
      </c>
      <c r="GL1" s="736" t="s">
        <v>64</v>
      </c>
      <c r="GM1" s="737"/>
      <c r="GN1" s="737"/>
      <c r="GO1" s="737"/>
      <c r="GP1" s="134">
        <v>240</v>
      </c>
      <c r="GQ1" s="168"/>
      <c r="GR1" s="726"/>
      <c r="GS1" s="736" t="s">
        <v>65</v>
      </c>
      <c r="GT1" s="737"/>
      <c r="GU1" s="737"/>
      <c r="GV1" s="737"/>
      <c r="GW1" s="737"/>
      <c r="GX1" s="168">
        <v>250</v>
      </c>
      <c r="GY1" s="118" t="s">
        <v>25</v>
      </c>
      <c r="HA1" s="116" t="s">
        <v>25</v>
      </c>
      <c r="HB1" s="736" t="s">
        <v>66</v>
      </c>
      <c r="HC1" s="737"/>
      <c r="HD1" s="737"/>
      <c r="HE1" s="737"/>
      <c r="HF1" s="134">
        <v>260</v>
      </c>
      <c r="HG1" s="168"/>
      <c r="HH1" s="726"/>
      <c r="HI1" s="736" t="s">
        <v>67</v>
      </c>
      <c r="HJ1" s="737"/>
      <c r="HK1" s="737"/>
      <c r="HL1" s="737"/>
      <c r="HM1" s="737"/>
      <c r="HN1" s="168">
        <v>270</v>
      </c>
      <c r="HO1" s="118" t="s">
        <v>25</v>
      </c>
      <c r="HQ1" s="116" t="s">
        <v>25</v>
      </c>
      <c r="HR1" s="736" t="s">
        <v>69</v>
      </c>
      <c r="HS1" s="737"/>
      <c r="HT1" s="737"/>
      <c r="HU1" s="737"/>
      <c r="HV1" s="134">
        <v>280</v>
      </c>
      <c r="HW1" s="168"/>
      <c r="HX1" s="726"/>
      <c r="HY1" s="734" t="s">
        <v>70</v>
      </c>
      <c r="HZ1" s="735"/>
      <c r="IA1" s="735"/>
      <c r="IB1" s="735"/>
      <c r="IC1" s="735"/>
      <c r="ID1" s="169">
        <v>290</v>
      </c>
      <c r="IE1" s="135" t="s">
        <v>25</v>
      </c>
      <c r="IG1" s="116" t="s">
        <v>25</v>
      </c>
      <c r="IH1" s="736" t="s">
        <v>71</v>
      </c>
      <c r="II1" s="737"/>
      <c r="IJ1" s="737"/>
      <c r="IK1" s="737"/>
      <c r="IL1" s="134">
        <v>300</v>
      </c>
      <c r="IM1" s="168"/>
      <c r="IN1" s="726"/>
      <c r="IO1" s="736" t="s">
        <v>72</v>
      </c>
      <c r="IP1" s="737"/>
      <c r="IQ1" s="737"/>
      <c r="IR1" s="737"/>
      <c r="IS1" s="737"/>
      <c r="IT1" s="168">
        <v>310</v>
      </c>
      <c r="IU1" s="118" t="s">
        <v>25</v>
      </c>
      <c r="IW1" s="116" t="s">
        <v>25</v>
      </c>
      <c r="IX1" s="736" t="s">
        <v>73</v>
      </c>
      <c r="IY1" s="737"/>
      <c r="IZ1" s="737"/>
      <c r="JA1" s="737"/>
      <c r="JB1" s="134">
        <v>320</v>
      </c>
      <c r="JC1" s="168"/>
      <c r="JD1" s="726"/>
      <c r="JE1" s="736" t="s">
        <v>74</v>
      </c>
      <c r="JF1" s="737"/>
      <c r="JG1" s="737"/>
      <c r="JH1" s="737"/>
      <c r="JI1" s="737"/>
      <c r="JJ1" s="168">
        <v>330</v>
      </c>
      <c r="JK1" s="118" t="s">
        <v>25</v>
      </c>
      <c r="JM1" s="116" t="s">
        <v>25</v>
      </c>
      <c r="JN1" s="736" t="s">
        <v>75</v>
      </c>
      <c r="JO1" s="737"/>
      <c r="JP1" s="737"/>
      <c r="JQ1" s="737"/>
      <c r="JR1" s="134">
        <v>340</v>
      </c>
      <c r="JS1" s="168"/>
      <c r="JT1" s="726"/>
      <c r="JU1" s="736" t="s">
        <v>76</v>
      </c>
      <c r="JV1" s="737"/>
      <c r="JW1" s="737"/>
      <c r="JX1" s="737"/>
      <c r="JY1" s="737"/>
      <c r="JZ1" s="168">
        <v>350</v>
      </c>
      <c r="KA1" s="118" t="s">
        <v>25</v>
      </c>
      <c r="KC1" s="116" t="s">
        <v>25</v>
      </c>
      <c r="KD1" s="736" t="s">
        <v>78</v>
      </c>
      <c r="KE1" s="737"/>
      <c r="KF1" s="737"/>
      <c r="KG1" s="737"/>
      <c r="KH1" s="134">
        <v>360</v>
      </c>
      <c r="KI1" s="168"/>
      <c r="KJ1" s="726"/>
      <c r="KK1" s="734" t="s">
        <v>79</v>
      </c>
      <c r="KL1" s="735"/>
      <c r="KM1" s="735"/>
      <c r="KN1" s="735"/>
      <c r="KO1" s="735"/>
      <c r="KP1" s="169">
        <v>370</v>
      </c>
      <c r="KQ1" s="135" t="s">
        <v>25</v>
      </c>
      <c r="KS1" s="116" t="s">
        <v>25</v>
      </c>
      <c r="KT1" s="736" t="s">
        <v>81</v>
      </c>
      <c r="KU1" s="737"/>
      <c r="KV1" s="737"/>
      <c r="KW1" s="737"/>
      <c r="KX1" s="134">
        <v>380</v>
      </c>
      <c r="KY1" s="168"/>
      <c r="KZ1" s="726"/>
      <c r="LA1" s="736" t="s">
        <v>82</v>
      </c>
      <c r="LB1" s="737"/>
      <c r="LC1" s="737"/>
      <c r="LD1" s="737"/>
      <c r="LE1" s="737"/>
      <c r="LF1" s="168">
        <v>390</v>
      </c>
      <c r="LG1" s="118" t="s">
        <v>25</v>
      </c>
      <c r="LI1" s="116" t="s">
        <v>25</v>
      </c>
      <c r="LJ1" s="736" t="s">
        <v>83</v>
      </c>
      <c r="LK1" s="737"/>
      <c r="LL1" s="737"/>
      <c r="LM1" s="737"/>
      <c r="LN1" s="134">
        <v>400</v>
      </c>
      <c r="LO1" s="168"/>
      <c r="LP1" s="726"/>
      <c r="LQ1" s="736" t="s">
        <v>84</v>
      </c>
      <c r="LR1" s="737"/>
      <c r="LS1" s="737"/>
      <c r="LT1" s="737"/>
      <c r="LU1" s="737"/>
      <c r="LV1" s="168">
        <v>425</v>
      </c>
      <c r="LW1" s="118" t="s">
        <v>25</v>
      </c>
      <c r="LY1" s="116" t="s">
        <v>25</v>
      </c>
      <c r="LZ1" s="736" t="s">
        <v>85</v>
      </c>
      <c r="MA1" s="737"/>
      <c r="MB1" s="737"/>
      <c r="MC1" s="737"/>
      <c r="MD1" s="134">
        <v>450</v>
      </c>
      <c r="ME1" s="168"/>
      <c r="MF1" s="726"/>
      <c r="MG1" s="736" t="s">
        <v>86</v>
      </c>
      <c r="MH1" s="737"/>
      <c r="MI1" s="737"/>
      <c r="MJ1" s="737"/>
      <c r="MK1" s="737"/>
      <c r="ML1" s="168">
        <v>475</v>
      </c>
      <c r="MM1" s="118" t="s">
        <v>25</v>
      </c>
      <c r="MO1" s="116" t="s">
        <v>25</v>
      </c>
      <c r="MP1" s="736" t="s">
        <v>87</v>
      </c>
      <c r="MQ1" s="737"/>
      <c r="MR1" s="737"/>
      <c r="MS1" s="737"/>
      <c r="MT1" s="134">
        <v>500</v>
      </c>
      <c r="MU1" s="168"/>
      <c r="MV1" s="726"/>
      <c r="MW1" s="734" t="s">
        <v>88</v>
      </c>
      <c r="MX1" s="735"/>
      <c r="MY1" s="735"/>
      <c r="MZ1" s="735"/>
      <c r="NA1" s="735"/>
      <c r="NB1" s="169">
        <v>525</v>
      </c>
      <c r="NC1" s="135" t="s">
        <v>25</v>
      </c>
      <c r="NE1" s="116" t="s">
        <v>25</v>
      </c>
      <c r="NF1" s="736" t="s">
        <v>90</v>
      </c>
      <c r="NG1" s="737"/>
      <c r="NH1" s="737"/>
      <c r="NI1" s="737"/>
      <c r="NJ1" s="134">
        <v>550</v>
      </c>
      <c r="NK1" s="168"/>
      <c r="NL1" s="726"/>
      <c r="NM1" s="736" t="s">
        <v>91</v>
      </c>
      <c r="NN1" s="737"/>
      <c r="NO1" s="737"/>
      <c r="NP1" s="737"/>
      <c r="NQ1" s="737"/>
      <c r="NR1" s="168">
        <v>575</v>
      </c>
      <c r="NS1" s="118" t="s">
        <v>25</v>
      </c>
      <c r="NU1" s="116" t="s">
        <v>25</v>
      </c>
      <c r="NV1" s="736" t="s">
        <v>92</v>
      </c>
      <c r="NW1" s="737"/>
      <c r="NX1" s="737"/>
      <c r="NY1" s="737"/>
      <c r="NZ1" s="134">
        <v>600</v>
      </c>
      <c r="OA1" s="168"/>
      <c r="OB1" s="726"/>
      <c r="OC1" s="736" t="s">
        <v>93</v>
      </c>
      <c r="OD1" s="737"/>
      <c r="OE1" s="737"/>
      <c r="OF1" s="737"/>
      <c r="OG1" s="737"/>
      <c r="OH1" s="168">
        <v>625</v>
      </c>
      <c r="OI1" s="118" t="s">
        <v>25</v>
      </c>
      <c r="OK1" s="116" t="s">
        <v>25</v>
      </c>
      <c r="OL1" s="736" t="s">
        <v>95</v>
      </c>
      <c r="OM1" s="737"/>
      <c r="ON1" s="737"/>
      <c r="OO1" s="737"/>
      <c r="OP1" s="134">
        <v>650</v>
      </c>
      <c r="OQ1" s="168"/>
      <c r="OR1" s="726"/>
      <c r="OS1" s="736" t="s">
        <v>96</v>
      </c>
      <c r="OT1" s="737"/>
      <c r="OU1" s="737"/>
      <c r="OV1" s="737"/>
      <c r="OW1" s="737"/>
      <c r="OX1" s="168">
        <v>675</v>
      </c>
      <c r="OY1" s="118" t="s">
        <v>25</v>
      </c>
      <c r="PA1" s="116" t="s">
        <v>25</v>
      </c>
      <c r="PB1" s="736" t="s">
        <v>97</v>
      </c>
      <c r="PC1" s="737"/>
      <c r="PD1" s="737"/>
      <c r="PE1" s="737"/>
      <c r="PF1" s="134">
        <v>700</v>
      </c>
      <c r="PG1" s="168"/>
      <c r="PH1" s="726"/>
      <c r="PI1" s="734" t="s">
        <v>98</v>
      </c>
      <c r="PJ1" s="735"/>
      <c r="PK1" s="735"/>
      <c r="PL1" s="735"/>
      <c r="PM1" s="735"/>
      <c r="PN1" s="169">
        <v>725</v>
      </c>
      <c r="PO1" s="135" t="s">
        <v>25</v>
      </c>
      <c r="PQ1" s="116" t="s">
        <v>25</v>
      </c>
      <c r="PR1" s="736" t="s">
        <v>99</v>
      </c>
      <c r="PS1" s="737"/>
      <c r="PT1" s="737"/>
      <c r="PU1" s="737"/>
      <c r="PV1" s="134">
        <v>750</v>
      </c>
      <c r="PW1" s="168"/>
      <c r="PX1" s="726"/>
      <c r="PY1" s="736" t="s">
        <v>100</v>
      </c>
      <c r="PZ1" s="737"/>
      <c r="QA1" s="737"/>
      <c r="QB1" s="737"/>
      <c r="QC1" s="737"/>
      <c r="QD1" s="168">
        <v>800</v>
      </c>
      <c r="QE1" s="118" t="s">
        <v>25</v>
      </c>
      <c r="QG1" s="116" t="s">
        <v>25</v>
      </c>
      <c r="QH1" s="736" t="s">
        <v>101</v>
      </c>
      <c r="QI1" s="737"/>
      <c r="QJ1" s="737"/>
      <c r="QK1" s="737"/>
      <c r="QL1" s="134">
        <v>850</v>
      </c>
      <c r="QM1" s="168"/>
      <c r="QN1" s="726"/>
      <c r="QO1" s="736" t="s">
        <v>102</v>
      </c>
      <c r="QP1" s="737"/>
      <c r="QQ1" s="737"/>
      <c r="QR1" s="737"/>
      <c r="QS1" s="737"/>
      <c r="QT1" s="168">
        <v>900</v>
      </c>
      <c r="QU1" s="118" t="s">
        <v>25</v>
      </c>
      <c r="QW1" s="116" t="s">
        <v>25</v>
      </c>
      <c r="QX1" s="736" t="s">
        <v>104</v>
      </c>
      <c r="QY1" s="737"/>
      <c r="QZ1" s="737"/>
      <c r="RA1" s="737"/>
      <c r="RB1" s="134">
        <v>950</v>
      </c>
      <c r="RC1" s="168"/>
      <c r="RD1" s="726"/>
      <c r="RE1" s="736" t="s">
        <v>105</v>
      </c>
      <c r="RF1" s="737"/>
      <c r="RG1" s="737"/>
      <c r="RH1" s="737"/>
      <c r="RI1" s="737"/>
      <c r="RJ1" s="168">
        <v>1000</v>
      </c>
      <c r="RK1" s="118" t="s">
        <v>25</v>
      </c>
      <c r="RM1" s="116" t="s">
        <v>25</v>
      </c>
      <c r="RN1" s="736" t="s">
        <v>106</v>
      </c>
      <c r="RO1" s="737"/>
      <c r="RP1" s="737"/>
      <c r="RQ1" s="737"/>
      <c r="RR1" s="134">
        <v>1100</v>
      </c>
      <c r="RS1" s="168"/>
      <c r="RT1" s="726"/>
      <c r="RU1" s="734" t="s">
        <v>107</v>
      </c>
      <c r="RV1" s="735"/>
      <c r="RW1" s="735"/>
      <c r="RX1" s="735"/>
      <c r="RY1" s="735"/>
      <c r="RZ1" s="169">
        <v>1200</v>
      </c>
      <c r="SA1" s="135" t="s">
        <v>25</v>
      </c>
      <c r="SC1" s="116" t="s">
        <v>25</v>
      </c>
      <c r="SD1" s="736" t="s">
        <v>108</v>
      </c>
      <c r="SE1" s="737"/>
      <c r="SF1" s="737"/>
      <c r="SG1" s="737"/>
      <c r="SH1" s="134">
        <v>1300</v>
      </c>
      <c r="SI1" s="168"/>
      <c r="SJ1" s="726"/>
      <c r="SK1" s="736" t="s">
        <v>109</v>
      </c>
      <c r="SL1" s="737"/>
      <c r="SM1" s="737"/>
      <c r="SN1" s="737"/>
      <c r="SO1" s="737"/>
      <c r="SP1" s="168">
        <v>1400</v>
      </c>
      <c r="SQ1" s="118" t="s">
        <v>25</v>
      </c>
      <c r="SS1" s="116" t="s">
        <v>25</v>
      </c>
      <c r="ST1" s="736" t="s">
        <v>110</v>
      </c>
      <c r="SU1" s="737"/>
      <c r="SV1" s="737"/>
      <c r="SW1" s="737"/>
      <c r="SX1" s="134">
        <v>1500</v>
      </c>
      <c r="SY1" s="168"/>
      <c r="SZ1" s="726"/>
      <c r="TA1" s="736" t="s">
        <v>111</v>
      </c>
      <c r="TB1" s="737"/>
      <c r="TC1" s="737"/>
      <c r="TD1" s="737"/>
      <c r="TE1" s="737"/>
      <c r="TF1" s="168">
        <v>1600</v>
      </c>
      <c r="TG1" s="118" t="s">
        <v>25</v>
      </c>
      <c r="TI1" s="116" t="s">
        <v>25</v>
      </c>
      <c r="TJ1" s="736" t="s">
        <v>112</v>
      </c>
      <c r="TK1" s="737"/>
      <c r="TL1" s="737"/>
      <c r="TM1" s="737"/>
      <c r="TN1" s="134">
        <v>1700</v>
      </c>
      <c r="TO1" s="168"/>
      <c r="TP1" s="726"/>
      <c r="TQ1" s="736" t="s">
        <v>113</v>
      </c>
      <c r="TR1" s="737"/>
      <c r="TS1" s="737"/>
      <c r="TT1" s="737"/>
      <c r="TU1" s="737"/>
      <c r="TV1" s="168">
        <v>1800</v>
      </c>
      <c r="TW1" s="118" t="s">
        <v>25</v>
      </c>
      <c r="TY1" s="116" t="s">
        <v>25</v>
      </c>
      <c r="TZ1" s="736" t="s">
        <v>114</v>
      </c>
      <c r="UA1" s="737"/>
      <c r="UB1" s="737"/>
      <c r="UC1" s="737"/>
      <c r="UD1" s="134">
        <v>1900</v>
      </c>
      <c r="UE1" s="168"/>
      <c r="UF1" s="726"/>
      <c r="UG1" s="734" t="s">
        <v>115</v>
      </c>
      <c r="UH1" s="735"/>
      <c r="UI1" s="735"/>
      <c r="UJ1" s="735"/>
      <c r="UK1" s="735"/>
      <c r="UL1" s="169">
        <v>2000</v>
      </c>
      <c r="UM1" s="135" t="s">
        <v>25</v>
      </c>
      <c r="UO1" s="116" t="s">
        <v>25</v>
      </c>
      <c r="UP1" s="736" t="s">
        <v>116</v>
      </c>
      <c r="UQ1" s="737"/>
      <c r="UR1" s="737"/>
      <c r="US1" s="737"/>
      <c r="UT1" s="134">
        <v>2200</v>
      </c>
      <c r="UU1" s="168"/>
      <c r="UV1" s="726"/>
      <c r="UW1" s="736" t="s">
        <v>117</v>
      </c>
      <c r="UX1" s="737"/>
      <c r="UY1" s="737"/>
      <c r="UZ1" s="737"/>
      <c r="VA1" s="737"/>
      <c r="VB1" s="168">
        <v>2400</v>
      </c>
      <c r="VC1" s="118" t="s">
        <v>25</v>
      </c>
      <c r="VE1" s="116" t="s">
        <v>25</v>
      </c>
      <c r="VF1" s="736" t="s">
        <v>118</v>
      </c>
      <c r="VG1" s="737"/>
      <c r="VH1" s="737"/>
      <c r="VI1" s="737"/>
      <c r="VJ1" s="134">
        <v>2600</v>
      </c>
      <c r="VK1" s="168"/>
      <c r="VL1" s="726"/>
      <c r="VM1" s="736" t="s">
        <v>119</v>
      </c>
      <c r="VN1" s="737"/>
      <c r="VO1" s="737"/>
      <c r="VP1" s="737"/>
      <c r="VQ1" s="737"/>
      <c r="VR1" s="168">
        <v>2800</v>
      </c>
      <c r="VS1" s="118" t="s">
        <v>25</v>
      </c>
      <c r="VU1" s="116" t="s">
        <v>25</v>
      </c>
      <c r="VV1" s="736" t="s">
        <v>120</v>
      </c>
      <c r="VW1" s="737"/>
      <c r="VX1" s="737"/>
      <c r="VY1" s="737"/>
      <c r="VZ1" s="134">
        <v>3000</v>
      </c>
      <c r="WA1" s="168"/>
      <c r="WB1" s="726"/>
      <c r="WC1" s="736" t="s">
        <v>121</v>
      </c>
      <c r="WD1" s="737"/>
      <c r="WE1" s="737"/>
      <c r="WF1" s="737"/>
      <c r="WG1" s="737"/>
      <c r="WH1" s="168">
        <v>3200</v>
      </c>
      <c r="WI1" s="118" t="s">
        <v>25</v>
      </c>
      <c r="WK1" s="116" t="s">
        <v>25</v>
      </c>
      <c r="WL1" s="736" t="s">
        <v>122</v>
      </c>
      <c r="WM1" s="737"/>
      <c r="WN1" s="737"/>
      <c r="WO1" s="737"/>
      <c r="WP1" s="134">
        <v>3400</v>
      </c>
      <c r="WQ1" s="168"/>
      <c r="WR1" s="726"/>
      <c r="WS1" s="734" t="s">
        <v>123</v>
      </c>
      <c r="WT1" s="735"/>
      <c r="WU1" s="735"/>
      <c r="WV1" s="735"/>
      <c r="WW1" s="735"/>
      <c r="WX1" s="169">
        <v>3600</v>
      </c>
      <c r="WY1" s="135" t="s">
        <v>25</v>
      </c>
      <c r="WZ1" s="359"/>
      <c r="XA1" s="116" t="s">
        <v>25</v>
      </c>
      <c r="XB1" s="736" t="s">
        <v>124</v>
      </c>
      <c r="XC1" s="737"/>
      <c r="XD1" s="737"/>
      <c r="XE1" s="737"/>
      <c r="XF1" s="134">
        <v>3800</v>
      </c>
      <c r="XG1" s="168"/>
      <c r="XH1" s="726"/>
      <c r="XI1" s="736" t="s">
        <v>125</v>
      </c>
      <c r="XJ1" s="737"/>
      <c r="XK1" s="737"/>
      <c r="XL1" s="737"/>
      <c r="XM1" s="737"/>
      <c r="XN1" s="168">
        <v>4000</v>
      </c>
      <c r="XO1" s="118" t="s">
        <v>25</v>
      </c>
      <c r="XP1" s="175"/>
    </row>
    <row r="2" spans="1:640" ht="15.75" thickBot="1" x14ac:dyDescent="0.3">
      <c r="A2" s="117" t="s">
        <v>26</v>
      </c>
      <c r="B2" s="120" t="s">
        <v>30</v>
      </c>
      <c r="C2" s="121" t="s">
        <v>31</v>
      </c>
      <c r="D2" s="122" t="s">
        <v>32</v>
      </c>
      <c r="E2" s="123" t="s">
        <v>33</v>
      </c>
      <c r="F2" s="123" t="s">
        <v>34</v>
      </c>
      <c r="G2" s="124" t="s">
        <v>35</v>
      </c>
      <c r="H2" s="128"/>
      <c r="I2" s="120" t="s">
        <v>30</v>
      </c>
      <c r="J2" s="121" t="s">
        <v>31</v>
      </c>
      <c r="K2" s="122" t="s">
        <v>32</v>
      </c>
      <c r="L2" s="125" t="s">
        <v>33</v>
      </c>
      <c r="M2" s="123" t="s">
        <v>34</v>
      </c>
      <c r="N2" s="126" t="s">
        <v>36</v>
      </c>
      <c r="O2" s="119" t="s">
        <v>29</v>
      </c>
      <c r="P2" s="6"/>
      <c r="Q2" s="129" t="s">
        <v>29</v>
      </c>
      <c r="R2" s="120" t="s">
        <v>30</v>
      </c>
      <c r="S2" s="130" t="s">
        <v>31</v>
      </c>
      <c r="T2" s="122" t="s">
        <v>32</v>
      </c>
      <c r="U2" s="123" t="s">
        <v>33</v>
      </c>
      <c r="V2" s="131" t="s">
        <v>34</v>
      </c>
      <c r="W2" s="132" t="s">
        <v>35</v>
      </c>
      <c r="X2" s="727"/>
      <c r="Y2" s="120" t="s">
        <v>30</v>
      </c>
      <c r="Z2" s="130" t="s">
        <v>31</v>
      </c>
      <c r="AA2" s="122" t="s">
        <v>32</v>
      </c>
      <c r="AB2" s="123" t="s">
        <v>33</v>
      </c>
      <c r="AC2" s="131" t="s">
        <v>34</v>
      </c>
      <c r="AD2" s="132" t="s">
        <v>39</v>
      </c>
      <c r="AE2" s="119" t="s">
        <v>29</v>
      </c>
      <c r="AF2" s="657"/>
      <c r="AG2" s="133" t="s">
        <v>26</v>
      </c>
      <c r="AH2" s="120" t="s">
        <v>30</v>
      </c>
      <c r="AI2" s="130" t="s">
        <v>31</v>
      </c>
      <c r="AJ2" s="122" t="s">
        <v>32</v>
      </c>
      <c r="AK2" s="123" t="s">
        <v>33</v>
      </c>
      <c r="AL2" s="131" t="s">
        <v>34</v>
      </c>
      <c r="AM2" s="132" t="s">
        <v>42</v>
      </c>
      <c r="AN2" s="727"/>
      <c r="AO2" s="137" t="s">
        <v>30</v>
      </c>
      <c r="AP2" s="130" t="s">
        <v>31</v>
      </c>
      <c r="AQ2" s="122" t="s">
        <v>32</v>
      </c>
      <c r="AR2" s="123" t="s">
        <v>33</v>
      </c>
      <c r="AS2" s="131" t="s">
        <v>34</v>
      </c>
      <c r="AT2" s="138" t="s">
        <v>36</v>
      </c>
      <c r="AU2" s="136" t="s">
        <v>29</v>
      </c>
      <c r="AW2" s="133" t="s">
        <v>26</v>
      </c>
      <c r="AX2" s="120" t="s">
        <v>30</v>
      </c>
      <c r="AY2" s="121" t="s">
        <v>31</v>
      </c>
      <c r="AZ2" s="122" t="s">
        <v>32</v>
      </c>
      <c r="BA2" s="123" t="s">
        <v>33</v>
      </c>
      <c r="BB2" s="123" t="s">
        <v>34</v>
      </c>
      <c r="BC2" s="139" t="s">
        <v>36</v>
      </c>
      <c r="BD2" s="727"/>
      <c r="BE2" s="120" t="s">
        <v>30</v>
      </c>
      <c r="BF2" s="121" t="s">
        <v>31</v>
      </c>
      <c r="BG2" s="122" t="s">
        <v>32</v>
      </c>
      <c r="BH2" s="123" t="s">
        <v>33</v>
      </c>
      <c r="BI2" s="123" t="s">
        <v>34</v>
      </c>
      <c r="BJ2" s="124" t="s">
        <v>42</v>
      </c>
      <c r="BK2" s="136" t="s">
        <v>29</v>
      </c>
      <c r="BM2" s="140" t="s">
        <v>29</v>
      </c>
      <c r="BN2" s="120" t="s">
        <v>30</v>
      </c>
      <c r="BO2" s="121" t="s">
        <v>31</v>
      </c>
      <c r="BP2" s="122" t="s">
        <v>32</v>
      </c>
      <c r="BQ2" s="123" t="s">
        <v>33</v>
      </c>
      <c r="BR2" s="131" t="s">
        <v>34</v>
      </c>
      <c r="BS2" s="126" t="s">
        <v>47</v>
      </c>
      <c r="BT2" s="727"/>
      <c r="BU2" s="120" t="s">
        <v>30</v>
      </c>
      <c r="BV2" s="121" t="s">
        <v>31</v>
      </c>
      <c r="BW2" s="122" t="s">
        <v>32</v>
      </c>
      <c r="BX2" s="125" t="s">
        <v>33</v>
      </c>
      <c r="BY2" s="123" t="s">
        <v>34</v>
      </c>
      <c r="BZ2" s="126" t="s">
        <v>47</v>
      </c>
      <c r="CA2" s="141" t="s">
        <v>29</v>
      </c>
      <c r="CC2" s="140" t="s">
        <v>29</v>
      </c>
      <c r="CD2" s="120" t="s">
        <v>30</v>
      </c>
      <c r="CE2" s="130" t="s">
        <v>31</v>
      </c>
      <c r="CF2" s="122" t="s">
        <v>32</v>
      </c>
      <c r="CG2" s="123" t="s">
        <v>33</v>
      </c>
      <c r="CH2" s="131" t="s">
        <v>34</v>
      </c>
      <c r="CI2" s="132" t="s">
        <v>47</v>
      </c>
      <c r="CJ2" s="727"/>
      <c r="CK2" s="120" t="s">
        <v>30</v>
      </c>
      <c r="CL2" s="130" t="s">
        <v>31</v>
      </c>
      <c r="CM2" s="122" t="s">
        <v>32</v>
      </c>
      <c r="CN2" s="123" t="s">
        <v>33</v>
      </c>
      <c r="CO2" s="131" t="s">
        <v>34</v>
      </c>
      <c r="CP2" s="132" t="s">
        <v>47</v>
      </c>
      <c r="CQ2" s="141" t="s">
        <v>29</v>
      </c>
      <c r="CS2" s="142" t="s">
        <v>29</v>
      </c>
      <c r="CT2" s="120" t="s">
        <v>30</v>
      </c>
      <c r="CU2" s="130" t="s">
        <v>31</v>
      </c>
      <c r="CV2" s="122" t="s">
        <v>32</v>
      </c>
      <c r="CW2" s="123" t="s">
        <v>33</v>
      </c>
      <c r="CX2" s="131" t="s">
        <v>34</v>
      </c>
      <c r="CY2" s="132" t="s">
        <v>52</v>
      </c>
      <c r="CZ2" s="727"/>
      <c r="DA2" s="137" t="s">
        <v>30</v>
      </c>
      <c r="DB2" s="130" t="s">
        <v>31</v>
      </c>
      <c r="DC2" s="122" t="s">
        <v>32</v>
      </c>
      <c r="DD2" s="123" t="s">
        <v>33</v>
      </c>
      <c r="DE2" s="131" t="s">
        <v>34</v>
      </c>
      <c r="DF2" s="132" t="s">
        <v>36</v>
      </c>
      <c r="DG2" s="119" t="s">
        <v>29</v>
      </c>
      <c r="DI2" s="133" t="s">
        <v>26</v>
      </c>
      <c r="DJ2" s="120" t="s">
        <v>30</v>
      </c>
      <c r="DK2" s="121" t="s">
        <v>31</v>
      </c>
      <c r="DL2" s="122" t="s">
        <v>32</v>
      </c>
      <c r="DM2" s="123" t="s">
        <v>33</v>
      </c>
      <c r="DN2" s="131" t="s">
        <v>34</v>
      </c>
      <c r="DO2" s="126" t="s">
        <v>52</v>
      </c>
      <c r="DP2" s="727"/>
      <c r="DQ2" s="120" t="s">
        <v>30</v>
      </c>
      <c r="DR2" s="121" t="s">
        <v>31</v>
      </c>
      <c r="DS2" s="122" t="s">
        <v>32</v>
      </c>
      <c r="DT2" s="123" t="s">
        <v>33</v>
      </c>
      <c r="DU2" s="123" t="s">
        <v>34</v>
      </c>
      <c r="DV2" s="124" t="s">
        <v>52</v>
      </c>
      <c r="DW2" s="119" t="s">
        <v>29</v>
      </c>
      <c r="DY2" s="143" t="s">
        <v>29</v>
      </c>
      <c r="DZ2" s="120" t="s">
        <v>30</v>
      </c>
      <c r="EA2" s="121" t="s">
        <v>31</v>
      </c>
      <c r="EB2" s="122" t="s">
        <v>32</v>
      </c>
      <c r="EC2" s="123" t="s">
        <v>33</v>
      </c>
      <c r="ED2" s="123" t="s">
        <v>34</v>
      </c>
      <c r="EE2" s="126" t="s">
        <v>36</v>
      </c>
      <c r="EF2" s="727"/>
      <c r="EG2" s="120" t="s">
        <v>30</v>
      </c>
      <c r="EH2" s="121" t="s">
        <v>31</v>
      </c>
      <c r="EI2" s="122" t="s">
        <v>32</v>
      </c>
      <c r="EJ2" s="125" t="s">
        <v>33</v>
      </c>
      <c r="EK2" s="131" t="s">
        <v>34</v>
      </c>
      <c r="EL2" s="126" t="s">
        <v>36</v>
      </c>
      <c r="EM2" s="144" t="s">
        <v>29</v>
      </c>
      <c r="EO2" s="143" t="s">
        <v>29</v>
      </c>
      <c r="EP2" s="120" t="s">
        <v>30</v>
      </c>
      <c r="EQ2" s="130" t="s">
        <v>31</v>
      </c>
      <c r="ER2" s="122" t="s">
        <v>32</v>
      </c>
      <c r="ES2" s="123" t="s">
        <v>33</v>
      </c>
      <c r="ET2" s="131" t="s">
        <v>34</v>
      </c>
      <c r="EU2" s="138" t="s">
        <v>36</v>
      </c>
      <c r="EV2" s="727"/>
      <c r="EW2" s="120" t="s">
        <v>30</v>
      </c>
      <c r="EX2" s="130" t="s">
        <v>31</v>
      </c>
      <c r="EY2" s="122" t="s">
        <v>32</v>
      </c>
      <c r="EZ2" s="123" t="s">
        <v>33</v>
      </c>
      <c r="FA2" s="131" t="s">
        <v>34</v>
      </c>
      <c r="FB2" s="132" t="s">
        <v>36</v>
      </c>
      <c r="FC2" s="144" t="s">
        <v>29</v>
      </c>
      <c r="FE2" s="129" t="s">
        <v>29</v>
      </c>
      <c r="FF2" s="120" t="s">
        <v>30</v>
      </c>
      <c r="FG2" s="130" t="s">
        <v>31</v>
      </c>
      <c r="FH2" s="122" t="s">
        <v>32</v>
      </c>
      <c r="FI2" s="123" t="s">
        <v>33</v>
      </c>
      <c r="FJ2" s="131" t="s">
        <v>34</v>
      </c>
      <c r="FK2" s="132" t="s">
        <v>61</v>
      </c>
      <c r="FL2" s="727"/>
      <c r="FM2" s="137" t="s">
        <v>30</v>
      </c>
      <c r="FN2" s="130" t="s">
        <v>31</v>
      </c>
      <c r="FO2" s="122" t="s">
        <v>32</v>
      </c>
      <c r="FP2" s="123" t="s">
        <v>33</v>
      </c>
      <c r="FQ2" s="131" t="s">
        <v>34</v>
      </c>
      <c r="FR2" s="146" t="s">
        <v>36</v>
      </c>
      <c r="FS2" s="145" t="s">
        <v>29</v>
      </c>
      <c r="FU2" s="117" t="s">
        <v>26</v>
      </c>
      <c r="FV2" s="120" t="s">
        <v>30</v>
      </c>
      <c r="FW2" s="121" t="s">
        <v>31</v>
      </c>
      <c r="FX2" s="122" t="s">
        <v>32</v>
      </c>
      <c r="FY2" s="123" t="s">
        <v>33</v>
      </c>
      <c r="FZ2" s="131" t="s">
        <v>34</v>
      </c>
      <c r="GA2" s="148" t="s">
        <v>36</v>
      </c>
      <c r="GB2" s="727"/>
      <c r="GC2" s="120" t="s">
        <v>30</v>
      </c>
      <c r="GD2" s="121" t="s">
        <v>31</v>
      </c>
      <c r="GE2" s="122" t="s">
        <v>32</v>
      </c>
      <c r="GF2" s="123" t="s">
        <v>33</v>
      </c>
      <c r="GG2" s="123" t="s">
        <v>34</v>
      </c>
      <c r="GH2" s="124" t="s">
        <v>36</v>
      </c>
      <c r="GI2" s="147" t="s">
        <v>29</v>
      </c>
      <c r="GK2" s="149" t="s">
        <v>26</v>
      </c>
      <c r="GL2" s="120" t="s">
        <v>30</v>
      </c>
      <c r="GM2" s="130" t="s">
        <v>31</v>
      </c>
      <c r="GN2" s="122" t="s">
        <v>32</v>
      </c>
      <c r="GO2" s="123" t="s">
        <v>33</v>
      </c>
      <c r="GP2" s="131" t="s">
        <v>34</v>
      </c>
      <c r="GQ2" s="126" t="s">
        <v>36</v>
      </c>
      <c r="GR2" s="727"/>
      <c r="GS2" s="120" t="s">
        <v>30</v>
      </c>
      <c r="GT2" s="121" t="s">
        <v>31</v>
      </c>
      <c r="GU2" s="122" t="s">
        <v>32</v>
      </c>
      <c r="GV2" s="125" t="s">
        <v>33</v>
      </c>
      <c r="GW2" s="123" t="s">
        <v>34</v>
      </c>
      <c r="GX2" s="126" t="s">
        <v>36</v>
      </c>
      <c r="GY2" s="150" t="s">
        <v>29</v>
      </c>
      <c r="HA2" s="151" t="s">
        <v>26</v>
      </c>
      <c r="HB2" s="120" t="s">
        <v>30</v>
      </c>
      <c r="HC2" s="130" t="s">
        <v>31</v>
      </c>
      <c r="HD2" s="122" t="s">
        <v>32</v>
      </c>
      <c r="HE2" s="123" t="s">
        <v>33</v>
      </c>
      <c r="HF2" s="131" t="s">
        <v>34</v>
      </c>
      <c r="HG2" s="132" t="s">
        <v>68</v>
      </c>
      <c r="HH2" s="727"/>
      <c r="HI2" s="120" t="s">
        <v>30</v>
      </c>
      <c r="HJ2" s="130" t="s">
        <v>31</v>
      </c>
      <c r="HK2" s="122" t="s">
        <v>32</v>
      </c>
      <c r="HL2" s="123" t="s">
        <v>33</v>
      </c>
      <c r="HM2" s="131" t="s">
        <v>34</v>
      </c>
      <c r="HN2" s="132" t="s">
        <v>36</v>
      </c>
      <c r="HO2" s="150" t="s">
        <v>29</v>
      </c>
      <c r="HQ2" s="152" t="s">
        <v>26</v>
      </c>
      <c r="HR2" s="120" t="s">
        <v>30</v>
      </c>
      <c r="HS2" s="130" t="s">
        <v>31</v>
      </c>
      <c r="HT2" s="122" t="s">
        <v>32</v>
      </c>
      <c r="HU2" s="123" t="s">
        <v>33</v>
      </c>
      <c r="HV2" s="131" t="s">
        <v>34</v>
      </c>
      <c r="HW2" s="132" t="s">
        <v>61</v>
      </c>
      <c r="HX2" s="727"/>
      <c r="HY2" s="137" t="s">
        <v>30</v>
      </c>
      <c r="HZ2" s="130" t="s">
        <v>31</v>
      </c>
      <c r="IA2" s="122" t="s">
        <v>32</v>
      </c>
      <c r="IB2" s="123" t="s">
        <v>33</v>
      </c>
      <c r="IC2" s="131" t="s">
        <v>34</v>
      </c>
      <c r="ID2" s="146" t="s">
        <v>36</v>
      </c>
      <c r="IE2" s="153" t="s">
        <v>29</v>
      </c>
      <c r="IG2" s="140" t="s">
        <v>29</v>
      </c>
      <c r="IH2" s="120" t="s">
        <v>30</v>
      </c>
      <c r="II2" s="121" t="s">
        <v>31</v>
      </c>
      <c r="IJ2" s="122" t="s">
        <v>32</v>
      </c>
      <c r="IK2" s="123" t="s">
        <v>33</v>
      </c>
      <c r="IL2" s="131" t="s">
        <v>34</v>
      </c>
      <c r="IM2" s="148" t="s">
        <v>36</v>
      </c>
      <c r="IN2" s="727"/>
      <c r="IO2" s="120" t="s">
        <v>30</v>
      </c>
      <c r="IP2" s="121" t="s">
        <v>31</v>
      </c>
      <c r="IQ2" s="122" t="s">
        <v>32</v>
      </c>
      <c r="IR2" s="123" t="s">
        <v>33</v>
      </c>
      <c r="IS2" s="123" t="s">
        <v>34</v>
      </c>
      <c r="IT2" s="124" t="s">
        <v>36</v>
      </c>
      <c r="IU2" s="153" t="s">
        <v>29</v>
      </c>
      <c r="IW2" s="154" t="s">
        <v>26</v>
      </c>
      <c r="IX2" s="120" t="s">
        <v>30</v>
      </c>
      <c r="IY2" s="121" t="s">
        <v>31</v>
      </c>
      <c r="IZ2" s="122" t="s">
        <v>32</v>
      </c>
      <c r="JA2" s="123" t="s">
        <v>33</v>
      </c>
      <c r="JB2" s="123" t="s">
        <v>34</v>
      </c>
      <c r="JC2" s="126" t="s">
        <v>39</v>
      </c>
      <c r="JD2" s="727"/>
      <c r="JE2" s="120" t="s">
        <v>30</v>
      </c>
      <c r="JF2" s="121" t="s">
        <v>31</v>
      </c>
      <c r="JG2" s="122" t="s">
        <v>32</v>
      </c>
      <c r="JH2" s="125" t="s">
        <v>33</v>
      </c>
      <c r="JI2" s="123" t="s">
        <v>34</v>
      </c>
      <c r="JJ2" s="126" t="s">
        <v>39</v>
      </c>
      <c r="JK2" s="150" t="s">
        <v>29</v>
      </c>
      <c r="JM2" s="151" t="s">
        <v>26</v>
      </c>
      <c r="JN2" s="120" t="s">
        <v>30</v>
      </c>
      <c r="JO2" s="130" t="s">
        <v>31</v>
      </c>
      <c r="JP2" s="122" t="s">
        <v>32</v>
      </c>
      <c r="JQ2" s="123" t="s">
        <v>33</v>
      </c>
      <c r="JR2" s="131" t="s">
        <v>34</v>
      </c>
      <c r="JS2" s="132" t="s">
        <v>77</v>
      </c>
      <c r="JT2" s="727"/>
      <c r="JU2" s="120" t="s">
        <v>30</v>
      </c>
      <c r="JV2" s="155" t="s">
        <v>31</v>
      </c>
      <c r="JW2" s="122" t="s">
        <v>32</v>
      </c>
      <c r="JX2" s="123" t="s">
        <v>33</v>
      </c>
      <c r="JY2" s="131" t="s">
        <v>34</v>
      </c>
      <c r="JZ2" s="132" t="s">
        <v>39</v>
      </c>
      <c r="KA2" s="150" t="s">
        <v>29</v>
      </c>
      <c r="KC2" s="142" t="s">
        <v>29</v>
      </c>
      <c r="KD2" s="120" t="s">
        <v>30</v>
      </c>
      <c r="KE2" s="130" t="s">
        <v>31</v>
      </c>
      <c r="KF2" s="122" t="s">
        <v>32</v>
      </c>
      <c r="KG2" s="123" t="s">
        <v>33</v>
      </c>
      <c r="KH2" s="131" t="s">
        <v>34</v>
      </c>
      <c r="KI2" s="132" t="s">
        <v>80</v>
      </c>
      <c r="KJ2" s="727"/>
      <c r="KK2" s="137" t="s">
        <v>30</v>
      </c>
      <c r="KL2" s="130" t="s">
        <v>31</v>
      </c>
      <c r="KM2" s="122" t="s">
        <v>32</v>
      </c>
      <c r="KN2" s="123" t="s">
        <v>33</v>
      </c>
      <c r="KO2" s="131" t="s">
        <v>34</v>
      </c>
      <c r="KP2" s="132" t="s">
        <v>36</v>
      </c>
      <c r="KQ2" s="136" t="s">
        <v>29</v>
      </c>
      <c r="KS2" s="142" t="s">
        <v>29</v>
      </c>
      <c r="KT2" s="120" t="s">
        <v>30</v>
      </c>
      <c r="KU2" s="130" t="s">
        <v>31</v>
      </c>
      <c r="KV2" s="122" t="s">
        <v>32</v>
      </c>
      <c r="KW2" s="123" t="s">
        <v>33</v>
      </c>
      <c r="KX2" s="131" t="s">
        <v>34</v>
      </c>
      <c r="KY2" s="132" t="s">
        <v>80</v>
      </c>
      <c r="KZ2" s="727"/>
      <c r="LA2" s="120" t="s">
        <v>30</v>
      </c>
      <c r="LB2" s="121" t="s">
        <v>31</v>
      </c>
      <c r="LC2" s="122" t="s">
        <v>32</v>
      </c>
      <c r="LD2" s="123" t="s">
        <v>33</v>
      </c>
      <c r="LE2" s="123" t="s">
        <v>34</v>
      </c>
      <c r="LF2" s="126" t="s">
        <v>36</v>
      </c>
      <c r="LG2" s="136" t="s">
        <v>29</v>
      </c>
      <c r="LI2" s="154" t="s">
        <v>26</v>
      </c>
      <c r="LJ2" s="120" t="s">
        <v>30</v>
      </c>
      <c r="LK2" s="121" t="s">
        <v>31</v>
      </c>
      <c r="LL2" s="122" t="s">
        <v>32</v>
      </c>
      <c r="LM2" s="123" t="s">
        <v>33</v>
      </c>
      <c r="LN2" s="123" t="s">
        <v>34</v>
      </c>
      <c r="LO2" s="124" t="s">
        <v>36</v>
      </c>
      <c r="LP2" s="727"/>
      <c r="LQ2" s="120" t="s">
        <v>30</v>
      </c>
      <c r="LR2" s="121" t="s">
        <v>31</v>
      </c>
      <c r="LS2" s="122" t="s">
        <v>32</v>
      </c>
      <c r="LT2" s="125" t="s">
        <v>33</v>
      </c>
      <c r="LU2" s="131" t="s">
        <v>34</v>
      </c>
      <c r="LV2" s="126" t="s">
        <v>36</v>
      </c>
      <c r="LW2" s="150" t="s">
        <v>29</v>
      </c>
      <c r="LY2" s="156" t="s">
        <v>29</v>
      </c>
      <c r="LZ2" s="120" t="s">
        <v>30</v>
      </c>
      <c r="MA2" s="130" t="s">
        <v>31</v>
      </c>
      <c r="MB2" s="122" t="s">
        <v>32</v>
      </c>
      <c r="MC2" s="123" t="s">
        <v>33</v>
      </c>
      <c r="MD2" s="131" t="s">
        <v>34</v>
      </c>
      <c r="ME2" s="132" t="s">
        <v>77</v>
      </c>
      <c r="MF2" s="727"/>
      <c r="MG2" s="120" t="s">
        <v>30</v>
      </c>
      <c r="MH2" s="130" t="s">
        <v>31</v>
      </c>
      <c r="MI2" s="122" t="s">
        <v>32</v>
      </c>
      <c r="MJ2" s="123" t="s">
        <v>33</v>
      </c>
      <c r="MK2" s="131" t="s">
        <v>34</v>
      </c>
      <c r="ML2" s="132" t="s">
        <v>36</v>
      </c>
      <c r="MM2" s="150" t="s">
        <v>29</v>
      </c>
      <c r="MO2" s="157" t="s">
        <v>29</v>
      </c>
      <c r="MP2" s="120" t="s">
        <v>30</v>
      </c>
      <c r="MQ2" s="130" t="s">
        <v>31</v>
      </c>
      <c r="MR2" s="122" t="s">
        <v>32</v>
      </c>
      <c r="MS2" s="123" t="s">
        <v>33</v>
      </c>
      <c r="MT2" s="131" t="s">
        <v>34</v>
      </c>
      <c r="MU2" s="132" t="s">
        <v>89</v>
      </c>
      <c r="MV2" s="727"/>
      <c r="MW2" s="137" t="s">
        <v>30</v>
      </c>
      <c r="MX2" s="130" t="s">
        <v>31</v>
      </c>
      <c r="MY2" s="122" t="s">
        <v>32</v>
      </c>
      <c r="MZ2" s="123" t="s">
        <v>33</v>
      </c>
      <c r="NA2" s="131" t="s">
        <v>34</v>
      </c>
      <c r="NB2" s="132" t="s">
        <v>89</v>
      </c>
      <c r="NC2" s="150" t="s">
        <v>29</v>
      </c>
      <c r="NE2" s="151" t="s">
        <v>26</v>
      </c>
      <c r="NF2" s="120" t="s">
        <v>30</v>
      </c>
      <c r="NG2" s="121" t="s">
        <v>31</v>
      </c>
      <c r="NH2" s="122" t="s">
        <v>32</v>
      </c>
      <c r="NI2" s="123" t="s">
        <v>33</v>
      </c>
      <c r="NJ2" s="131" t="s">
        <v>34</v>
      </c>
      <c r="NK2" s="126" t="s">
        <v>89</v>
      </c>
      <c r="NL2" s="727"/>
      <c r="NM2" s="120" t="s">
        <v>30</v>
      </c>
      <c r="NN2" s="121" t="s">
        <v>31</v>
      </c>
      <c r="NO2" s="122" t="s">
        <v>32</v>
      </c>
      <c r="NP2" s="123" t="s">
        <v>33</v>
      </c>
      <c r="NQ2" s="123" t="s">
        <v>34</v>
      </c>
      <c r="NR2" s="124" t="s">
        <v>89</v>
      </c>
      <c r="NS2" s="150" t="s">
        <v>29</v>
      </c>
      <c r="NU2" s="158" t="s">
        <v>29</v>
      </c>
      <c r="NV2" s="120" t="s">
        <v>30</v>
      </c>
      <c r="NW2" s="121" t="s">
        <v>31</v>
      </c>
      <c r="NX2" s="122" t="s">
        <v>32</v>
      </c>
      <c r="NY2" s="123" t="s">
        <v>33</v>
      </c>
      <c r="NZ2" s="131" t="s">
        <v>34</v>
      </c>
      <c r="OA2" s="126" t="s">
        <v>94</v>
      </c>
      <c r="OB2" s="727"/>
      <c r="OC2" s="120" t="s">
        <v>30</v>
      </c>
      <c r="OD2" s="121" t="s">
        <v>31</v>
      </c>
      <c r="OE2" s="122" t="s">
        <v>32</v>
      </c>
      <c r="OF2" s="125" t="s">
        <v>33</v>
      </c>
      <c r="OG2" s="131" t="s">
        <v>34</v>
      </c>
      <c r="OH2" s="126" t="s">
        <v>94</v>
      </c>
      <c r="OI2" s="150" t="s">
        <v>29</v>
      </c>
      <c r="OK2" s="156" t="s">
        <v>29</v>
      </c>
      <c r="OL2" s="120" t="s">
        <v>30</v>
      </c>
      <c r="OM2" s="130" t="s">
        <v>31</v>
      </c>
      <c r="ON2" s="122" t="s">
        <v>32</v>
      </c>
      <c r="OO2" s="123" t="s">
        <v>33</v>
      </c>
      <c r="OP2" s="131" t="s">
        <v>34</v>
      </c>
      <c r="OQ2" s="132" t="s">
        <v>94</v>
      </c>
      <c r="OR2" s="727"/>
      <c r="OS2" s="120" t="s">
        <v>30</v>
      </c>
      <c r="OT2" s="155" t="s">
        <v>31</v>
      </c>
      <c r="OU2" s="122" t="s">
        <v>32</v>
      </c>
      <c r="OV2" s="123" t="s">
        <v>33</v>
      </c>
      <c r="OW2" s="131" t="s">
        <v>34</v>
      </c>
      <c r="OX2" s="132" t="s">
        <v>94</v>
      </c>
      <c r="OY2" s="150" t="s">
        <v>29</v>
      </c>
      <c r="PA2" s="152" t="s">
        <v>26</v>
      </c>
      <c r="PB2" s="120" t="s">
        <v>30</v>
      </c>
      <c r="PC2" s="130" t="s">
        <v>31</v>
      </c>
      <c r="PD2" s="122" t="s">
        <v>32</v>
      </c>
      <c r="PE2" s="123" t="s">
        <v>33</v>
      </c>
      <c r="PF2" s="131" t="s">
        <v>34</v>
      </c>
      <c r="PG2" s="132" t="s">
        <v>80</v>
      </c>
      <c r="PH2" s="727"/>
      <c r="PI2" s="137" t="s">
        <v>30</v>
      </c>
      <c r="PJ2" s="130" t="s">
        <v>31</v>
      </c>
      <c r="PK2" s="122" t="s">
        <v>32</v>
      </c>
      <c r="PL2" s="123" t="s">
        <v>33</v>
      </c>
      <c r="PM2" s="131" t="s">
        <v>34</v>
      </c>
      <c r="PN2" s="146" t="s">
        <v>36</v>
      </c>
      <c r="PO2" s="159" t="s">
        <v>29</v>
      </c>
      <c r="PQ2" s="152" t="s">
        <v>26</v>
      </c>
      <c r="PR2" s="120" t="s">
        <v>30</v>
      </c>
      <c r="PS2" s="121" t="s">
        <v>31</v>
      </c>
      <c r="PT2" s="122" t="s">
        <v>32</v>
      </c>
      <c r="PU2" s="123" t="s">
        <v>33</v>
      </c>
      <c r="PV2" s="131" t="s">
        <v>34</v>
      </c>
      <c r="PW2" s="160" t="s">
        <v>36</v>
      </c>
      <c r="PX2" s="727"/>
      <c r="PY2" s="120" t="s">
        <v>30</v>
      </c>
      <c r="PZ2" s="121" t="s">
        <v>31</v>
      </c>
      <c r="QA2" s="122" t="s">
        <v>32</v>
      </c>
      <c r="QB2" s="123" t="s">
        <v>33</v>
      </c>
      <c r="QC2" s="123" t="s">
        <v>34</v>
      </c>
      <c r="QD2" s="124" t="s">
        <v>36</v>
      </c>
      <c r="QE2" s="159" t="s">
        <v>29</v>
      </c>
      <c r="QG2" s="154" t="s">
        <v>26</v>
      </c>
      <c r="QH2" s="120" t="s">
        <v>30</v>
      </c>
      <c r="QI2" s="121" t="s">
        <v>31</v>
      </c>
      <c r="QJ2" s="122" t="s">
        <v>32</v>
      </c>
      <c r="QK2" s="123" t="s">
        <v>33</v>
      </c>
      <c r="QL2" s="123" t="s">
        <v>34</v>
      </c>
      <c r="QM2" s="124" t="s">
        <v>103</v>
      </c>
      <c r="QN2" s="727"/>
      <c r="QO2" s="120" t="s">
        <v>30</v>
      </c>
      <c r="QP2" s="121" t="s">
        <v>31</v>
      </c>
      <c r="QQ2" s="122" t="s">
        <v>32</v>
      </c>
      <c r="QR2" s="125" t="s">
        <v>33</v>
      </c>
      <c r="QS2" s="123" t="s">
        <v>34</v>
      </c>
      <c r="QT2" s="126" t="s">
        <v>103</v>
      </c>
      <c r="QU2" s="161" t="s">
        <v>29</v>
      </c>
      <c r="QW2" s="162" t="s">
        <v>29</v>
      </c>
      <c r="QX2" s="120" t="s">
        <v>30</v>
      </c>
      <c r="QY2" s="130" t="s">
        <v>31</v>
      </c>
      <c r="QZ2" s="122" t="s">
        <v>32</v>
      </c>
      <c r="RA2" s="123" t="s">
        <v>33</v>
      </c>
      <c r="RB2" s="131" t="s">
        <v>34</v>
      </c>
      <c r="RC2" s="132" t="s">
        <v>77</v>
      </c>
      <c r="RD2" s="727"/>
      <c r="RE2" s="120" t="s">
        <v>30</v>
      </c>
      <c r="RF2" s="130" t="s">
        <v>31</v>
      </c>
      <c r="RG2" s="122" t="s">
        <v>32</v>
      </c>
      <c r="RH2" s="123" t="s">
        <v>33</v>
      </c>
      <c r="RI2" s="131" t="s">
        <v>34</v>
      </c>
      <c r="RJ2" s="132" t="s">
        <v>103</v>
      </c>
      <c r="RK2" s="161" t="s">
        <v>29</v>
      </c>
      <c r="RM2" s="140" t="s">
        <v>29</v>
      </c>
      <c r="RN2" s="120" t="s">
        <v>30</v>
      </c>
      <c r="RO2" s="130" t="s">
        <v>31</v>
      </c>
      <c r="RP2" s="122" t="s">
        <v>32</v>
      </c>
      <c r="RQ2" s="123" t="s">
        <v>33</v>
      </c>
      <c r="RR2" s="131" t="s">
        <v>34</v>
      </c>
      <c r="RS2" s="132" t="s">
        <v>61</v>
      </c>
      <c r="RT2" s="727"/>
      <c r="RU2" s="137" t="s">
        <v>30</v>
      </c>
      <c r="RV2" s="130" t="s">
        <v>31</v>
      </c>
      <c r="RW2" s="122" t="s">
        <v>32</v>
      </c>
      <c r="RX2" s="123" t="s">
        <v>33</v>
      </c>
      <c r="RY2" s="131" t="s">
        <v>34</v>
      </c>
      <c r="RZ2" s="146" t="s">
        <v>36</v>
      </c>
      <c r="SA2" s="159" t="s">
        <v>29</v>
      </c>
      <c r="SC2" s="152" t="s">
        <v>26</v>
      </c>
      <c r="SD2" s="120" t="s">
        <v>30</v>
      </c>
      <c r="SE2" s="121" t="s">
        <v>31</v>
      </c>
      <c r="SF2" s="122" t="s">
        <v>32</v>
      </c>
      <c r="SG2" s="123" t="s">
        <v>33</v>
      </c>
      <c r="SH2" s="123" t="s">
        <v>34</v>
      </c>
      <c r="SI2" s="160" t="s">
        <v>36</v>
      </c>
      <c r="SJ2" s="727"/>
      <c r="SK2" s="120" t="s">
        <v>30</v>
      </c>
      <c r="SL2" s="121" t="s">
        <v>31</v>
      </c>
      <c r="SM2" s="122" t="s">
        <v>32</v>
      </c>
      <c r="SN2" s="123" t="s">
        <v>33</v>
      </c>
      <c r="SO2" s="123" t="s">
        <v>34</v>
      </c>
      <c r="SP2" s="124" t="s">
        <v>36</v>
      </c>
      <c r="SQ2" s="159" t="s">
        <v>29</v>
      </c>
      <c r="SS2" s="142" t="s">
        <v>29</v>
      </c>
      <c r="ST2" s="120" t="s">
        <v>30</v>
      </c>
      <c r="SU2" s="121" t="s">
        <v>31</v>
      </c>
      <c r="SV2" s="122" t="s">
        <v>32</v>
      </c>
      <c r="SW2" s="123" t="s">
        <v>33</v>
      </c>
      <c r="SX2" s="123" t="s">
        <v>34</v>
      </c>
      <c r="SY2" s="126" t="s">
        <v>61</v>
      </c>
      <c r="SZ2" s="727"/>
      <c r="TA2" s="120" t="s">
        <v>30</v>
      </c>
      <c r="TB2" s="121" t="s">
        <v>31</v>
      </c>
      <c r="TC2" s="122" t="s">
        <v>32</v>
      </c>
      <c r="TD2" s="125" t="s">
        <v>33</v>
      </c>
      <c r="TE2" s="131" t="s">
        <v>34</v>
      </c>
      <c r="TF2" s="126" t="s">
        <v>61</v>
      </c>
      <c r="TG2" s="136" t="s">
        <v>29</v>
      </c>
      <c r="TI2" s="133" t="s">
        <v>26</v>
      </c>
      <c r="TJ2" s="120" t="s">
        <v>30</v>
      </c>
      <c r="TK2" s="130" t="s">
        <v>31</v>
      </c>
      <c r="TL2" s="122" t="s">
        <v>32</v>
      </c>
      <c r="TM2" s="123" t="s">
        <v>33</v>
      </c>
      <c r="TN2" s="131" t="s">
        <v>34</v>
      </c>
      <c r="TO2" s="132" t="s">
        <v>61</v>
      </c>
      <c r="TP2" s="727"/>
      <c r="TQ2" s="120" t="s">
        <v>30</v>
      </c>
      <c r="TR2" s="155" t="s">
        <v>31</v>
      </c>
      <c r="TS2" s="122" t="s">
        <v>32</v>
      </c>
      <c r="TT2" s="123" t="s">
        <v>33</v>
      </c>
      <c r="TU2" s="131" t="s">
        <v>34</v>
      </c>
      <c r="TV2" s="132" t="s">
        <v>61</v>
      </c>
      <c r="TW2" s="136" t="s">
        <v>29</v>
      </c>
      <c r="TY2" s="163" t="s">
        <v>29</v>
      </c>
      <c r="TZ2" s="120" t="s">
        <v>30</v>
      </c>
      <c r="UA2" s="130" t="s">
        <v>31</v>
      </c>
      <c r="UB2" s="122" t="s">
        <v>32</v>
      </c>
      <c r="UC2" s="123" t="s">
        <v>33</v>
      </c>
      <c r="UD2" s="131" t="s">
        <v>34</v>
      </c>
      <c r="UE2" s="132" t="s">
        <v>61</v>
      </c>
      <c r="UF2" s="727"/>
      <c r="UG2" s="137" t="s">
        <v>30</v>
      </c>
      <c r="UH2" s="130" t="s">
        <v>31</v>
      </c>
      <c r="UI2" s="122" t="s">
        <v>32</v>
      </c>
      <c r="UJ2" s="123" t="s">
        <v>33</v>
      </c>
      <c r="UK2" s="131" t="s">
        <v>34</v>
      </c>
      <c r="UL2" s="164" t="s">
        <v>36</v>
      </c>
      <c r="UM2" s="150" t="s">
        <v>29</v>
      </c>
      <c r="UO2" s="151" t="s">
        <v>26</v>
      </c>
      <c r="UP2" s="120" t="s">
        <v>30</v>
      </c>
      <c r="UQ2" s="121" t="s">
        <v>31</v>
      </c>
      <c r="UR2" s="122" t="s">
        <v>32</v>
      </c>
      <c r="US2" s="123" t="s">
        <v>33</v>
      </c>
      <c r="UT2" s="131" t="s">
        <v>34</v>
      </c>
      <c r="UU2" s="165" t="s">
        <v>36</v>
      </c>
      <c r="UV2" s="727"/>
      <c r="UW2" s="120" t="s">
        <v>30</v>
      </c>
      <c r="UX2" s="121" t="s">
        <v>31</v>
      </c>
      <c r="UY2" s="122" t="s">
        <v>32</v>
      </c>
      <c r="UZ2" s="123" t="s">
        <v>33</v>
      </c>
      <c r="VA2" s="123" t="s">
        <v>34</v>
      </c>
      <c r="VB2" s="124" t="s">
        <v>36</v>
      </c>
      <c r="VC2" s="150" t="s">
        <v>29</v>
      </c>
      <c r="VE2" s="158" t="s">
        <v>29</v>
      </c>
      <c r="VF2" s="120" t="s">
        <v>30</v>
      </c>
      <c r="VG2" s="121" t="s">
        <v>31</v>
      </c>
      <c r="VH2" s="122" t="s">
        <v>32</v>
      </c>
      <c r="VI2" s="123" t="s">
        <v>33</v>
      </c>
      <c r="VJ2" s="131" t="s">
        <v>34</v>
      </c>
      <c r="VK2" s="124" t="s">
        <v>39</v>
      </c>
      <c r="VL2" s="727"/>
      <c r="VM2" s="120" t="s">
        <v>30</v>
      </c>
      <c r="VN2" s="121" t="s">
        <v>31</v>
      </c>
      <c r="VO2" s="122" t="s">
        <v>32</v>
      </c>
      <c r="VP2" s="125" t="s">
        <v>33</v>
      </c>
      <c r="VQ2" s="123" t="s">
        <v>34</v>
      </c>
      <c r="VR2" s="126" t="s">
        <v>39</v>
      </c>
      <c r="VS2" s="150" t="s">
        <v>29</v>
      </c>
      <c r="VU2" s="156" t="s">
        <v>29</v>
      </c>
      <c r="VV2" s="120" t="s">
        <v>30</v>
      </c>
      <c r="VW2" s="130" t="s">
        <v>31</v>
      </c>
      <c r="VX2" s="122" t="s">
        <v>32</v>
      </c>
      <c r="VY2" s="123" t="s">
        <v>33</v>
      </c>
      <c r="VZ2" s="131" t="s">
        <v>34</v>
      </c>
      <c r="WA2" s="132" t="s">
        <v>77</v>
      </c>
      <c r="WB2" s="727"/>
      <c r="WC2" s="120" t="s">
        <v>30</v>
      </c>
      <c r="WD2" s="130" t="s">
        <v>31</v>
      </c>
      <c r="WE2" s="122" t="s">
        <v>32</v>
      </c>
      <c r="WF2" s="123" t="s">
        <v>33</v>
      </c>
      <c r="WG2" s="131" t="s">
        <v>34</v>
      </c>
      <c r="WH2" s="132" t="s">
        <v>39</v>
      </c>
      <c r="WI2" s="150" t="s">
        <v>29</v>
      </c>
      <c r="WK2" s="154" t="s">
        <v>26</v>
      </c>
      <c r="WL2" s="120" t="s">
        <v>30</v>
      </c>
      <c r="WM2" s="130" t="s">
        <v>31</v>
      </c>
      <c r="WN2" s="122" t="s">
        <v>32</v>
      </c>
      <c r="WO2" s="123" t="s">
        <v>33</v>
      </c>
      <c r="WP2" s="131" t="s">
        <v>34</v>
      </c>
      <c r="WQ2" s="132" t="s">
        <v>77</v>
      </c>
      <c r="WR2" s="727"/>
      <c r="WS2" s="137" t="s">
        <v>30</v>
      </c>
      <c r="WT2" s="130" t="s">
        <v>31</v>
      </c>
      <c r="WU2" s="122" t="s">
        <v>32</v>
      </c>
      <c r="WV2" s="123" t="s">
        <v>33</v>
      </c>
      <c r="WW2" s="131" t="s">
        <v>34</v>
      </c>
      <c r="WX2" s="146" t="s">
        <v>36</v>
      </c>
      <c r="WY2" s="166" t="s">
        <v>29</v>
      </c>
      <c r="WZ2" s="359"/>
      <c r="XA2" s="167" t="s">
        <v>26</v>
      </c>
      <c r="XB2" s="120" t="s">
        <v>30</v>
      </c>
      <c r="XC2" s="121" t="s">
        <v>31</v>
      </c>
      <c r="XD2" s="122" t="s">
        <v>32</v>
      </c>
      <c r="XE2" s="123" t="s">
        <v>33</v>
      </c>
      <c r="XF2" s="131" t="s">
        <v>34</v>
      </c>
      <c r="XG2" s="148" t="s">
        <v>36</v>
      </c>
      <c r="XH2" s="727"/>
      <c r="XI2" s="120" t="s">
        <v>30</v>
      </c>
      <c r="XJ2" s="121" t="s">
        <v>31</v>
      </c>
      <c r="XK2" s="122" t="s">
        <v>32</v>
      </c>
      <c r="XL2" s="123" t="s">
        <v>33</v>
      </c>
      <c r="XM2" s="123" t="s">
        <v>34</v>
      </c>
      <c r="XN2" s="124" t="s">
        <v>36</v>
      </c>
      <c r="XO2" s="166" t="s">
        <v>29</v>
      </c>
      <c r="XP2" s="177"/>
    </row>
    <row r="3" spans="1:640" ht="15" customHeight="1" thickBot="1" x14ac:dyDescent="0.3">
      <c r="A3" s="171">
        <v>-66.849999999999994</v>
      </c>
      <c r="B3" s="363">
        <v>6.7000000000000002E-4</v>
      </c>
      <c r="C3" s="368">
        <v>115.8</v>
      </c>
      <c r="D3" s="358">
        <v>0.64839999999999998</v>
      </c>
      <c r="E3" s="358">
        <v>1.1862999999999999</v>
      </c>
      <c r="F3" s="358">
        <v>1.5234000000000001</v>
      </c>
      <c r="G3" s="172">
        <v>938.7</v>
      </c>
      <c r="H3" s="723" t="s">
        <v>126</v>
      </c>
      <c r="I3" s="363">
        <v>6.8000000000000005E-4</v>
      </c>
      <c r="J3" s="374">
        <v>128.30000000000001</v>
      </c>
      <c r="K3" s="358">
        <v>0.70750000000000002</v>
      </c>
      <c r="L3" s="358">
        <v>1.2068000000000001</v>
      </c>
      <c r="M3" s="358">
        <v>1.5129999999999999</v>
      </c>
      <c r="N3" s="368">
        <v>887.7</v>
      </c>
      <c r="O3" s="173">
        <v>-56.39</v>
      </c>
      <c r="P3" s="725"/>
      <c r="Q3" s="174">
        <v>-49.66</v>
      </c>
      <c r="R3" s="363">
        <v>6.8999999999999997E-4</v>
      </c>
      <c r="S3" s="368">
        <v>136.5</v>
      </c>
      <c r="T3" s="358">
        <v>0.74460000000000004</v>
      </c>
      <c r="U3" s="358">
        <v>1.2204999999999999</v>
      </c>
      <c r="V3" s="358">
        <v>1.5084</v>
      </c>
      <c r="W3" s="368">
        <v>855.4</v>
      </c>
      <c r="X3" s="723" t="s">
        <v>126</v>
      </c>
      <c r="Y3" s="363">
        <v>6.9999999999999999E-4</v>
      </c>
      <c r="Z3" s="386">
        <v>142.80000000000001</v>
      </c>
      <c r="AA3" s="358">
        <v>0.7722</v>
      </c>
      <c r="AB3" s="358">
        <v>1.2311000000000001</v>
      </c>
      <c r="AC3" s="358">
        <v>1.5059</v>
      </c>
      <c r="AD3" s="368">
        <v>831.3</v>
      </c>
      <c r="AE3" s="173">
        <v>-44.57</v>
      </c>
      <c r="AG3" s="175">
        <v>-40.43</v>
      </c>
      <c r="AH3" s="340">
        <v>7.1000000000000002E-4</v>
      </c>
      <c r="AI3" s="394">
        <v>147.9</v>
      </c>
      <c r="AJ3" s="334">
        <v>0.7944</v>
      </c>
      <c r="AK3" s="334">
        <v>1.2399</v>
      </c>
      <c r="AL3" s="401">
        <v>1.5045999999999999</v>
      </c>
      <c r="AM3" s="404">
        <v>811.8</v>
      </c>
      <c r="AN3" s="732" t="s">
        <v>126</v>
      </c>
      <c r="AO3" s="340">
        <v>7.1000000000000002E-4</v>
      </c>
      <c r="AP3" s="397">
        <v>152.19999999999999</v>
      </c>
      <c r="AQ3" s="334">
        <v>0.81299999999999994</v>
      </c>
      <c r="AR3" s="334">
        <v>1.2476</v>
      </c>
      <c r="AS3" s="334">
        <v>1.504</v>
      </c>
      <c r="AT3" s="397">
        <v>795.3</v>
      </c>
      <c r="AU3" s="177">
        <v>-36.909999999999997</v>
      </c>
      <c r="AW3" s="178">
        <v>-33.83</v>
      </c>
      <c r="AX3" s="340">
        <v>7.2000000000000005E-4</v>
      </c>
      <c r="AY3" s="394">
        <v>156.1</v>
      </c>
      <c r="AZ3" s="334">
        <v>0.82920000000000005</v>
      </c>
      <c r="BA3" s="401">
        <v>1.2544</v>
      </c>
      <c r="BB3" s="401">
        <v>1.5038</v>
      </c>
      <c r="BC3" s="396">
        <v>781</v>
      </c>
      <c r="BD3" s="732" t="s">
        <v>126</v>
      </c>
      <c r="BE3" s="340">
        <v>7.2000000000000005E-4</v>
      </c>
      <c r="BF3" s="407">
        <v>159.5</v>
      </c>
      <c r="BG3" s="334">
        <v>0.84350000000000003</v>
      </c>
      <c r="BH3" s="334">
        <v>1.2605999999999999</v>
      </c>
      <c r="BI3" s="401">
        <v>1.5038</v>
      </c>
      <c r="BJ3" s="396">
        <v>768.3</v>
      </c>
      <c r="BK3" s="179">
        <v>-31.09</v>
      </c>
      <c r="BM3" s="175">
        <v>-28.61</v>
      </c>
      <c r="BN3" s="340">
        <v>7.2000000000000005E-4</v>
      </c>
      <c r="BO3" s="396">
        <v>162.69999999999999</v>
      </c>
      <c r="BP3" s="334">
        <v>0.85640000000000005</v>
      </c>
      <c r="BQ3" s="334">
        <v>1.2662</v>
      </c>
      <c r="BR3" s="334">
        <v>1.5041</v>
      </c>
      <c r="BS3" s="396">
        <v>756.7</v>
      </c>
      <c r="BT3" s="728" t="s">
        <v>126</v>
      </c>
      <c r="BU3" s="340">
        <v>7.2999999999999996E-4</v>
      </c>
      <c r="BV3" s="397">
        <v>165.6</v>
      </c>
      <c r="BW3" s="334">
        <v>0.86809999999999998</v>
      </c>
      <c r="BX3" s="334">
        <v>1.2715000000000001</v>
      </c>
      <c r="BY3" s="334">
        <v>1.5045999999999999</v>
      </c>
      <c r="BZ3" s="397">
        <v>746.2</v>
      </c>
      <c r="CA3" s="177">
        <v>-26.34</v>
      </c>
      <c r="CC3" s="180">
        <v>-26.06</v>
      </c>
      <c r="CD3" s="340">
        <v>7.2999999999999996E-4</v>
      </c>
      <c r="CE3" s="425">
        <v>165.9</v>
      </c>
      <c r="CF3" s="334">
        <v>0.86960000000000004</v>
      </c>
      <c r="CG3" s="334">
        <v>1.2722</v>
      </c>
      <c r="CH3" s="426">
        <v>1.5045999999999999</v>
      </c>
      <c r="CI3" s="396">
        <v>744.9</v>
      </c>
      <c r="CJ3" s="728" t="s">
        <v>126</v>
      </c>
      <c r="CK3" s="340">
        <v>7.2999999999999996E-4</v>
      </c>
      <c r="CL3" s="432">
        <v>168.2</v>
      </c>
      <c r="CM3" s="334">
        <v>0.87880000000000003</v>
      </c>
      <c r="CN3" s="334">
        <v>1.2765</v>
      </c>
      <c r="CO3" s="334">
        <v>1.5051000000000001</v>
      </c>
      <c r="CP3" s="397">
        <v>736.6</v>
      </c>
      <c r="CQ3" s="181">
        <v>-24.25</v>
      </c>
      <c r="CS3" s="175">
        <v>-22.29</v>
      </c>
      <c r="CT3" s="340">
        <v>7.2999999999999996E-4</v>
      </c>
      <c r="CU3" s="442">
        <v>170.7</v>
      </c>
      <c r="CV3" s="334">
        <v>0.88880000000000003</v>
      </c>
      <c r="CW3" s="334">
        <v>1.2811999999999999</v>
      </c>
      <c r="CX3" s="444">
        <v>1.5058</v>
      </c>
      <c r="CY3" s="397">
        <v>727.6</v>
      </c>
      <c r="CZ3" s="728" t="s">
        <v>126</v>
      </c>
      <c r="DA3" s="340">
        <v>7.3999999999999999E-4</v>
      </c>
      <c r="DB3" s="397">
        <v>173.1</v>
      </c>
      <c r="DC3" s="334">
        <v>0.89810000000000001</v>
      </c>
      <c r="DD3" s="334">
        <v>1.2856000000000001</v>
      </c>
      <c r="DE3" s="334">
        <v>1.5065</v>
      </c>
      <c r="DF3" s="397">
        <v>719.1</v>
      </c>
      <c r="DG3" s="177">
        <v>-20.47</v>
      </c>
      <c r="DI3" s="178">
        <v>-18.75</v>
      </c>
      <c r="DJ3" s="340">
        <v>7.3999999999999999E-4</v>
      </c>
      <c r="DK3" s="442">
        <v>175.3</v>
      </c>
      <c r="DL3" s="334">
        <v>0.90680000000000005</v>
      </c>
      <c r="DM3" s="334">
        <v>1.2899</v>
      </c>
      <c r="DN3" s="444">
        <v>1.5072000000000001</v>
      </c>
      <c r="DO3" s="442">
        <v>711.2</v>
      </c>
      <c r="DP3" s="728" t="s">
        <v>126</v>
      </c>
      <c r="DQ3" s="440">
        <v>7.3999999999999999E-4</v>
      </c>
      <c r="DR3" s="397">
        <v>177.4</v>
      </c>
      <c r="DS3" s="334">
        <v>0.91500000000000004</v>
      </c>
      <c r="DT3" s="334">
        <v>1.2939000000000001</v>
      </c>
      <c r="DU3" s="444">
        <v>1.5081</v>
      </c>
      <c r="DV3" s="396">
        <v>703.7</v>
      </c>
      <c r="DW3" s="179">
        <v>-17.12</v>
      </c>
      <c r="DY3" s="182">
        <v>-15.58</v>
      </c>
      <c r="DZ3" s="460">
        <v>7.3999999999999999E-4</v>
      </c>
      <c r="EA3" s="465">
        <v>179.4</v>
      </c>
      <c r="EB3" s="459">
        <v>0.92279999999999995</v>
      </c>
      <c r="EC3" s="459">
        <v>1.2979000000000001</v>
      </c>
      <c r="ED3" s="459">
        <v>1.5088999999999999</v>
      </c>
      <c r="EE3" s="467">
        <v>696.6</v>
      </c>
      <c r="EF3" s="738" t="s">
        <v>126</v>
      </c>
      <c r="EG3" s="474">
        <v>7.5000000000000002E-4</v>
      </c>
      <c r="EH3" s="476">
        <v>181.3</v>
      </c>
      <c r="EI3" s="459">
        <v>0.93020000000000003</v>
      </c>
      <c r="EJ3" s="473">
        <v>1.3017000000000001</v>
      </c>
      <c r="EK3" s="459">
        <v>1.5098</v>
      </c>
      <c r="EL3" s="478">
        <v>689.9</v>
      </c>
      <c r="EM3" s="186">
        <v>-14.11</v>
      </c>
      <c r="EO3" s="187">
        <v>-12.71</v>
      </c>
      <c r="EP3" s="474">
        <v>7.5000000000000002E-4</v>
      </c>
      <c r="EQ3" s="465">
        <v>183.2</v>
      </c>
      <c r="ER3" s="459">
        <v>0.93720000000000003</v>
      </c>
      <c r="ES3" s="473">
        <v>1.3052999999999999</v>
      </c>
      <c r="ET3" s="459">
        <v>1.5106999999999999</v>
      </c>
      <c r="EU3" s="467">
        <v>683.4</v>
      </c>
      <c r="EV3" s="738" t="s">
        <v>126</v>
      </c>
      <c r="EW3" s="474">
        <v>7.5000000000000002E-4</v>
      </c>
      <c r="EX3" s="476">
        <v>184.9</v>
      </c>
      <c r="EY3" s="459">
        <v>0.94389999999999996</v>
      </c>
      <c r="EZ3" s="473">
        <v>1.3089</v>
      </c>
      <c r="FA3" s="459">
        <v>1.5116000000000001</v>
      </c>
      <c r="FB3" s="467">
        <v>677.3</v>
      </c>
      <c r="FC3" s="188">
        <v>-11.37</v>
      </c>
      <c r="FE3" s="175">
        <v>-10.08</v>
      </c>
      <c r="FF3" s="340">
        <v>7.5000000000000002E-4</v>
      </c>
      <c r="FG3" s="396">
        <v>186.6</v>
      </c>
      <c r="FH3" s="334">
        <v>0.95030000000000003</v>
      </c>
      <c r="FI3" s="334">
        <v>1.3124</v>
      </c>
      <c r="FJ3" s="334">
        <v>1.5125</v>
      </c>
      <c r="FK3" s="397">
        <v>671.3</v>
      </c>
      <c r="FL3" s="728" t="s">
        <v>126</v>
      </c>
      <c r="FM3" s="340">
        <v>7.6000000000000004E-4</v>
      </c>
      <c r="FN3" s="493">
        <v>188.2</v>
      </c>
      <c r="FO3" s="334">
        <v>0.95650000000000002</v>
      </c>
      <c r="FP3" s="334">
        <v>1.3157000000000001</v>
      </c>
      <c r="FQ3" s="334">
        <v>1.5135000000000001</v>
      </c>
      <c r="FR3" s="397">
        <v>665.6</v>
      </c>
      <c r="FS3" s="177">
        <v>-8.84</v>
      </c>
      <c r="FU3" s="189">
        <v>-7.64</v>
      </c>
      <c r="FV3" s="340">
        <v>7.6000000000000004E-4</v>
      </c>
      <c r="FW3" s="489">
        <v>189.8</v>
      </c>
      <c r="FX3" s="334">
        <v>0.96240000000000003</v>
      </c>
      <c r="FY3" s="334">
        <v>1.319</v>
      </c>
      <c r="FZ3" s="491">
        <v>1.5144</v>
      </c>
      <c r="GA3" s="396">
        <v>660.2</v>
      </c>
      <c r="GB3" s="728" t="s">
        <v>126</v>
      </c>
      <c r="GC3" s="384">
        <v>7.6000000000000004E-4</v>
      </c>
      <c r="GD3" s="397">
        <v>191.3</v>
      </c>
      <c r="GE3" s="334">
        <v>0.96809999999999996</v>
      </c>
      <c r="GF3" s="334">
        <v>1.3222</v>
      </c>
      <c r="GG3" s="491">
        <v>1.5154000000000001</v>
      </c>
      <c r="GH3" s="396">
        <v>654.9</v>
      </c>
      <c r="GI3" s="173">
        <v>-6.49</v>
      </c>
      <c r="GK3" s="170">
        <v>-5.37</v>
      </c>
      <c r="GL3" s="340">
        <v>7.6000000000000004E-4</v>
      </c>
      <c r="GM3" s="396">
        <v>192.8</v>
      </c>
      <c r="GN3" s="334">
        <v>0.97360000000000002</v>
      </c>
      <c r="GO3" s="334">
        <v>1.3253999999999999</v>
      </c>
      <c r="GP3" s="334">
        <v>1.5164</v>
      </c>
      <c r="GQ3" s="396">
        <v>649.70000000000005</v>
      </c>
      <c r="GR3" s="732" t="s">
        <v>127</v>
      </c>
      <c r="GS3" s="340">
        <v>7.6999999999999996E-4</v>
      </c>
      <c r="GT3" s="397">
        <v>194.3</v>
      </c>
      <c r="GU3" s="334">
        <v>0.97899999999999998</v>
      </c>
      <c r="GV3" s="170">
        <v>1.3285</v>
      </c>
      <c r="GW3" s="170">
        <v>1.5174000000000001</v>
      </c>
      <c r="GX3" s="397">
        <v>644.79999999999995</v>
      </c>
      <c r="GY3" s="177">
        <v>-4.29</v>
      </c>
      <c r="HA3" s="170">
        <v>-3.24</v>
      </c>
      <c r="HB3" s="340">
        <v>7.6999999999999996E-4</v>
      </c>
      <c r="HC3" s="396">
        <v>195.7</v>
      </c>
      <c r="HD3" s="334">
        <v>0.98409999999999997</v>
      </c>
      <c r="HE3" s="334">
        <v>1.3314999999999999</v>
      </c>
      <c r="HF3" s="334">
        <v>1.5184</v>
      </c>
      <c r="HG3" s="396">
        <v>640</v>
      </c>
      <c r="HH3" s="732" t="s">
        <v>126</v>
      </c>
      <c r="HI3" s="340">
        <v>7.6999999999999996E-4</v>
      </c>
      <c r="HJ3" s="397">
        <v>197</v>
      </c>
      <c r="HK3" s="334">
        <v>0.98909999999999998</v>
      </c>
      <c r="HL3" s="334">
        <v>1.3345</v>
      </c>
      <c r="HM3" s="334">
        <v>1.5194000000000001</v>
      </c>
      <c r="HN3" s="396">
        <v>635.29999999999995</v>
      </c>
      <c r="HO3" s="177">
        <v>-2.23</v>
      </c>
      <c r="HQ3" s="170">
        <v>-1.24</v>
      </c>
      <c r="HR3" s="340">
        <v>7.6999999999999996E-4</v>
      </c>
      <c r="HS3" s="503">
        <v>198.3</v>
      </c>
      <c r="HT3" s="334">
        <v>0.99390000000000001</v>
      </c>
      <c r="HU3" s="334">
        <v>1.3373999999999999</v>
      </c>
      <c r="HV3" s="492">
        <v>1.5204</v>
      </c>
      <c r="HW3" s="396">
        <v>630.79999999999995</v>
      </c>
      <c r="HX3" s="728" t="s">
        <v>126</v>
      </c>
      <c r="HY3" s="340">
        <v>7.6999999999999996E-4</v>
      </c>
      <c r="HZ3" s="397">
        <v>199.6</v>
      </c>
      <c r="IA3" s="334">
        <v>0.99860000000000004</v>
      </c>
      <c r="IB3" s="334">
        <v>1.3403</v>
      </c>
      <c r="IC3" s="334">
        <v>1.5214000000000001</v>
      </c>
      <c r="ID3" s="397">
        <v>626.4</v>
      </c>
      <c r="IE3" s="177">
        <v>-0.28000000000000003</v>
      </c>
      <c r="IG3" s="170">
        <v>0.66</v>
      </c>
      <c r="IH3" s="340">
        <v>7.6999999999999996E-4</v>
      </c>
      <c r="II3" s="396">
        <v>200.9</v>
      </c>
      <c r="IJ3" s="334">
        <v>1.0032000000000001</v>
      </c>
      <c r="IK3" s="334">
        <v>1.3431</v>
      </c>
      <c r="IL3" s="491">
        <v>1.5225</v>
      </c>
      <c r="IM3" s="396">
        <v>622.1</v>
      </c>
      <c r="IN3" s="728" t="s">
        <v>128</v>
      </c>
      <c r="IO3" s="340">
        <v>7.7999999999999999E-4</v>
      </c>
      <c r="IP3" s="397">
        <v>202.1</v>
      </c>
      <c r="IQ3" s="334">
        <v>1.0077</v>
      </c>
      <c r="IR3" s="334">
        <v>1.3459000000000001</v>
      </c>
      <c r="IS3" s="491">
        <v>1.5235000000000001</v>
      </c>
      <c r="IT3" s="396">
        <v>617.9</v>
      </c>
      <c r="IU3" s="177">
        <v>1.57</v>
      </c>
      <c r="IW3" s="191">
        <v>2.46</v>
      </c>
      <c r="IX3" s="509">
        <v>7.7999999999999999E-4</v>
      </c>
      <c r="IY3" s="514">
        <v>203.3</v>
      </c>
      <c r="IZ3" s="391">
        <v>1.012</v>
      </c>
      <c r="JA3" s="508">
        <v>1.3486</v>
      </c>
      <c r="JB3" s="508">
        <v>1.5245</v>
      </c>
      <c r="JC3" s="526">
        <v>613.79999999999995</v>
      </c>
      <c r="JD3" s="740" t="s">
        <v>126</v>
      </c>
      <c r="JE3" s="509">
        <v>7.7999999999999999E-4</v>
      </c>
      <c r="JF3" s="528">
        <v>204.5</v>
      </c>
      <c r="JG3" s="508">
        <v>1.0162</v>
      </c>
      <c r="JH3" s="536">
        <v>1.3513999999999999</v>
      </c>
      <c r="JI3" s="508">
        <v>1.5256000000000001</v>
      </c>
      <c r="JJ3" s="528">
        <v>609.79999999999995</v>
      </c>
      <c r="JK3" s="194">
        <v>3.33</v>
      </c>
      <c r="JM3" s="191">
        <v>4.18</v>
      </c>
      <c r="JN3" s="509">
        <v>7.7999999999999999E-4</v>
      </c>
      <c r="JO3" s="514">
        <v>205.6</v>
      </c>
      <c r="JP3" s="508">
        <v>1.0204</v>
      </c>
      <c r="JQ3" s="536">
        <v>1.3541000000000001</v>
      </c>
      <c r="JR3" s="536">
        <v>1.5266</v>
      </c>
      <c r="JS3" s="526">
        <v>605.9</v>
      </c>
      <c r="JT3" s="740" t="s">
        <v>126</v>
      </c>
      <c r="JU3" s="537">
        <v>7.7999999999999999E-4</v>
      </c>
      <c r="JV3" s="528">
        <v>206.8</v>
      </c>
      <c r="JW3" s="508">
        <v>1.0244</v>
      </c>
      <c r="JX3" s="536">
        <v>1.3567</v>
      </c>
      <c r="JY3" s="508">
        <v>1.5276000000000001</v>
      </c>
      <c r="JZ3" s="514">
        <v>602.1</v>
      </c>
      <c r="KA3" s="195">
        <v>5.01</v>
      </c>
      <c r="KC3" s="170">
        <v>5.82</v>
      </c>
      <c r="KD3" s="340">
        <v>7.7999999999999999E-4</v>
      </c>
      <c r="KE3" s="396">
        <v>207.9</v>
      </c>
      <c r="KF3" s="541">
        <v>1.0283</v>
      </c>
      <c r="KG3" s="170">
        <v>1.3593</v>
      </c>
      <c r="KH3" s="196">
        <v>1.5286999999999999</v>
      </c>
      <c r="KI3" s="396">
        <v>598.29999999999995</v>
      </c>
      <c r="KJ3" s="728" t="s">
        <v>126</v>
      </c>
      <c r="KK3" s="340">
        <v>7.9000000000000001E-4</v>
      </c>
      <c r="KL3" s="397">
        <v>209</v>
      </c>
      <c r="KM3" s="334">
        <v>1.0322</v>
      </c>
      <c r="KN3" s="334">
        <v>1.3619000000000001</v>
      </c>
      <c r="KO3" s="334">
        <v>1.5297000000000001</v>
      </c>
      <c r="KP3" s="396">
        <v>594.70000000000005</v>
      </c>
      <c r="KQ3" s="177">
        <v>6.62</v>
      </c>
      <c r="KS3" s="176">
        <v>7.4</v>
      </c>
      <c r="KT3" s="340">
        <v>7.9000000000000001E-4</v>
      </c>
      <c r="KU3" s="396">
        <v>210</v>
      </c>
      <c r="KV3" s="541">
        <v>1.036</v>
      </c>
      <c r="KW3" s="334">
        <v>1.3645</v>
      </c>
      <c r="KX3" s="541">
        <v>1.5307999999999999</v>
      </c>
      <c r="KY3" s="396">
        <v>591.1</v>
      </c>
      <c r="KZ3" s="728" t="s">
        <v>126</v>
      </c>
      <c r="LA3" s="340">
        <v>7.9000000000000001E-4</v>
      </c>
      <c r="LB3" s="397">
        <v>211.1</v>
      </c>
      <c r="LC3" s="334">
        <v>1.0397000000000001</v>
      </c>
      <c r="LD3" s="334">
        <v>1.367</v>
      </c>
      <c r="LE3" s="334">
        <v>1.5318000000000001</v>
      </c>
      <c r="LF3" s="396">
        <v>587.6</v>
      </c>
      <c r="LG3" s="177">
        <v>8.16</v>
      </c>
      <c r="LI3" s="191">
        <v>8.91</v>
      </c>
      <c r="LJ3" s="509">
        <v>7.9000000000000001E-4</v>
      </c>
      <c r="LK3" s="526">
        <v>212.1</v>
      </c>
      <c r="LL3" s="508">
        <v>1.0432999999999999</v>
      </c>
      <c r="LM3" s="508">
        <v>1.3694999999999999</v>
      </c>
      <c r="LN3" s="508">
        <v>1.5328999999999999</v>
      </c>
      <c r="LO3" s="514">
        <v>584.1</v>
      </c>
      <c r="LP3" s="740" t="s">
        <v>126</v>
      </c>
      <c r="LQ3" s="509">
        <v>8.0000000000000004E-4</v>
      </c>
      <c r="LR3" s="528">
        <v>214.6</v>
      </c>
      <c r="LS3" s="508">
        <v>1.052</v>
      </c>
      <c r="LT3" s="536">
        <v>1.3756999999999999</v>
      </c>
      <c r="LU3" s="508">
        <v>1.5355000000000001</v>
      </c>
      <c r="LV3" s="514">
        <v>575.79999999999995</v>
      </c>
      <c r="LW3" s="197">
        <v>10.72</v>
      </c>
      <c r="LY3" s="191">
        <v>12.45</v>
      </c>
      <c r="LZ3" s="537">
        <v>8.0000000000000004E-4</v>
      </c>
      <c r="MA3" s="514">
        <v>217</v>
      </c>
      <c r="MB3" s="508">
        <v>1.0603</v>
      </c>
      <c r="MC3" s="536">
        <v>1.3817999999999999</v>
      </c>
      <c r="MD3" s="508">
        <v>1.5382</v>
      </c>
      <c r="ME3" s="514">
        <v>567.79999999999995</v>
      </c>
      <c r="MF3" s="740" t="s">
        <v>126</v>
      </c>
      <c r="MG3" s="537">
        <v>8.0000000000000004E-4</v>
      </c>
      <c r="MH3" s="528">
        <v>219.3</v>
      </c>
      <c r="MI3" s="536">
        <v>1.0683</v>
      </c>
      <c r="MJ3" s="191">
        <v>1.3877999999999999</v>
      </c>
      <c r="MK3" s="191">
        <v>1.5408999999999999</v>
      </c>
      <c r="ML3" s="514">
        <v>560.1</v>
      </c>
      <c r="MM3" s="195">
        <v>14.11</v>
      </c>
      <c r="MO3" s="170">
        <v>15.71</v>
      </c>
      <c r="MP3" s="340">
        <v>8.0999999999999996E-4</v>
      </c>
      <c r="MQ3" s="396">
        <v>221.5</v>
      </c>
      <c r="MR3" s="334">
        <v>1.0759000000000001</v>
      </c>
      <c r="MS3" s="334">
        <v>1.3936999999999999</v>
      </c>
      <c r="MT3" s="335">
        <v>1.5436000000000001</v>
      </c>
      <c r="MU3" s="397">
        <v>552.79999999999995</v>
      </c>
      <c r="MV3" s="728" t="s">
        <v>126</v>
      </c>
      <c r="MW3" s="340">
        <v>8.0999999999999996E-4</v>
      </c>
      <c r="MX3" s="397">
        <v>223.6</v>
      </c>
      <c r="MY3" s="334">
        <v>1.0832999999999999</v>
      </c>
      <c r="MZ3" s="334">
        <v>1.3995</v>
      </c>
      <c r="NA3" s="334">
        <v>1.5463</v>
      </c>
      <c r="NB3" s="397">
        <v>545.70000000000005</v>
      </c>
      <c r="NC3" s="177">
        <v>17.239999999999998</v>
      </c>
      <c r="NE3" s="170">
        <v>18.72</v>
      </c>
      <c r="NF3" s="340">
        <v>8.0999999999999996E-4</v>
      </c>
      <c r="NG3" s="396">
        <v>225.7</v>
      </c>
      <c r="NH3" s="334">
        <v>1.0904</v>
      </c>
      <c r="NI3" s="334">
        <v>1.4052</v>
      </c>
      <c r="NJ3" s="335">
        <v>1.5489999999999999</v>
      </c>
      <c r="NK3" s="396">
        <v>538.79999999999995</v>
      </c>
      <c r="NL3" s="728" t="s">
        <v>126</v>
      </c>
      <c r="NM3" s="340">
        <v>8.1999999999999998E-4</v>
      </c>
      <c r="NN3" s="397">
        <v>227.7</v>
      </c>
      <c r="NO3" s="334">
        <v>1.0972</v>
      </c>
      <c r="NP3" s="334">
        <v>1.4109</v>
      </c>
      <c r="NQ3" s="334">
        <v>1.5518000000000001</v>
      </c>
      <c r="NR3" s="396">
        <v>532.20000000000005</v>
      </c>
      <c r="NS3" s="177">
        <v>20.149999999999999</v>
      </c>
      <c r="NU3" s="192">
        <v>21.54</v>
      </c>
      <c r="NV3" s="460">
        <v>8.1999999999999998E-4</v>
      </c>
      <c r="NW3" s="528">
        <v>229.7</v>
      </c>
      <c r="NX3" s="459">
        <v>1.1037999999999999</v>
      </c>
      <c r="NY3" s="459">
        <v>1.4165000000000001</v>
      </c>
      <c r="NZ3" s="536">
        <v>1.5545</v>
      </c>
      <c r="OA3" s="528">
        <v>525.79999999999995</v>
      </c>
      <c r="OB3" s="742" t="s">
        <v>126</v>
      </c>
      <c r="OC3" s="537">
        <v>8.1999999999999998E-4</v>
      </c>
      <c r="OD3" s="528">
        <v>231.6</v>
      </c>
      <c r="OE3" s="459">
        <v>1.1102000000000001</v>
      </c>
      <c r="OF3" s="536">
        <v>1.4220999999999999</v>
      </c>
      <c r="OG3" s="459">
        <v>1.5572999999999999</v>
      </c>
      <c r="OH3" s="528">
        <v>519.5</v>
      </c>
      <c r="OI3" s="195">
        <v>22.88</v>
      </c>
      <c r="OK3" s="192">
        <v>24.18</v>
      </c>
      <c r="OL3" s="460">
        <v>8.3000000000000001E-4</v>
      </c>
      <c r="OM3" s="517">
        <v>233.5</v>
      </c>
      <c r="ON3" s="459">
        <v>1.1163000000000001</v>
      </c>
      <c r="OO3" s="459">
        <v>1.4276</v>
      </c>
      <c r="OP3" s="536">
        <v>1.5601</v>
      </c>
      <c r="OQ3" s="528">
        <v>513.5</v>
      </c>
      <c r="OR3" s="742" t="s">
        <v>127</v>
      </c>
      <c r="OS3" s="460">
        <v>8.3000000000000001E-4</v>
      </c>
      <c r="OT3" s="528">
        <v>235.3</v>
      </c>
      <c r="OU3" s="459">
        <v>1.1224000000000001</v>
      </c>
      <c r="OV3" s="459">
        <v>1.4331</v>
      </c>
      <c r="OW3" s="459">
        <v>1.5629999999999999</v>
      </c>
      <c r="OX3" s="528">
        <v>507.6</v>
      </c>
      <c r="OY3" s="195">
        <v>25.45</v>
      </c>
      <c r="PA3" s="170">
        <v>26.68</v>
      </c>
      <c r="PB3" s="340">
        <v>8.3000000000000001E-4</v>
      </c>
      <c r="PC3" s="396">
        <v>237</v>
      </c>
      <c r="PD3" s="334">
        <v>1.1282000000000001</v>
      </c>
      <c r="PE3" s="334">
        <v>1.4384999999999999</v>
      </c>
      <c r="PF3" s="541">
        <v>1.5658000000000001</v>
      </c>
      <c r="PG3" s="397">
        <v>501.8</v>
      </c>
      <c r="PH3" s="728" t="s">
        <v>126</v>
      </c>
      <c r="PI3" s="340">
        <v>8.4000000000000003E-4</v>
      </c>
      <c r="PJ3" s="397">
        <v>238.8</v>
      </c>
      <c r="PK3" s="334">
        <v>1.1338999999999999</v>
      </c>
      <c r="PL3" s="334">
        <v>1.444</v>
      </c>
      <c r="PM3" s="334">
        <v>1.5687</v>
      </c>
      <c r="PN3" s="397">
        <v>496.2</v>
      </c>
      <c r="PO3" s="177">
        <v>27.88</v>
      </c>
      <c r="PQ3" s="170">
        <v>29.04</v>
      </c>
      <c r="PR3" s="340">
        <v>8.4000000000000003E-4</v>
      </c>
      <c r="PS3" s="396">
        <v>240.5</v>
      </c>
      <c r="PT3" s="334">
        <v>1.1394</v>
      </c>
      <c r="PU3" s="334">
        <v>1.4494</v>
      </c>
      <c r="PV3" s="541">
        <v>1.5716000000000001</v>
      </c>
      <c r="PW3" s="396">
        <v>490.8</v>
      </c>
      <c r="PX3" s="728" t="s">
        <v>126</v>
      </c>
      <c r="PY3" s="434">
        <v>8.4999999999999995E-4</v>
      </c>
      <c r="PZ3" s="397">
        <v>243.7</v>
      </c>
      <c r="QA3" s="334">
        <v>1.1499999999999999</v>
      </c>
      <c r="QB3" s="334">
        <v>1.4601999999999999</v>
      </c>
      <c r="QC3" s="541">
        <v>1.5774999999999999</v>
      </c>
      <c r="QD3" s="396">
        <v>480.2</v>
      </c>
      <c r="QE3" s="177">
        <v>31.29</v>
      </c>
      <c r="QG3" s="191">
        <v>33.44</v>
      </c>
      <c r="QH3" s="509">
        <v>8.4999999999999995E-4</v>
      </c>
      <c r="QI3" s="526">
        <v>246.9</v>
      </c>
      <c r="QJ3" s="508">
        <v>1.1601999999999999</v>
      </c>
      <c r="QK3" s="508">
        <v>1.4710000000000001</v>
      </c>
      <c r="QL3" s="590">
        <v>1.5835999999999999</v>
      </c>
      <c r="QM3" s="526">
        <v>470.1</v>
      </c>
      <c r="QN3" s="744" t="s">
        <v>126</v>
      </c>
      <c r="QO3" s="537">
        <v>8.5999999999999998E-4</v>
      </c>
      <c r="QP3" s="534">
        <v>249.9</v>
      </c>
      <c r="QQ3" s="508">
        <v>1.1698999999999999</v>
      </c>
      <c r="QR3" s="191">
        <v>1.4818</v>
      </c>
      <c r="QS3" s="198">
        <v>1.5896999999999999</v>
      </c>
      <c r="QT3" s="517">
        <v>460.4</v>
      </c>
      <c r="QU3" s="200">
        <v>35.49</v>
      </c>
      <c r="QW3" s="192">
        <v>37.46</v>
      </c>
      <c r="QX3" s="537">
        <v>8.5999999999999998E-4</v>
      </c>
      <c r="QY3" s="517">
        <v>252.8</v>
      </c>
      <c r="QZ3" s="508">
        <v>1.1792</v>
      </c>
      <c r="RA3" s="508">
        <v>1.4925999999999999</v>
      </c>
      <c r="RB3" s="508">
        <v>1.5960000000000001</v>
      </c>
      <c r="RC3" s="526">
        <v>451.1</v>
      </c>
      <c r="RD3" s="740" t="s">
        <v>126</v>
      </c>
      <c r="RE3" s="537">
        <v>8.7000000000000001E-4</v>
      </c>
      <c r="RF3" s="528">
        <v>255.6</v>
      </c>
      <c r="RG3" s="508">
        <v>1.1880999999999999</v>
      </c>
      <c r="RH3" s="508">
        <v>1.5035000000000001</v>
      </c>
      <c r="RI3" s="508">
        <v>1.6025</v>
      </c>
      <c r="RJ3" s="514">
        <v>442.1</v>
      </c>
      <c r="RK3" s="195">
        <v>39.35</v>
      </c>
      <c r="RM3" s="170">
        <v>42.93</v>
      </c>
      <c r="RN3" s="340">
        <v>8.8000000000000003E-4</v>
      </c>
      <c r="RO3" s="396">
        <v>261</v>
      </c>
      <c r="RP3" s="334">
        <v>1.2050000000000001</v>
      </c>
      <c r="RQ3" s="334">
        <v>1.5256000000000001</v>
      </c>
      <c r="RR3" s="334">
        <v>1.6157999999999999</v>
      </c>
      <c r="RS3" s="397">
        <v>424.9</v>
      </c>
      <c r="RT3" s="728" t="s">
        <v>126</v>
      </c>
      <c r="RU3" s="340">
        <v>8.8999999999999995E-4</v>
      </c>
      <c r="RV3" s="397">
        <v>266.2</v>
      </c>
      <c r="RW3" s="334">
        <v>1.2208000000000001</v>
      </c>
      <c r="RX3" s="334">
        <v>1.5481</v>
      </c>
      <c r="RY3" s="334">
        <v>1.63</v>
      </c>
      <c r="RZ3" s="397">
        <v>408.8</v>
      </c>
      <c r="SA3" s="177">
        <v>46.28</v>
      </c>
      <c r="SC3" s="170">
        <v>49.42</v>
      </c>
      <c r="SD3" s="340">
        <v>9.1E-4</v>
      </c>
      <c r="SE3" s="396">
        <v>271</v>
      </c>
      <c r="SF3" s="491">
        <v>1.2357</v>
      </c>
      <c r="SG3" s="334">
        <v>1.5713999999999999</v>
      </c>
      <c r="SH3" s="491">
        <v>1.6449</v>
      </c>
      <c r="SI3" s="396">
        <v>393.5</v>
      </c>
      <c r="SJ3" s="728" t="s">
        <v>126</v>
      </c>
      <c r="SK3" s="340">
        <v>9.2000000000000003E-4</v>
      </c>
      <c r="SL3" s="176">
        <v>275.7</v>
      </c>
      <c r="SM3" s="334">
        <v>1.2498</v>
      </c>
      <c r="SN3" s="334">
        <v>1.5953999999999999</v>
      </c>
      <c r="SO3" s="491">
        <v>1.6608000000000001</v>
      </c>
      <c r="SP3" s="170">
        <v>378.9</v>
      </c>
      <c r="SQ3" s="177">
        <v>52.39</v>
      </c>
      <c r="SS3" s="170">
        <v>55.2</v>
      </c>
      <c r="ST3" s="340">
        <v>9.3000000000000005E-4</v>
      </c>
      <c r="SU3" s="170">
        <v>280.10000000000002</v>
      </c>
      <c r="SV3" s="491">
        <v>1.2632000000000001</v>
      </c>
      <c r="SW3" s="491">
        <v>1.6205000000000001</v>
      </c>
      <c r="SX3" s="334">
        <v>1.6778</v>
      </c>
      <c r="SY3" s="170">
        <v>365</v>
      </c>
      <c r="SZ3" s="732" t="s">
        <v>127</v>
      </c>
      <c r="TA3" s="340">
        <v>9.3999999999999997E-4</v>
      </c>
      <c r="TB3" s="397">
        <v>284.5</v>
      </c>
      <c r="TC3" s="334">
        <v>1.2759</v>
      </c>
      <c r="TD3" s="334">
        <v>1.6468</v>
      </c>
      <c r="TE3" s="334">
        <v>1.6959</v>
      </c>
      <c r="TF3" s="397">
        <v>351.6</v>
      </c>
      <c r="TG3" s="201">
        <v>57.88</v>
      </c>
      <c r="TI3" s="170">
        <v>60.43</v>
      </c>
      <c r="TJ3" s="490">
        <v>9.5E-4</v>
      </c>
      <c r="TK3" s="396">
        <v>288.60000000000002</v>
      </c>
      <c r="TL3" s="334">
        <v>1.2882</v>
      </c>
      <c r="TM3" s="334">
        <v>1.6746000000000001</v>
      </c>
      <c r="TN3" s="334">
        <v>1.7155</v>
      </c>
      <c r="TO3" s="396">
        <v>338.6</v>
      </c>
      <c r="TP3" s="732" t="s">
        <v>126</v>
      </c>
      <c r="TQ3" s="421">
        <v>9.6000000000000002E-4</v>
      </c>
      <c r="TR3" s="397">
        <v>292.60000000000002</v>
      </c>
      <c r="TS3" s="334">
        <v>1.2999000000000001</v>
      </c>
      <c r="TT3" s="334">
        <v>1.704</v>
      </c>
      <c r="TU3" s="334">
        <v>1.7365999999999999</v>
      </c>
      <c r="TV3" s="396">
        <v>326.10000000000002</v>
      </c>
      <c r="TW3" s="177">
        <v>62.87</v>
      </c>
      <c r="TY3" s="183">
        <v>65.22</v>
      </c>
      <c r="TZ3" s="474">
        <v>9.7999999999999997E-4</v>
      </c>
      <c r="UA3" s="467">
        <v>296.60000000000002</v>
      </c>
      <c r="UB3" s="473">
        <v>1.3112999999999999</v>
      </c>
      <c r="UC3" s="473">
        <v>1.7353000000000001</v>
      </c>
      <c r="UD3" s="473">
        <v>1.7594000000000001</v>
      </c>
      <c r="UE3" s="478">
        <v>314</v>
      </c>
      <c r="UF3" s="746" t="s">
        <v>126</v>
      </c>
      <c r="UG3" s="474">
        <v>9.8999999999999999E-4</v>
      </c>
      <c r="UH3" s="478">
        <v>300.39999999999998</v>
      </c>
      <c r="UI3" s="473">
        <v>1.3223</v>
      </c>
      <c r="UJ3" s="473">
        <v>1.7689999999999999</v>
      </c>
      <c r="UK3" s="473">
        <v>1.7844</v>
      </c>
      <c r="UL3" s="478">
        <v>302.2</v>
      </c>
      <c r="UM3" s="186">
        <v>67.47</v>
      </c>
      <c r="UO3" s="183">
        <v>71.72</v>
      </c>
      <c r="UP3" s="474">
        <v>1.0200000000000001E-3</v>
      </c>
      <c r="UQ3" s="467">
        <v>307.8</v>
      </c>
      <c r="UR3" s="473">
        <v>1.3432999999999999</v>
      </c>
      <c r="US3" s="473">
        <v>1.8446</v>
      </c>
      <c r="UT3" s="491">
        <v>1.8416999999999999</v>
      </c>
      <c r="UU3" s="467">
        <v>279.5</v>
      </c>
      <c r="UV3" s="746" t="s">
        <v>126</v>
      </c>
      <c r="UW3" s="474">
        <v>1.0399999999999999E-3</v>
      </c>
      <c r="UX3" s="478">
        <v>314.89999999999998</v>
      </c>
      <c r="UY3" s="473">
        <v>1.3632</v>
      </c>
      <c r="UZ3" s="473">
        <v>1.9351</v>
      </c>
      <c r="VA3" s="491">
        <v>1.9119999999999999</v>
      </c>
      <c r="VB3" s="467">
        <v>257.60000000000002</v>
      </c>
      <c r="VC3" s="186">
        <v>75.69</v>
      </c>
      <c r="VE3" s="191">
        <v>79.41</v>
      </c>
      <c r="VF3" s="509">
        <v>1.07E-3</v>
      </c>
      <c r="VG3" s="514">
        <v>321.8</v>
      </c>
      <c r="VH3" s="508">
        <v>1.3823000000000001</v>
      </c>
      <c r="VI3" s="536">
        <v>2.0468000000000002</v>
      </c>
      <c r="VJ3" s="536">
        <v>2.0007999999999999</v>
      </c>
      <c r="VK3" s="517">
        <v>236.5</v>
      </c>
      <c r="VL3" s="750" t="s">
        <v>126</v>
      </c>
      <c r="VM3" s="537">
        <v>1.1100000000000001E-3</v>
      </c>
      <c r="VN3" s="532">
        <v>328.6</v>
      </c>
      <c r="VO3" s="508">
        <v>1.4007000000000001</v>
      </c>
      <c r="VP3" s="536">
        <v>2.1903000000000001</v>
      </c>
      <c r="VQ3" s="536">
        <v>2.1171000000000002</v>
      </c>
      <c r="VR3" s="514">
        <v>216</v>
      </c>
      <c r="VS3" s="195">
        <v>82.91</v>
      </c>
      <c r="VU3" s="192">
        <v>86.22</v>
      </c>
      <c r="VV3" s="537">
        <v>1.14E-3</v>
      </c>
      <c r="VW3" s="514">
        <v>335.3</v>
      </c>
      <c r="VX3" s="508">
        <v>1.4188000000000001</v>
      </c>
      <c r="VY3" s="536">
        <v>2.3843000000000001</v>
      </c>
      <c r="VZ3" s="536">
        <v>2.2770000000000001</v>
      </c>
      <c r="WA3" s="526">
        <v>195.8</v>
      </c>
      <c r="WB3" s="750" t="s">
        <v>126</v>
      </c>
      <c r="WC3" s="537">
        <v>1.1800000000000001E-3</v>
      </c>
      <c r="WD3" s="528">
        <v>342</v>
      </c>
      <c r="WE3" s="508">
        <v>1.4367000000000001</v>
      </c>
      <c r="WF3" s="536">
        <v>2.6657000000000002</v>
      </c>
      <c r="WG3" s="631">
        <v>2.5125999999999999</v>
      </c>
      <c r="WH3" s="526">
        <v>175.9</v>
      </c>
      <c r="WI3" s="195">
        <v>89.35</v>
      </c>
      <c r="WK3" s="191">
        <v>92.32</v>
      </c>
      <c r="WL3" s="509">
        <v>1.23E-3</v>
      </c>
      <c r="WM3" s="514">
        <v>348.8</v>
      </c>
      <c r="WN3" s="508">
        <v>1.4548000000000001</v>
      </c>
      <c r="WO3" s="536">
        <v>3.1183000000000001</v>
      </c>
      <c r="WP3" s="536">
        <v>2.8961000000000001</v>
      </c>
      <c r="WQ3" s="526">
        <v>156.1</v>
      </c>
      <c r="WR3" s="750" t="s">
        <v>126</v>
      </c>
      <c r="WS3" s="537">
        <v>1.2999999999999999E-3</v>
      </c>
      <c r="WT3" s="528">
        <v>356</v>
      </c>
      <c r="WU3" s="508">
        <v>1.4737</v>
      </c>
      <c r="WV3" s="536">
        <v>3.9821</v>
      </c>
      <c r="WW3" s="536">
        <v>3.6345000000000001</v>
      </c>
      <c r="WX3" s="530">
        <v>136.19999999999999</v>
      </c>
      <c r="WY3" s="195">
        <v>95.15</v>
      </c>
      <c r="WZ3" s="359"/>
      <c r="XA3" s="192">
        <v>97.83</v>
      </c>
      <c r="XB3" s="509">
        <v>1.39E-3</v>
      </c>
      <c r="XC3" s="514">
        <v>364</v>
      </c>
      <c r="XD3" s="508">
        <v>1.4946999999999999</v>
      </c>
      <c r="XE3" s="536">
        <v>6.3048999999999999</v>
      </c>
      <c r="XF3" s="536">
        <v>5.6279000000000003</v>
      </c>
      <c r="XG3" s="526">
        <v>116.1</v>
      </c>
      <c r="XH3" s="750" t="s">
        <v>126</v>
      </c>
      <c r="XI3" s="537">
        <v>1.58E-3</v>
      </c>
      <c r="XJ3" s="528">
        <v>375.6</v>
      </c>
      <c r="XK3" s="508">
        <v>1.5249999999999999</v>
      </c>
      <c r="XL3" s="536">
        <v>28.146999999999998</v>
      </c>
      <c r="XM3" s="522">
        <v>24.2211</v>
      </c>
      <c r="XN3" s="530">
        <v>95.7</v>
      </c>
      <c r="XO3" s="203">
        <v>100.37</v>
      </c>
      <c r="XP3" s="178"/>
    </row>
    <row r="4" spans="1:640" ht="15.75" thickBot="1" x14ac:dyDescent="0.3">
      <c r="A4" s="204">
        <v>-66.849999999999994</v>
      </c>
      <c r="B4" s="364">
        <v>1.6666700000000001</v>
      </c>
      <c r="C4" s="369">
        <v>357.4</v>
      </c>
      <c r="D4" s="359">
        <v>1.8191999999999999</v>
      </c>
      <c r="E4" s="359">
        <v>0.66949999999999998</v>
      </c>
      <c r="F4" s="359">
        <v>1.1476999999999999</v>
      </c>
      <c r="G4" s="205">
        <v>137.69999999999999</v>
      </c>
      <c r="H4" s="724"/>
      <c r="I4" s="364">
        <v>0.87031999999999998</v>
      </c>
      <c r="J4" s="375">
        <v>363.9</v>
      </c>
      <c r="K4" s="359">
        <v>1.7945</v>
      </c>
      <c r="L4" s="359">
        <v>0.69679999999999997</v>
      </c>
      <c r="M4" s="359">
        <v>1.1466000000000001</v>
      </c>
      <c r="N4" s="369">
        <v>140.30000000000001</v>
      </c>
      <c r="O4" s="206">
        <v>-56.39</v>
      </c>
      <c r="P4" s="725"/>
      <c r="Q4" s="207">
        <v>-49.66</v>
      </c>
      <c r="R4" s="364">
        <v>0.59558999999999995</v>
      </c>
      <c r="S4" s="369">
        <v>368.2</v>
      </c>
      <c r="T4" s="359">
        <v>1.7813000000000001</v>
      </c>
      <c r="U4" s="359">
        <v>0.71540000000000004</v>
      </c>
      <c r="V4" s="359">
        <v>1.1468</v>
      </c>
      <c r="W4" s="369">
        <v>141.80000000000001</v>
      </c>
      <c r="X4" s="724"/>
      <c r="Y4" s="364">
        <v>0.45495999999999998</v>
      </c>
      <c r="Z4" s="375">
        <v>371.4</v>
      </c>
      <c r="AA4" s="359">
        <v>1.7725</v>
      </c>
      <c r="AB4" s="359">
        <v>0.73009999999999997</v>
      </c>
      <c r="AC4" s="359">
        <v>1.1475</v>
      </c>
      <c r="AD4" s="369">
        <v>142.80000000000001</v>
      </c>
      <c r="AE4" s="208">
        <v>-44.57</v>
      </c>
      <c r="AG4" s="209">
        <v>-40.43</v>
      </c>
      <c r="AH4" s="392">
        <v>0.36914000000000002</v>
      </c>
      <c r="AI4" s="395">
        <v>374</v>
      </c>
      <c r="AJ4" s="400">
        <v>1.7661</v>
      </c>
      <c r="AK4" s="400">
        <v>0.74239999999999995</v>
      </c>
      <c r="AL4" s="402">
        <v>1.1483000000000001</v>
      </c>
      <c r="AM4" s="405">
        <v>143.6</v>
      </c>
      <c r="AN4" s="733"/>
      <c r="AO4" s="399">
        <v>0.31114000000000003</v>
      </c>
      <c r="AP4" s="395">
        <v>376.2</v>
      </c>
      <c r="AQ4" s="402">
        <v>1.7611000000000001</v>
      </c>
      <c r="AR4" s="400">
        <v>0.75329999999999997</v>
      </c>
      <c r="AS4" s="400">
        <v>1.1493</v>
      </c>
      <c r="AT4" s="395">
        <v>144.19999999999999</v>
      </c>
      <c r="AU4" s="212">
        <v>-36.909999999999997</v>
      </c>
      <c r="AW4" s="209">
        <v>-33.83</v>
      </c>
      <c r="AX4" s="392">
        <v>0.26917999999999997</v>
      </c>
      <c r="AY4" s="411">
        <v>378.2</v>
      </c>
      <c r="AZ4" s="400">
        <v>1.7571000000000001</v>
      </c>
      <c r="BA4" s="400">
        <v>0.76300000000000001</v>
      </c>
      <c r="BB4" s="400">
        <v>1.1504000000000001</v>
      </c>
      <c r="BC4" s="411">
        <v>144.6</v>
      </c>
      <c r="BD4" s="733"/>
      <c r="BE4" s="399">
        <v>0.23746999999999999</v>
      </c>
      <c r="BF4" s="395">
        <v>379.9</v>
      </c>
      <c r="BG4" s="402">
        <v>1.7538</v>
      </c>
      <c r="BH4" s="400">
        <v>0.77180000000000004</v>
      </c>
      <c r="BI4" s="400">
        <v>1.1515</v>
      </c>
      <c r="BJ4" s="411">
        <v>145</v>
      </c>
      <c r="BK4" s="213">
        <v>-31.09</v>
      </c>
      <c r="BM4" s="214">
        <v>-28.61</v>
      </c>
      <c r="BN4" s="399">
        <v>0.21254000000000001</v>
      </c>
      <c r="BO4" s="411">
        <v>381.4</v>
      </c>
      <c r="BP4" s="400">
        <v>1.7508999999999999</v>
      </c>
      <c r="BQ4" s="400">
        <v>0.78</v>
      </c>
      <c r="BR4" s="400">
        <v>1.1527000000000001</v>
      </c>
      <c r="BS4" s="411">
        <v>145.4</v>
      </c>
      <c r="BT4" s="729"/>
      <c r="BU4" s="399">
        <v>0.19245999999999999</v>
      </c>
      <c r="BV4" s="395">
        <v>382.8</v>
      </c>
      <c r="BW4" s="400">
        <v>1.7484</v>
      </c>
      <c r="BX4" s="400">
        <v>0.78759999999999997</v>
      </c>
      <c r="BY4" s="400">
        <v>1.1538999999999999</v>
      </c>
      <c r="BZ4" s="395">
        <v>145.69999999999999</v>
      </c>
      <c r="CA4" s="215">
        <v>-26.34</v>
      </c>
      <c r="CC4" s="214">
        <v>-26.06</v>
      </c>
      <c r="CD4" s="399">
        <v>0.19011</v>
      </c>
      <c r="CE4" s="411">
        <v>383</v>
      </c>
      <c r="CF4" s="400">
        <v>1.7481</v>
      </c>
      <c r="CG4" s="400">
        <v>0.78859999999999997</v>
      </c>
      <c r="CH4" s="400">
        <v>1.1539999999999999</v>
      </c>
      <c r="CI4" s="411">
        <v>145.69999999999999</v>
      </c>
      <c r="CJ4" s="729"/>
      <c r="CK4" s="399">
        <v>0.17593</v>
      </c>
      <c r="CL4" s="395">
        <v>384.1</v>
      </c>
      <c r="CM4" s="400">
        <v>1.7462</v>
      </c>
      <c r="CN4" s="400">
        <v>0.79479999999999995</v>
      </c>
      <c r="CO4" s="400">
        <v>1.1551</v>
      </c>
      <c r="CP4" s="411">
        <v>145.9</v>
      </c>
      <c r="CQ4" s="215">
        <v>-24.25</v>
      </c>
      <c r="CS4" s="209">
        <v>-22.29</v>
      </c>
      <c r="CT4" s="439">
        <v>0.16206999999999999</v>
      </c>
      <c r="CU4" s="395">
        <v>385.4</v>
      </c>
      <c r="CV4" s="400">
        <v>1.7443</v>
      </c>
      <c r="CW4" s="400">
        <v>0.80159999999999998</v>
      </c>
      <c r="CX4" s="400">
        <v>1.1563000000000001</v>
      </c>
      <c r="CY4" s="448">
        <v>146.1</v>
      </c>
      <c r="CZ4" s="729"/>
      <c r="DA4" s="399">
        <v>0.15026</v>
      </c>
      <c r="DB4" s="395">
        <v>386.5</v>
      </c>
      <c r="DC4" s="400">
        <v>1.7425999999999999</v>
      </c>
      <c r="DD4" s="400">
        <v>0.80800000000000005</v>
      </c>
      <c r="DE4" s="400">
        <v>1.1575</v>
      </c>
      <c r="DF4" s="395">
        <v>146.30000000000001</v>
      </c>
      <c r="DG4" s="212">
        <v>-20.47</v>
      </c>
      <c r="DI4" s="207">
        <v>-18.75</v>
      </c>
      <c r="DJ4" s="439">
        <v>0.1401</v>
      </c>
      <c r="DK4" s="411">
        <v>387.5</v>
      </c>
      <c r="DL4" s="400">
        <v>1.7411000000000001</v>
      </c>
      <c r="DM4" s="400">
        <v>0.81420000000000003</v>
      </c>
      <c r="DN4" s="400">
        <v>1.1587000000000001</v>
      </c>
      <c r="DO4" s="457">
        <v>146.4</v>
      </c>
      <c r="DP4" s="729"/>
      <c r="DQ4" s="399">
        <v>0.13123000000000001</v>
      </c>
      <c r="DR4" s="395">
        <v>388.5</v>
      </c>
      <c r="DS4" s="400">
        <v>1.7397</v>
      </c>
      <c r="DT4" s="400">
        <v>0.82010000000000005</v>
      </c>
      <c r="DU4" s="400">
        <v>1.1598999999999999</v>
      </c>
      <c r="DV4" s="411">
        <v>146.5</v>
      </c>
      <c r="DW4" s="216">
        <v>-17.12</v>
      </c>
      <c r="DY4" s="217">
        <v>-15.58</v>
      </c>
      <c r="DZ4" s="462">
        <v>0.12343999999999999</v>
      </c>
      <c r="EA4" s="466">
        <v>389.5</v>
      </c>
      <c r="EB4" s="469">
        <v>1.7383999999999999</v>
      </c>
      <c r="EC4" s="469">
        <v>0.82579999999999998</v>
      </c>
      <c r="ED4" s="461">
        <v>1.1612</v>
      </c>
      <c r="EE4" s="472">
        <v>146.6</v>
      </c>
      <c r="EF4" s="739"/>
      <c r="EG4" s="475">
        <v>0.11655</v>
      </c>
      <c r="EH4" s="477">
        <v>390.4</v>
      </c>
      <c r="EI4" s="469">
        <v>1.7372000000000001</v>
      </c>
      <c r="EJ4" s="469">
        <v>0.83130000000000004</v>
      </c>
      <c r="EK4" s="461">
        <v>1.1624000000000001</v>
      </c>
      <c r="EL4" s="482">
        <v>146.69999999999999</v>
      </c>
      <c r="EM4" s="220">
        <v>-14.11</v>
      </c>
      <c r="EO4" s="217">
        <v>-12.71</v>
      </c>
      <c r="EP4" s="462">
        <v>0.11039</v>
      </c>
      <c r="EQ4" s="466">
        <v>391.2</v>
      </c>
      <c r="ER4" s="469">
        <v>1.7361</v>
      </c>
      <c r="ES4" s="469">
        <v>0.83660000000000001</v>
      </c>
      <c r="ET4" s="469">
        <v>1.1637</v>
      </c>
      <c r="EU4" s="472">
        <v>146.80000000000001</v>
      </c>
      <c r="EV4" s="739"/>
      <c r="EW4" s="475">
        <v>0.10484</v>
      </c>
      <c r="EX4" s="477">
        <v>392</v>
      </c>
      <c r="EY4" s="469">
        <v>1.7351000000000001</v>
      </c>
      <c r="EZ4" s="469">
        <v>0.84179999999999999</v>
      </c>
      <c r="FA4" s="461">
        <v>1.1649</v>
      </c>
      <c r="FB4" s="466">
        <v>146.9</v>
      </c>
      <c r="FC4" s="220" t="s">
        <v>129</v>
      </c>
      <c r="FE4" s="221">
        <v>-10.08</v>
      </c>
      <c r="FF4" s="399">
        <v>9.9849999999999994E-2</v>
      </c>
      <c r="FG4" s="395">
        <v>392.8</v>
      </c>
      <c r="FH4" s="400">
        <v>1.7342</v>
      </c>
      <c r="FI4" s="400">
        <v>0.8468</v>
      </c>
      <c r="FJ4" s="400">
        <v>1.1660999999999999</v>
      </c>
      <c r="FK4" s="395">
        <v>146.9</v>
      </c>
      <c r="FL4" s="729"/>
      <c r="FM4" s="399">
        <v>9.5310000000000006E-2</v>
      </c>
      <c r="FN4" s="395">
        <v>393.6</v>
      </c>
      <c r="FO4" s="400">
        <v>1.7333000000000001</v>
      </c>
      <c r="FP4" s="400">
        <v>0.85170000000000001</v>
      </c>
      <c r="FQ4" s="400">
        <v>1.1674</v>
      </c>
      <c r="FR4" s="395">
        <v>147</v>
      </c>
      <c r="FS4" s="206">
        <v>-8.84</v>
      </c>
      <c r="FU4" s="221">
        <v>-7.64</v>
      </c>
      <c r="FV4" s="495">
        <v>9.1170000000000001E-2</v>
      </c>
      <c r="FW4" s="411">
        <v>394.3</v>
      </c>
      <c r="FX4" s="498">
        <v>1.7324999999999999</v>
      </c>
      <c r="FY4" s="400">
        <v>0.85640000000000005</v>
      </c>
      <c r="FZ4" s="498">
        <v>1.1686000000000001</v>
      </c>
      <c r="GA4" s="411">
        <v>147</v>
      </c>
      <c r="GB4" s="729"/>
      <c r="GC4" s="399">
        <v>8.7370000000000003E-2</v>
      </c>
      <c r="GD4" s="395">
        <v>395</v>
      </c>
      <c r="GE4" s="400">
        <v>1.7317</v>
      </c>
      <c r="GF4" s="400">
        <v>0.86109999999999998</v>
      </c>
      <c r="GG4" s="400">
        <v>1.1698999999999999</v>
      </c>
      <c r="GH4" s="411">
        <v>147</v>
      </c>
      <c r="GI4" s="206">
        <v>-6.49</v>
      </c>
      <c r="GK4" s="223">
        <v>-5.37</v>
      </c>
      <c r="GL4" s="399">
        <v>8.3890000000000006E-2</v>
      </c>
      <c r="GM4" s="411">
        <v>395.6</v>
      </c>
      <c r="GN4" s="400">
        <v>1.7310000000000001</v>
      </c>
      <c r="GO4" s="400">
        <v>0.86560000000000004</v>
      </c>
      <c r="GP4" s="400">
        <v>1.1711</v>
      </c>
      <c r="GQ4" s="411">
        <v>147</v>
      </c>
      <c r="GR4" s="733"/>
      <c r="GS4" s="399">
        <v>8.0670000000000006E-2</v>
      </c>
      <c r="GT4" s="395">
        <v>396.3</v>
      </c>
      <c r="GU4" s="211">
        <v>1.7302999999999999</v>
      </c>
      <c r="GV4" s="211">
        <v>0.87009999999999998</v>
      </c>
      <c r="GW4" s="211">
        <v>1.1724000000000001</v>
      </c>
      <c r="GX4" s="395">
        <v>147</v>
      </c>
      <c r="GY4" s="224">
        <v>-4.29</v>
      </c>
      <c r="HA4" s="223">
        <v>-3.24</v>
      </c>
      <c r="HB4" s="399">
        <v>7.7689999999999995E-2</v>
      </c>
      <c r="HC4" s="411">
        <v>396.9</v>
      </c>
      <c r="HD4" s="400">
        <v>1.7297</v>
      </c>
      <c r="HE4" s="400">
        <v>0.87450000000000006</v>
      </c>
      <c r="HF4" s="400">
        <v>1.1737</v>
      </c>
      <c r="HG4" s="411">
        <v>147</v>
      </c>
      <c r="HH4" s="733"/>
      <c r="HI4" s="399">
        <v>7.4929999999999997E-2</v>
      </c>
      <c r="HJ4" s="395">
        <v>397.5</v>
      </c>
      <c r="HK4" s="400">
        <v>1.7291000000000001</v>
      </c>
      <c r="HL4" s="400">
        <v>0.87870000000000004</v>
      </c>
      <c r="HM4" s="400">
        <v>1.1749000000000001</v>
      </c>
      <c r="HN4" s="411">
        <v>147</v>
      </c>
      <c r="HO4" s="224">
        <v>-2.23</v>
      </c>
      <c r="HQ4" s="214">
        <v>-1.24</v>
      </c>
      <c r="HR4" s="399">
        <v>7.2349999999999998E-2</v>
      </c>
      <c r="HS4" s="395">
        <v>398.1</v>
      </c>
      <c r="HT4" s="400">
        <v>1.7284999999999999</v>
      </c>
      <c r="HU4" s="400">
        <v>0.88300000000000001</v>
      </c>
      <c r="HV4" s="400">
        <v>1.1761999999999999</v>
      </c>
      <c r="HW4" s="395">
        <v>147</v>
      </c>
      <c r="HX4" s="729"/>
      <c r="HY4" s="399">
        <v>6.9949999999999998E-2</v>
      </c>
      <c r="HZ4" s="395">
        <v>398.6</v>
      </c>
      <c r="IA4" s="400">
        <v>1.728</v>
      </c>
      <c r="IB4" s="400">
        <v>0.8871</v>
      </c>
      <c r="IC4" s="400">
        <v>1.1774</v>
      </c>
      <c r="ID4" s="395">
        <v>147</v>
      </c>
      <c r="IE4" s="215">
        <v>-0.28000000000000003</v>
      </c>
      <c r="IG4" s="211">
        <v>0.66</v>
      </c>
      <c r="IH4" s="399">
        <v>6.7699999999999996E-2</v>
      </c>
      <c r="II4" s="411">
        <v>399.2</v>
      </c>
      <c r="IJ4" s="400">
        <v>1.7275</v>
      </c>
      <c r="IK4" s="400">
        <v>0.89119999999999999</v>
      </c>
      <c r="IL4" s="400">
        <v>1.1787000000000001</v>
      </c>
      <c r="IM4" s="411">
        <v>147</v>
      </c>
      <c r="IN4" s="729"/>
      <c r="IO4" s="399">
        <v>6.5589999999999996E-2</v>
      </c>
      <c r="IP4" s="395">
        <v>399.7</v>
      </c>
      <c r="IQ4" s="507">
        <v>1.7270000000000001</v>
      </c>
      <c r="IR4" s="400">
        <v>0.8952</v>
      </c>
      <c r="IS4" s="400">
        <v>1.18</v>
      </c>
      <c r="IT4" s="411">
        <v>146.9</v>
      </c>
      <c r="IU4" s="225">
        <v>1.57</v>
      </c>
      <c r="IW4" s="226">
        <v>2.46</v>
      </c>
      <c r="IX4" s="510">
        <v>6.361E-2</v>
      </c>
      <c r="IY4" s="515">
        <v>400.2</v>
      </c>
      <c r="IZ4" s="520">
        <v>1.7264999999999999</v>
      </c>
      <c r="JA4" s="521">
        <v>0.89910000000000001</v>
      </c>
      <c r="JB4" s="520">
        <v>1.1813</v>
      </c>
      <c r="JC4" s="515">
        <v>146.9</v>
      </c>
      <c r="JD4" s="741"/>
      <c r="JE4" s="510">
        <v>6.1740000000000003E-2</v>
      </c>
      <c r="JF4" s="529">
        <v>400.7</v>
      </c>
      <c r="JG4" s="520">
        <v>1.726</v>
      </c>
      <c r="JH4" s="521">
        <v>0.90300000000000002</v>
      </c>
      <c r="JI4" s="520">
        <v>1.1825000000000001</v>
      </c>
      <c r="JJ4" s="529">
        <v>146.9</v>
      </c>
      <c r="JK4" s="229">
        <v>3.33</v>
      </c>
      <c r="JM4" s="226">
        <v>4.18</v>
      </c>
      <c r="JN4" s="510">
        <v>5.9979999999999999E-2</v>
      </c>
      <c r="JO4" s="516">
        <v>401.2</v>
      </c>
      <c r="JP4" s="520">
        <v>1.7256</v>
      </c>
      <c r="JQ4" s="521">
        <v>0.90690000000000004</v>
      </c>
      <c r="JR4" s="520">
        <v>1.1838</v>
      </c>
      <c r="JS4" s="515">
        <v>146.80000000000001</v>
      </c>
      <c r="JT4" s="741"/>
      <c r="JU4" s="510">
        <v>5.8319999999999997E-2</v>
      </c>
      <c r="JV4" s="531">
        <v>401.7</v>
      </c>
      <c r="JW4" s="520">
        <v>1.7252000000000001</v>
      </c>
      <c r="JX4" s="521">
        <v>0.91059999999999997</v>
      </c>
      <c r="JY4" s="520">
        <v>1.1851</v>
      </c>
      <c r="JZ4" s="515">
        <v>146.80000000000001</v>
      </c>
      <c r="KA4" s="229">
        <v>5.01</v>
      </c>
      <c r="KC4" s="211">
        <v>5.82</v>
      </c>
      <c r="KD4" s="399">
        <v>5.6750000000000002E-2</v>
      </c>
      <c r="KE4" s="411">
        <v>402.2</v>
      </c>
      <c r="KF4" s="400">
        <v>1.7248000000000001</v>
      </c>
      <c r="KG4" s="211">
        <v>0.91439999999999999</v>
      </c>
      <c r="KH4" s="211">
        <v>1.1863999999999999</v>
      </c>
      <c r="KI4" s="411">
        <v>146.69999999999999</v>
      </c>
      <c r="KJ4" s="729"/>
      <c r="KK4" s="399">
        <v>5.5259999999999997E-2</v>
      </c>
      <c r="KL4" s="395">
        <v>402.6</v>
      </c>
      <c r="KM4" s="400">
        <v>1.7243999999999999</v>
      </c>
      <c r="KN4" s="400">
        <v>0.91810000000000003</v>
      </c>
      <c r="KO4" s="400">
        <v>1.1877</v>
      </c>
      <c r="KP4" s="411">
        <v>146.69999999999999</v>
      </c>
      <c r="KQ4" s="231">
        <v>6.62</v>
      </c>
      <c r="KS4" s="210">
        <v>7.4</v>
      </c>
      <c r="KT4" s="399">
        <v>5.3839999999999999E-2</v>
      </c>
      <c r="KU4" s="454">
        <v>403.1</v>
      </c>
      <c r="KV4" s="400">
        <v>1.724</v>
      </c>
      <c r="KW4" s="400">
        <v>0.92179999999999995</v>
      </c>
      <c r="KX4" s="400">
        <v>1.1890000000000001</v>
      </c>
      <c r="KY4" s="411">
        <v>146.6</v>
      </c>
      <c r="KZ4" s="729"/>
      <c r="LA4" s="399">
        <v>5.2499999999999998E-2</v>
      </c>
      <c r="LB4" s="395">
        <v>403.5</v>
      </c>
      <c r="LC4" s="400">
        <v>1.7237</v>
      </c>
      <c r="LD4" s="400">
        <v>0.9254</v>
      </c>
      <c r="LE4" s="400">
        <v>1.1902999999999999</v>
      </c>
      <c r="LF4" s="411">
        <v>146.6</v>
      </c>
      <c r="LG4" s="231">
        <v>8.16</v>
      </c>
      <c r="LI4" s="226">
        <v>8.91</v>
      </c>
      <c r="LJ4" s="510">
        <v>5.1220000000000002E-2</v>
      </c>
      <c r="LK4" s="515">
        <v>403.9</v>
      </c>
      <c r="LL4" s="520">
        <v>1.7234</v>
      </c>
      <c r="LM4" s="521">
        <v>0.92900000000000005</v>
      </c>
      <c r="LN4" s="520">
        <v>1.1916</v>
      </c>
      <c r="LO4" s="515">
        <v>146.5</v>
      </c>
      <c r="LP4" s="741"/>
      <c r="LQ4" s="510">
        <v>4.827E-2</v>
      </c>
      <c r="LR4" s="529">
        <v>404.9</v>
      </c>
      <c r="LS4" s="520">
        <v>1.7225999999999999</v>
      </c>
      <c r="LT4" s="521">
        <v>0.93779999999999997</v>
      </c>
      <c r="LU4" s="520">
        <v>1.1949000000000001</v>
      </c>
      <c r="LV4" s="515">
        <v>146.4</v>
      </c>
      <c r="LW4" s="232">
        <v>10.72</v>
      </c>
      <c r="LY4" s="227">
        <v>12.45</v>
      </c>
      <c r="LZ4" s="510">
        <v>4.564E-2</v>
      </c>
      <c r="MA4" s="515">
        <v>405.9</v>
      </c>
      <c r="MB4" s="520">
        <v>1.7218</v>
      </c>
      <c r="MC4" s="521">
        <v>0.94650000000000001</v>
      </c>
      <c r="MD4" s="520">
        <v>1.1981999999999999</v>
      </c>
      <c r="ME4" s="515">
        <v>146.19999999999999</v>
      </c>
      <c r="MF4" s="741"/>
      <c r="MG4" s="510">
        <v>4.3270000000000003E-2</v>
      </c>
      <c r="MH4" s="529">
        <v>406.8</v>
      </c>
      <c r="MI4" s="520">
        <v>1.7211000000000001</v>
      </c>
      <c r="MJ4" s="226">
        <v>0.95489999999999997</v>
      </c>
      <c r="MK4" s="227">
        <v>1.2015</v>
      </c>
      <c r="ML4" s="515">
        <v>146</v>
      </c>
      <c r="MM4" s="232">
        <v>14.11</v>
      </c>
      <c r="MO4" s="211">
        <v>15.71</v>
      </c>
      <c r="MP4" s="399">
        <v>4.1140000000000003E-2</v>
      </c>
      <c r="MQ4" s="411">
        <v>407.7</v>
      </c>
      <c r="MR4" s="400">
        <v>1.7204999999999999</v>
      </c>
      <c r="MS4" s="400">
        <v>0.96330000000000005</v>
      </c>
      <c r="MT4" s="400">
        <v>1.2049000000000001</v>
      </c>
      <c r="MU4" s="395">
        <v>145.80000000000001</v>
      </c>
      <c r="MV4" s="729"/>
      <c r="MW4" s="399">
        <v>3.9199999999999999E-2</v>
      </c>
      <c r="MX4" s="395">
        <v>408.5</v>
      </c>
      <c r="MY4" s="400">
        <v>1.7199</v>
      </c>
      <c r="MZ4" s="400">
        <v>0.97150000000000003</v>
      </c>
      <c r="NA4" s="438">
        <v>1.2082999999999999</v>
      </c>
      <c r="NB4" s="395">
        <v>145.6</v>
      </c>
      <c r="NC4" s="231">
        <v>17.239999999999998</v>
      </c>
      <c r="NE4" s="211">
        <v>18.72</v>
      </c>
      <c r="NF4" s="399">
        <v>3.7429999999999998E-2</v>
      </c>
      <c r="NG4" s="411">
        <v>409.3</v>
      </c>
      <c r="NH4" s="400">
        <v>1.7193000000000001</v>
      </c>
      <c r="NI4" s="400">
        <v>0.97950000000000004</v>
      </c>
      <c r="NJ4" s="400">
        <v>1.2117</v>
      </c>
      <c r="NK4" s="411">
        <v>145.4</v>
      </c>
      <c r="NL4" s="729"/>
      <c r="NM4" s="399">
        <v>3.5810000000000002E-2</v>
      </c>
      <c r="NN4" s="395">
        <v>410.1</v>
      </c>
      <c r="NO4" s="400">
        <v>1.7188000000000001</v>
      </c>
      <c r="NP4" s="400">
        <v>0.98750000000000004</v>
      </c>
      <c r="NQ4" s="438">
        <v>1.2152000000000001</v>
      </c>
      <c r="NR4" s="411">
        <v>145.19999999999999</v>
      </c>
      <c r="NS4" s="231">
        <v>20.149999999999999</v>
      </c>
      <c r="NU4" s="226">
        <v>21.54</v>
      </c>
      <c r="NV4" s="510">
        <v>3.4320000000000003E-2</v>
      </c>
      <c r="NW4" s="482">
        <v>410.8</v>
      </c>
      <c r="NX4" s="521">
        <v>1.7182999999999999</v>
      </c>
      <c r="NY4" s="521">
        <v>0.99539999999999995</v>
      </c>
      <c r="NZ4" s="571">
        <v>1.2186999999999999</v>
      </c>
      <c r="OA4" s="531">
        <v>145</v>
      </c>
      <c r="OB4" s="743"/>
      <c r="OC4" s="510">
        <v>3.295E-2</v>
      </c>
      <c r="OD4" s="482">
        <v>411.5</v>
      </c>
      <c r="OE4" s="461">
        <v>1.7179</v>
      </c>
      <c r="OF4" s="461">
        <v>1.0033000000000001</v>
      </c>
      <c r="OG4" s="461">
        <v>1.2222999999999999</v>
      </c>
      <c r="OH4" s="482">
        <v>144.69999999999999</v>
      </c>
      <c r="OI4" s="232">
        <v>22.88</v>
      </c>
      <c r="OK4" s="226">
        <v>24.18</v>
      </c>
      <c r="OL4" s="510">
        <v>3.1669999999999997E-2</v>
      </c>
      <c r="OM4" s="535">
        <v>412.2</v>
      </c>
      <c r="ON4" s="521">
        <v>1.7174</v>
      </c>
      <c r="OO4" s="461">
        <v>1.0111000000000001</v>
      </c>
      <c r="OP4" s="461">
        <v>1.2259</v>
      </c>
      <c r="OQ4" s="531">
        <v>144.5</v>
      </c>
      <c r="OR4" s="743"/>
      <c r="OS4" s="510">
        <v>3.049E-2</v>
      </c>
      <c r="OT4" s="482">
        <v>412.8</v>
      </c>
      <c r="OU4" s="461">
        <v>1.7170000000000001</v>
      </c>
      <c r="OV4" s="461">
        <v>1.0187999999999999</v>
      </c>
      <c r="OW4" s="461">
        <v>1.2295</v>
      </c>
      <c r="OX4" s="482">
        <v>144.19999999999999</v>
      </c>
      <c r="OY4" s="232">
        <v>25.45</v>
      </c>
      <c r="PA4" s="211">
        <v>26.68</v>
      </c>
      <c r="PB4" s="399">
        <v>2.9389999999999999E-2</v>
      </c>
      <c r="PC4" s="411">
        <v>413.5</v>
      </c>
      <c r="PD4" s="400">
        <v>1.7165999999999999</v>
      </c>
      <c r="PE4" s="507">
        <v>1.0265</v>
      </c>
      <c r="PF4" s="400">
        <v>1.2332000000000001</v>
      </c>
      <c r="PG4" s="395">
        <v>144</v>
      </c>
      <c r="PH4" s="729"/>
      <c r="PI4" s="399">
        <v>2.836E-2</v>
      </c>
      <c r="PJ4" s="395">
        <v>414.1</v>
      </c>
      <c r="PK4" s="400">
        <v>1.7161999999999999</v>
      </c>
      <c r="PL4" s="400">
        <v>1.0341</v>
      </c>
      <c r="PM4" s="507">
        <v>1.2370000000000001</v>
      </c>
      <c r="PN4" s="395">
        <v>143.69999999999999</v>
      </c>
      <c r="PO4" s="231">
        <v>27.88</v>
      </c>
      <c r="PQ4" s="214">
        <v>29.04</v>
      </c>
      <c r="PR4" s="399">
        <v>2.7400000000000001E-2</v>
      </c>
      <c r="PS4" s="411">
        <v>414.6</v>
      </c>
      <c r="PT4" s="400">
        <v>1.7158</v>
      </c>
      <c r="PU4" s="438">
        <v>1.0417000000000001</v>
      </c>
      <c r="PV4" s="400">
        <v>1.2407999999999999</v>
      </c>
      <c r="PW4" s="588">
        <v>143.5</v>
      </c>
      <c r="PX4" s="729"/>
      <c r="PY4" s="399">
        <v>2.5649999999999999E-2</v>
      </c>
      <c r="PZ4" s="395">
        <v>415.7</v>
      </c>
      <c r="QA4" s="400">
        <v>1.7150000000000001</v>
      </c>
      <c r="QB4" s="437">
        <v>1.0569</v>
      </c>
      <c r="QC4" s="507">
        <v>1.2484999999999999</v>
      </c>
      <c r="QD4" s="411">
        <v>142.9</v>
      </c>
      <c r="QE4" s="231">
        <v>31.29</v>
      </c>
      <c r="QG4" s="226">
        <v>33.44</v>
      </c>
      <c r="QH4" s="510">
        <v>2.41E-2</v>
      </c>
      <c r="QI4" s="515">
        <v>416.8</v>
      </c>
      <c r="QJ4" s="520">
        <v>1.7142999999999999</v>
      </c>
      <c r="QK4" s="520">
        <v>1.0720000000000001</v>
      </c>
      <c r="QL4" s="520">
        <v>1.2564</v>
      </c>
      <c r="QM4" s="515">
        <v>142.4</v>
      </c>
      <c r="QN4" s="745"/>
      <c r="QO4" s="510">
        <v>2.2710000000000001E-2</v>
      </c>
      <c r="QP4" s="533">
        <v>417.7</v>
      </c>
      <c r="QQ4" s="520">
        <v>1.7137</v>
      </c>
      <c r="QR4" s="227">
        <v>1.0871999999999999</v>
      </c>
      <c r="QS4" s="227">
        <v>1.2645999999999999</v>
      </c>
      <c r="QT4" s="518">
        <v>141.80000000000001</v>
      </c>
      <c r="QU4" s="232">
        <v>35.49</v>
      </c>
      <c r="QW4" s="226">
        <v>37.46</v>
      </c>
      <c r="QX4" s="510">
        <v>2.147E-2</v>
      </c>
      <c r="QY4" s="519">
        <v>418.6</v>
      </c>
      <c r="QZ4" s="521">
        <v>1.7130000000000001</v>
      </c>
      <c r="RA4" s="520">
        <v>1.1024</v>
      </c>
      <c r="RB4" s="520">
        <v>1.2729999999999999</v>
      </c>
      <c r="RC4" s="515">
        <v>141.19999999999999</v>
      </c>
      <c r="RD4" s="741"/>
      <c r="RE4" s="539">
        <v>2.034E-2</v>
      </c>
      <c r="RF4" s="531">
        <v>419.5</v>
      </c>
      <c r="RG4" s="521">
        <v>1.7123999999999999</v>
      </c>
      <c r="RH4" s="520">
        <v>1.1176999999999999</v>
      </c>
      <c r="RI4" s="520">
        <v>1.2817000000000001</v>
      </c>
      <c r="RJ4" s="516">
        <v>140.6</v>
      </c>
      <c r="RK4" s="232">
        <v>39.35</v>
      </c>
      <c r="RM4" s="211">
        <v>42.93</v>
      </c>
      <c r="RN4" s="399">
        <v>1.839E-2</v>
      </c>
      <c r="RO4" s="411">
        <v>421</v>
      </c>
      <c r="RP4" s="400">
        <v>1.7112000000000001</v>
      </c>
      <c r="RQ4" s="507">
        <v>1.1488</v>
      </c>
      <c r="RR4" s="400">
        <v>1.3</v>
      </c>
      <c r="RS4" s="395">
        <v>139.4</v>
      </c>
      <c r="RT4" s="729"/>
      <c r="RU4" s="399">
        <v>1.6740000000000001E-2</v>
      </c>
      <c r="RV4" s="395">
        <v>422.4</v>
      </c>
      <c r="RW4" s="400">
        <v>1.71</v>
      </c>
      <c r="RX4" s="400">
        <v>1.1807000000000001</v>
      </c>
      <c r="RY4" s="400">
        <v>1.3194999999999999</v>
      </c>
      <c r="RZ4" s="395">
        <v>138.1</v>
      </c>
      <c r="SA4" s="231">
        <v>46.28</v>
      </c>
      <c r="SC4" s="211">
        <v>49.42</v>
      </c>
      <c r="SD4" s="399">
        <v>1.5339999999999999E-2</v>
      </c>
      <c r="SE4" s="411">
        <v>423.6</v>
      </c>
      <c r="SF4" s="400">
        <v>1.7088000000000001</v>
      </c>
      <c r="SG4" s="507">
        <v>1.2137</v>
      </c>
      <c r="SH4" s="400">
        <v>1.3405</v>
      </c>
      <c r="SI4" s="411">
        <v>136.9</v>
      </c>
      <c r="SJ4" s="729"/>
      <c r="SK4" s="399">
        <v>1.413E-2</v>
      </c>
      <c r="SL4" s="210">
        <v>424.7</v>
      </c>
      <c r="SM4" s="400">
        <v>1.7076</v>
      </c>
      <c r="SN4" s="437">
        <v>1.2482</v>
      </c>
      <c r="SO4" s="498">
        <v>1.3631</v>
      </c>
      <c r="SP4" s="211">
        <v>135.5</v>
      </c>
      <c r="SQ4" s="215">
        <v>52.39</v>
      </c>
      <c r="SS4" s="209">
        <v>55.2</v>
      </c>
      <c r="ST4" s="399">
        <v>1.308E-2</v>
      </c>
      <c r="SU4" s="211">
        <v>425.7</v>
      </c>
      <c r="SV4" s="400">
        <v>1.7062999999999999</v>
      </c>
      <c r="SW4" s="400">
        <v>1.2844</v>
      </c>
      <c r="SX4" s="400">
        <v>1.3875999999999999</v>
      </c>
      <c r="SY4" s="211">
        <v>134.19999999999999</v>
      </c>
      <c r="SZ4" s="733"/>
      <c r="TA4" s="399">
        <v>1.2149999999999999E-2</v>
      </c>
      <c r="TB4" s="395">
        <v>426.5</v>
      </c>
      <c r="TC4" s="400">
        <v>1.7050000000000001</v>
      </c>
      <c r="TD4" s="400">
        <v>1.3227</v>
      </c>
      <c r="TE4" s="400">
        <v>1.4141999999999999</v>
      </c>
      <c r="TF4" s="395">
        <v>132.80000000000001</v>
      </c>
      <c r="TG4" s="212">
        <v>57.88</v>
      </c>
      <c r="TI4" s="211">
        <v>60.43</v>
      </c>
      <c r="TJ4" s="399">
        <v>1.132E-2</v>
      </c>
      <c r="TK4" s="411">
        <v>427.2</v>
      </c>
      <c r="TL4" s="400">
        <v>1.7037</v>
      </c>
      <c r="TM4" s="400">
        <v>1.3634999999999999</v>
      </c>
      <c r="TN4" s="498">
        <v>1.4432</v>
      </c>
      <c r="TO4" s="601">
        <v>131.4</v>
      </c>
      <c r="TP4" s="733"/>
      <c r="TQ4" s="399">
        <v>1.0580000000000001E-2</v>
      </c>
      <c r="TR4" s="395">
        <v>427.8</v>
      </c>
      <c r="TS4" s="400">
        <v>1.7021999999999999</v>
      </c>
      <c r="TT4" s="498">
        <v>1.4072</v>
      </c>
      <c r="TU4" s="498">
        <v>1.4749000000000001</v>
      </c>
      <c r="TV4" s="411">
        <v>130</v>
      </c>
      <c r="TW4" s="231">
        <v>62.87</v>
      </c>
      <c r="TY4" s="218">
        <v>65.22</v>
      </c>
      <c r="TZ4" s="475">
        <v>9.9100000000000004E-3</v>
      </c>
      <c r="UA4" s="466">
        <v>428.3</v>
      </c>
      <c r="UB4" s="469">
        <v>1.7007000000000001</v>
      </c>
      <c r="UC4" s="609">
        <v>1.4543999999999999</v>
      </c>
      <c r="UD4" s="469">
        <v>1.5098</v>
      </c>
      <c r="UE4" s="477">
        <v>128.6</v>
      </c>
      <c r="UF4" s="747"/>
      <c r="UG4" s="475">
        <v>9.3100000000000006E-3</v>
      </c>
      <c r="UH4" s="477">
        <v>428.8</v>
      </c>
      <c r="UI4" s="469">
        <v>1.6991000000000001</v>
      </c>
      <c r="UJ4" s="469">
        <v>1.5055000000000001</v>
      </c>
      <c r="UK4" s="609">
        <v>1.5484</v>
      </c>
      <c r="UL4" s="477">
        <v>127.2</v>
      </c>
      <c r="UM4" s="604">
        <v>67.47</v>
      </c>
      <c r="UO4" s="218">
        <v>71.72</v>
      </c>
      <c r="UP4" s="475">
        <v>8.2500000000000004E-3</v>
      </c>
      <c r="UQ4" s="466">
        <v>429.3</v>
      </c>
      <c r="UR4" s="469">
        <v>1.6956</v>
      </c>
      <c r="US4" s="609">
        <v>1.623</v>
      </c>
      <c r="UT4" s="469">
        <v>1.6389</v>
      </c>
      <c r="UU4" s="600">
        <v>124.2</v>
      </c>
      <c r="UV4" s="747"/>
      <c r="UW4" s="475">
        <v>7.3499999999999998E-3</v>
      </c>
      <c r="UX4" s="477">
        <v>429.5</v>
      </c>
      <c r="UY4" s="469">
        <v>1.6917</v>
      </c>
      <c r="UZ4" s="469">
        <v>1.7675000000000001</v>
      </c>
      <c r="VA4" s="498">
        <v>1.7529999999999999</v>
      </c>
      <c r="VB4" s="466">
        <v>121.2</v>
      </c>
      <c r="VC4" s="604">
        <v>75.69</v>
      </c>
      <c r="VE4" s="226">
        <v>79.41</v>
      </c>
      <c r="VF4" s="510">
        <v>6.5700000000000003E-3</v>
      </c>
      <c r="VG4" s="515">
        <v>429.3</v>
      </c>
      <c r="VH4" s="520">
        <v>1.6872</v>
      </c>
      <c r="VI4" s="520">
        <v>1.9511000000000001</v>
      </c>
      <c r="VJ4" s="521">
        <v>1.9009</v>
      </c>
      <c r="VK4" s="518">
        <v>118.2</v>
      </c>
      <c r="VL4" s="751"/>
      <c r="VM4" s="510">
        <v>5.8900000000000003E-3</v>
      </c>
      <c r="VN4" s="533">
        <v>428.7</v>
      </c>
      <c r="VO4" s="520">
        <v>1.6819</v>
      </c>
      <c r="VP4" s="521">
        <v>2.1936</v>
      </c>
      <c r="VQ4" s="521">
        <v>2.0991</v>
      </c>
      <c r="VR4" s="515">
        <v>115.2</v>
      </c>
      <c r="VS4" s="232">
        <v>82.91</v>
      </c>
      <c r="VU4" s="226">
        <v>86.22</v>
      </c>
      <c r="VV4" s="510">
        <v>5.28E-3</v>
      </c>
      <c r="VW4" s="516">
        <v>427.6</v>
      </c>
      <c r="VX4" s="520">
        <v>1.6758</v>
      </c>
      <c r="VY4" s="521">
        <v>2.5299999999999998</v>
      </c>
      <c r="VZ4" s="521">
        <v>2.3769</v>
      </c>
      <c r="WA4" s="516">
        <v>112.1</v>
      </c>
      <c r="WB4" s="751"/>
      <c r="WC4" s="539">
        <v>4.7200000000000002E-3</v>
      </c>
      <c r="WD4" s="531">
        <v>426</v>
      </c>
      <c r="WE4" s="520">
        <v>1.6685000000000001</v>
      </c>
      <c r="WF4" s="521">
        <v>3.028</v>
      </c>
      <c r="WG4" s="632">
        <v>2.7911999999999999</v>
      </c>
      <c r="WH4" s="516">
        <v>109.1</v>
      </c>
      <c r="WI4" s="232">
        <v>89.35</v>
      </c>
      <c r="WK4" s="226">
        <v>92.32</v>
      </c>
      <c r="WL4" s="510">
        <v>4.1999999999999997E-3</v>
      </c>
      <c r="WM4" s="515">
        <v>423.6</v>
      </c>
      <c r="WN4" s="521">
        <v>1.6596</v>
      </c>
      <c r="WO4" s="521">
        <v>3.8376999999999999</v>
      </c>
      <c r="WP4" s="521">
        <v>3.4670999999999998</v>
      </c>
      <c r="WQ4" s="531">
        <v>106</v>
      </c>
      <c r="WR4" s="751"/>
      <c r="WS4" s="510">
        <v>3.7000000000000002E-3</v>
      </c>
      <c r="WT4" s="529">
        <v>420.3</v>
      </c>
      <c r="WU4" s="521">
        <v>1.6483000000000001</v>
      </c>
      <c r="WV4" s="521">
        <v>5.3756000000000004</v>
      </c>
      <c r="WW4" s="520">
        <v>4.7521000000000004</v>
      </c>
      <c r="WX4" s="531">
        <v>102.8</v>
      </c>
      <c r="WY4" s="232">
        <v>95.15</v>
      </c>
      <c r="WZ4" s="359"/>
      <c r="XA4" s="226">
        <v>97.83</v>
      </c>
      <c r="XB4" s="510">
        <v>3.1900000000000001E-3</v>
      </c>
      <c r="XC4" s="516">
        <v>415.1</v>
      </c>
      <c r="XD4" s="521">
        <v>1.6324000000000001</v>
      </c>
      <c r="XE4" s="521">
        <v>9.3686000000000007</v>
      </c>
      <c r="XF4" s="521">
        <v>8.0816999999999997</v>
      </c>
      <c r="XG4" s="531">
        <v>99.5</v>
      </c>
      <c r="XH4" s="751"/>
      <c r="XI4" s="510">
        <v>2.5400000000000002E-3</v>
      </c>
      <c r="XJ4" s="529">
        <v>404.4</v>
      </c>
      <c r="XK4" s="520">
        <v>1.6022000000000001</v>
      </c>
      <c r="XL4" s="520">
        <v>42.101799999999997</v>
      </c>
      <c r="XM4" s="521">
        <v>35.239400000000003</v>
      </c>
      <c r="XN4" s="531">
        <v>95</v>
      </c>
      <c r="XO4" s="234">
        <v>100.37</v>
      </c>
      <c r="XP4" s="179"/>
    </row>
    <row r="5" spans="1:640" ht="15.75" thickBot="1" x14ac:dyDescent="0.3">
      <c r="A5" s="235">
        <v>-65</v>
      </c>
      <c r="B5" s="365">
        <v>1.6806700000000001</v>
      </c>
      <c r="C5" s="368">
        <v>358.6</v>
      </c>
      <c r="D5" s="360">
        <v>1.8251999999999999</v>
      </c>
      <c r="E5" s="360">
        <v>0.67269999999999996</v>
      </c>
      <c r="F5" s="360">
        <v>1.1465000000000001</v>
      </c>
      <c r="G5" s="172">
        <v>138.30000000000001</v>
      </c>
      <c r="H5" s="236"/>
      <c r="I5" s="366">
        <v>0.87641999999999998</v>
      </c>
      <c r="J5" s="370">
        <v>364.9</v>
      </c>
      <c r="K5" s="361">
        <v>1.7988999999999999</v>
      </c>
      <c r="L5" s="361">
        <v>0.69899999999999995</v>
      </c>
      <c r="M5" s="361">
        <v>1.1456</v>
      </c>
      <c r="N5" s="370">
        <v>140.69999999999999</v>
      </c>
      <c r="O5" s="380">
        <v>-55</v>
      </c>
      <c r="P5" s="238"/>
      <c r="Q5" s="235">
        <v>-45</v>
      </c>
      <c r="R5" s="363">
        <v>0.60901000000000005</v>
      </c>
      <c r="S5" s="368">
        <v>371.5</v>
      </c>
      <c r="T5" s="358">
        <v>1.7961</v>
      </c>
      <c r="U5" s="358">
        <v>0.72240000000000004</v>
      </c>
      <c r="V5" s="358">
        <v>1.1434</v>
      </c>
      <c r="W5" s="368">
        <v>143.30000000000001</v>
      </c>
      <c r="X5" s="236"/>
      <c r="Y5" s="363">
        <v>0.46489999999999998</v>
      </c>
      <c r="Z5" s="374">
        <v>374.8</v>
      </c>
      <c r="AA5" s="358">
        <v>1.7870999999999999</v>
      </c>
      <c r="AB5" s="358">
        <v>0.73640000000000005</v>
      </c>
      <c r="AC5" s="358">
        <v>1.1439999999999999</v>
      </c>
      <c r="AD5" s="377">
        <v>144.30000000000001</v>
      </c>
      <c r="AE5" s="237">
        <v>-40</v>
      </c>
      <c r="AG5" s="239">
        <v>-40</v>
      </c>
      <c r="AH5" s="340">
        <v>0.36981999999999998</v>
      </c>
      <c r="AI5" s="396">
        <v>374.3</v>
      </c>
      <c r="AJ5" s="334">
        <v>1.7675000000000001</v>
      </c>
      <c r="AK5" s="334">
        <v>0.74299999999999999</v>
      </c>
      <c r="AL5" s="401">
        <v>1.1479999999999999</v>
      </c>
      <c r="AM5" s="404">
        <v>143.69999999999999</v>
      </c>
      <c r="AN5" s="730"/>
      <c r="AO5" s="340">
        <v>0.31397000000000003</v>
      </c>
      <c r="AP5" s="397">
        <v>377.7</v>
      </c>
      <c r="AQ5" s="334">
        <v>1.7672000000000001</v>
      </c>
      <c r="AR5" s="334">
        <v>0.75549999999999995</v>
      </c>
      <c r="AS5" s="401">
        <v>1.1476999999999999</v>
      </c>
      <c r="AT5" s="408">
        <v>144.80000000000001</v>
      </c>
      <c r="AU5" s="242">
        <v>-35</v>
      </c>
      <c r="AW5" s="239">
        <v>-30</v>
      </c>
      <c r="AX5" s="409">
        <v>0.27411999999999997</v>
      </c>
      <c r="AY5" s="396">
        <v>381.1</v>
      </c>
      <c r="AZ5" s="415">
        <v>1.7693000000000001</v>
      </c>
      <c r="BA5" s="415">
        <v>0.76729999999999998</v>
      </c>
      <c r="BB5" s="416">
        <v>1.147</v>
      </c>
      <c r="BC5" s="396">
        <v>145.9</v>
      </c>
      <c r="BD5" s="730"/>
      <c r="BE5" s="412">
        <v>0.23871999999999999</v>
      </c>
      <c r="BF5" s="397">
        <v>380.7</v>
      </c>
      <c r="BG5" s="415">
        <v>1.7572000000000001</v>
      </c>
      <c r="BH5" s="334">
        <v>0.77290000000000003</v>
      </c>
      <c r="BI5" s="416">
        <v>1.1505000000000001</v>
      </c>
      <c r="BJ5" s="423">
        <v>145.4</v>
      </c>
      <c r="BK5" s="242">
        <v>-30</v>
      </c>
      <c r="BM5" s="243">
        <v>-25</v>
      </c>
      <c r="BN5" s="409">
        <v>0.21622</v>
      </c>
      <c r="BO5" s="396">
        <v>384.3</v>
      </c>
      <c r="BP5" s="415">
        <v>1.7624</v>
      </c>
      <c r="BQ5" s="415">
        <v>0.78349999999999997</v>
      </c>
      <c r="BR5" s="334">
        <v>1.1492</v>
      </c>
      <c r="BS5" s="396">
        <v>146.6</v>
      </c>
      <c r="BT5" s="730"/>
      <c r="BU5" s="409">
        <v>0.19372</v>
      </c>
      <c r="BV5" s="397">
        <v>383.9</v>
      </c>
      <c r="BW5" s="415">
        <v>1.7526999999999999</v>
      </c>
      <c r="BX5" s="334">
        <v>0.78879999999999995</v>
      </c>
      <c r="BY5" s="415">
        <v>1.1525000000000001</v>
      </c>
      <c r="BZ5" s="432">
        <v>146.1</v>
      </c>
      <c r="CA5" s="240">
        <v>-25</v>
      </c>
      <c r="CC5" s="244">
        <v>-25</v>
      </c>
      <c r="CD5" s="340">
        <v>0.19106000000000001</v>
      </c>
      <c r="CE5" s="396">
        <v>383.9</v>
      </c>
      <c r="CF5" s="334">
        <v>1.7515000000000001</v>
      </c>
      <c r="CG5" s="334">
        <v>0.78949999999999998</v>
      </c>
      <c r="CH5" s="334">
        <v>1.153</v>
      </c>
      <c r="CI5" s="396">
        <v>146.1</v>
      </c>
      <c r="CJ5" s="730"/>
      <c r="CK5" s="340">
        <v>0.17953</v>
      </c>
      <c r="CL5" s="397">
        <v>387.5</v>
      </c>
      <c r="CM5" s="334">
        <v>1.7597</v>
      </c>
      <c r="CN5" s="334">
        <v>0.7984</v>
      </c>
      <c r="CO5" s="334">
        <v>1.1507000000000001</v>
      </c>
      <c r="CP5" s="396">
        <v>147.4</v>
      </c>
      <c r="CQ5" s="245">
        <v>-20</v>
      </c>
      <c r="CS5" s="239">
        <v>-20</v>
      </c>
      <c r="CT5" s="340">
        <v>0.16385</v>
      </c>
      <c r="CU5" s="396">
        <v>387.2</v>
      </c>
      <c r="CV5" s="334">
        <v>1.7516</v>
      </c>
      <c r="CW5" s="334">
        <v>0.80330000000000001</v>
      </c>
      <c r="CX5" s="444">
        <v>1.1537999999999999</v>
      </c>
      <c r="CY5" s="396">
        <v>146.9</v>
      </c>
      <c r="CZ5" s="730"/>
      <c r="DA5" s="340">
        <v>0.15060000000000001</v>
      </c>
      <c r="DB5" s="397">
        <v>386.9</v>
      </c>
      <c r="DC5" s="334">
        <v>1.7441</v>
      </c>
      <c r="DD5" s="334">
        <v>0.80830000000000002</v>
      </c>
      <c r="DE5" s="444">
        <v>1.157</v>
      </c>
      <c r="DF5" s="449">
        <v>146.4</v>
      </c>
      <c r="DG5" s="242">
        <v>-20</v>
      </c>
      <c r="DI5" s="246">
        <v>-15</v>
      </c>
      <c r="DJ5" s="409">
        <v>0.14263000000000001</v>
      </c>
      <c r="DK5" s="396">
        <v>390.6</v>
      </c>
      <c r="DL5" s="415">
        <v>1.7529999999999999</v>
      </c>
      <c r="DM5" s="415">
        <v>0.81659999999999999</v>
      </c>
      <c r="DN5" s="444">
        <v>1.1545000000000001</v>
      </c>
      <c r="DO5" s="396">
        <v>147.69999999999999</v>
      </c>
      <c r="DP5" s="730"/>
      <c r="DQ5" s="409">
        <v>0.13259000000000001</v>
      </c>
      <c r="DR5" s="397">
        <v>390.3</v>
      </c>
      <c r="DS5" s="415">
        <v>1.7464</v>
      </c>
      <c r="DT5" s="417">
        <v>0.82130000000000003</v>
      </c>
      <c r="DU5" s="455">
        <v>1.1574</v>
      </c>
      <c r="DV5" s="442">
        <v>147.30000000000001</v>
      </c>
      <c r="DW5" s="242">
        <v>-15</v>
      </c>
      <c r="DY5" s="247">
        <v>-15</v>
      </c>
      <c r="DZ5" s="463">
        <v>0.12379</v>
      </c>
      <c r="EA5" s="467">
        <v>390</v>
      </c>
      <c r="EB5" s="470">
        <v>1.7402</v>
      </c>
      <c r="EC5" s="471">
        <v>0.82609999999999995</v>
      </c>
      <c r="ED5" s="471">
        <v>1.1605000000000001</v>
      </c>
      <c r="EE5" s="465">
        <v>146.9</v>
      </c>
      <c r="EF5" s="730"/>
      <c r="EG5" s="464">
        <v>0.11889</v>
      </c>
      <c r="EH5" s="478">
        <v>393.8</v>
      </c>
      <c r="EI5" s="471">
        <v>1.7503</v>
      </c>
      <c r="EJ5" s="459">
        <v>0.83330000000000004</v>
      </c>
      <c r="EK5" s="459">
        <v>1.1574</v>
      </c>
      <c r="EL5" s="408">
        <v>148.19999999999999</v>
      </c>
      <c r="EM5" s="248">
        <v>-10</v>
      </c>
      <c r="EO5" s="249">
        <v>-10</v>
      </c>
      <c r="EP5" s="460">
        <v>0.11186</v>
      </c>
      <c r="EQ5" s="467">
        <v>393.5</v>
      </c>
      <c r="ER5" s="473">
        <v>1.7447999999999999</v>
      </c>
      <c r="ES5" s="473">
        <v>0.8377</v>
      </c>
      <c r="ET5" s="473">
        <v>1.1601999999999999</v>
      </c>
      <c r="EU5" s="465">
        <v>147.80000000000001</v>
      </c>
      <c r="EV5" s="730"/>
      <c r="EW5" s="460">
        <v>0.10556</v>
      </c>
      <c r="EX5" s="478">
        <v>393.2</v>
      </c>
      <c r="EY5" s="473">
        <v>1.7395</v>
      </c>
      <c r="EZ5" s="459">
        <v>0.84219999999999995</v>
      </c>
      <c r="FA5" s="473">
        <v>1.1631</v>
      </c>
      <c r="FB5" s="465">
        <v>147.4</v>
      </c>
      <c r="FC5" s="250">
        <v>-10</v>
      </c>
      <c r="FE5" s="235">
        <v>-10</v>
      </c>
      <c r="FF5" s="340">
        <v>9.9890000000000007E-2</v>
      </c>
      <c r="FG5" s="396">
        <v>392.9</v>
      </c>
      <c r="FH5" s="334">
        <v>1.7343999999999999</v>
      </c>
      <c r="FI5" s="334">
        <v>0.8468</v>
      </c>
      <c r="FJ5" s="491">
        <v>1.1659999999999999</v>
      </c>
      <c r="FK5" s="396">
        <v>146.9</v>
      </c>
      <c r="FL5" s="730"/>
      <c r="FM5" s="340">
        <v>9.7129999999999994E-2</v>
      </c>
      <c r="FN5" s="397">
        <v>396.8</v>
      </c>
      <c r="FO5" s="334">
        <v>1.7456</v>
      </c>
      <c r="FP5" s="334">
        <v>0.85270000000000001</v>
      </c>
      <c r="FQ5" s="334">
        <v>1.1620999999999999</v>
      </c>
      <c r="FR5" s="397">
        <v>148.4</v>
      </c>
      <c r="FS5" s="237">
        <v>-10</v>
      </c>
      <c r="FU5" s="235">
        <v>-5</v>
      </c>
      <c r="FV5" s="409">
        <v>9.2369999999999994E-2</v>
      </c>
      <c r="FW5" s="396">
        <v>396.5</v>
      </c>
      <c r="FX5" s="415">
        <v>1.7410000000000001</v>
      </c>
      <c r="FY5" s="415">
        <v>0.8569</v>
      </c>
      <c r="FZ5" s="334">
        <v>1.1649</v>
      </c>
      <c r="GA5" s="489">
        <v>148</v>
      </c>
      <c r="GB5" s="730"/>
      <c r="GC5" s="409">
        <v>8.8029999999999997E-2</v>
      </c>
      <c r="GD5" s="397">
        <v>396.3</v>
      </c>
      <c r="GE5" s="415">
        <v>1.7364999999999999</v>
      </c>
      <c r="GF5" s="415">
        <v>0.86119999999999997</v>
      </c>
      <c r="GG5" s="372">
        <v>1.1677</v>
      </c>
      <c r="GH5" s="489">
        <v>147.6</v>
      </c>
      <c r="GI5" s="237">
        <v>-5</v>
      </c>
      <c r="GK5" s="251">
        <v>-5</v>
      </c>
      <c r="GL5" s="409">
        <v>8.405E-2</v>
      </c>
      <c r="GM5" s="404">
        <v>396</v>
      </c>
      <c r="GN5" s="415">
        <v>1.7322</v>
      </c>
      <c r="GO5" s="415">
        <v>0.86570000000000003</v>
      </c>
      <c r="GP5" s="339">
        <v>1.1706000000000001</v>
      </c>
      <c r="GQ5" s="396">
        <v>147.19999999999999</v>
      </c>
      <c r="GR5" s="730"/>
      <c r="GS5" s="409">
        <v>8.2409999999999997E-2</v>
      </c>
      <c r="GT5" s="397">
        <v>400</v>
      </c>
      <c r="GU5" s="241">
        <v>1.7441</v>
      </c>
      <c r="GV5" s="170">
        <v>0.87029999999999996</v>
      </c>
      <c r="GW5" s="241">
        <v>1.1659999999999999</v>
      </c>
      <c r="GX5" s="397">
        <v>148.69999999999999</v>
      </c>
      <c r="GY5" s="240">
        <v>0</v>
      </c>
      <c r="HA5" s="243">
        <v>0</v>
      </c>
      <c r="HB5" s="340">
        <v>7.8969999999999999E-2</v>
      </c>
      <c r="HC5" s="396">
        <v>399.7</v>
      </c>
      <c r="HD5" s="334">
        <v>1.7401</v>
      </c>
      <c r="HE5" s="334">
        <v>0.87439999999999996</v>
      </c>
      <c r="HF5" s="333">
        <v>1.1687000000000001</v>
      </c>
      <c r="HG5" s="396">
        <v>148.30000000000001</v>
      </c>
      <c r="HH5" s="730"/>
      <c r="HI5" s="340">
        <v>7.578E-2</v>
      </c>
      <c r="HJ5" s="397">
        <v>399.5</v>
      </c>
      <c r="HK5" s="334">
        <v>1.7363</v>
      </c>
      <c r="HL5" s="334">
        <v>0.87849999999999995</v>
      </c>
      <c r="HM5" s="334">
        <v>1.1714</v>
      </c>
      <c r="HN5" s="396">
        <v>147.1</v>
      </c>
      <c r="HO5" s="240">
        <v>0</v>
      </c>
      <c r="HQ5" s="243">
        <v>0</v>
      </c>
      <c r="HR5" s="340">
        <v>7.281E-2</v>
      </c>
      <c r="HS5" s="396">
        <v>399.2</v>
      </c>
      <c r="HT5" s="334">
        <v>1.7324999999999999</v>
      </c>
      <c r="HU5" s="334">
        <v>0.88270000000000004</v>
      </c>
      <c r="HV5" s="491">
        <v>1.1740999999999999</v>
      </c>
      <c r="HW5" s="396">
        <v>147.5</v>
      </c>
      <c r="HX5" s="730"/>
      <c r="HY5" s="340">
        <v>7.0050000000000001E-2</v>
      </c>
      <c r="HZ5" s="397">
        <v>398.9</v>
      </c>
      <c r="IA5" s="334">
        <v>1.7289000000000001</v>
      </c>
      <c r="IB5" s="334">
        <v>0.88700000000000001</v>
      </c>
      <c r="IC5" s="334">
        <v>1.177</v>
      </c>
      <c r="ID5" s="397">
        <v>147.1</v>
      </c>
      <c r="IE5" s="240">
        <v>0</v>
      </c>
      <c r="IG5" s="243">
        <v>5</v>
      </c>
      <c r="IH5" s="409">
        <v>6.9209999999999994E-2</v>
      </c>
      <c r="II5" s="396">
        <v>403.1</v>
      </c>
      <c r="IJ5" s="415">
        <v>1.7415</v>
      </c>
      <c r="IK5" s="415">
        <v>0.89019999999999999</v>
      </c>
      <c r="IL5" s="334">
        <v>1.1715</v>
      </c>
      <c r="IM5" s="489">
        <v>148.69999999999999</v>
      </c>
      <c r="IN5" s="730"/>
      <c r="IO5" s="409">
        <v>6.676E-2</v>
      </c>
      <c r="IP5" s="397">
        <v>402.8</v>
      </c>
      <c r="IQ5" s="415">
        <v>1.7381</v>
      </c>
      <c r="IR5" s="415">
        <v>0.89419999999999999</v>
      </c>
      <c r="IS5" s="499">
        <v>1.1740999999999999</v>
      </c>
      <c r="IT5" s="489">
        <v>148.30000000000001</v>
      </c>
      <c r="IU5" s="240">
        <v>5</v>
      </c>
      <c r="IW5" s="254">
        <v>5</v>
      </c>
      <c r="IX5" s="511">
        <v>6.4449999999999993E-2</v>
      </c>
      <c r="IY5" s="514">
        <v>402.5</v>
      </c>
      <c r="IZ5" s="522">
        <v>1.7346999999999999</v>
      </c>
      <c r="JA5" s="522">
        <v>0.8982</v>
      </c>
      <c r="JB5" s="523">
        <v>1.1768000000000001</v>
      </c>
      <c r="JC5" s="526">
        <v>148</v>
      </c>
      <c r="JD5" s="730"/>
      <c r="JE5" s="511">
        <v>6.2289999999999998E-2</v>
      </c>
      <c r="JF5" s="528">
        <v>402.2</v>
      </c>
      <c r="JG5" s="522">
        <v>1.7315</v>
      </c>
      <c r="JH5" s="536">
        <v>0.90229999999999999</v>
      </c>
      <c r="JI5" s="523">
        <v>1.1795</v>
      </c>
      <c r="JJ5" s="528">
        <v>147.6</v>
      </c>
      <c r="JK5" s="257">
        <v>5</v>
      </c>
      <c r="JM5" s="254">
        <v>5</v>
      </c>
      <c r="JN5" s="537">
        <v>6.0240000000000002E-2</v>
      </c>
      <c r="JO5" s="526">
        <v>402</v>
      </c>
      <c r="JP5" s="508">
        <v>1.7282999999999999</v>
      </c>
      <c r="JQ5" s="536">
        <v>0.90639999999999998</v>
      </c>
      <c r="JR5" s="508">
        <v>1.1822999999999999</v>
      </c>
      <c r="JS5" s="526">
        <v>147.19999999999999</v>
      </c>
      <c r="JT5" s="730"/>
      <c r="JU5" s="537">
        <v>5.985E-2</v>
      </c>
      <c r="JV5" s="530">
        <v>406.2</v>
      </c>
      <c r="JW5" s="536">
        <v>1.7414000000000001</v>
      </c>
      <c r="JX5" s="508">
        <v>0.90839999999999999</v>
      </c>
      <c r="JY5" s="508">
        <v>1.1760999999999999</v>
      </c>
      <c r="JZ5" s="514">
        <v>148.9</v>
      </c>
      <c r="KA5" s="194">
        <v>10</v>
      </c>
      <c r="KC5" s="259">
        <v>10</v>
      </c>
      <c r="KD5" s="340">
        <v>5.8000000000000003E-2</v>
      </c>
      <c r="KE5" s="540">
        <v>406</v>
      </c>
      <c r="KF5" s="170">
        <v>1.7383999999999999</v>
      </c>
      <c r="KG5" s="170">
        <v>0.91220000000000001</v>
      </c>
      <c r="KH5" s="196">
        <v>1.1786000000000001</v>
      </c>
      <c r="KI5" s="540">
        <v>148.5</v>
      </c>
      <c r="KJ5" s="730"/>
      <c r="KK5" s="340">
        <v>5.6250000000000001E-2</v>
      </c>
      <c r="KL5" s="397">
        <v>405.7</v>
      </c>
      <c r="KM5" s="334">
        <v>1.7354000000000001</v>
      </c>
      <c r="KN5" s="334">
        <v>0.91600000000000004</v>
      </c>
      <c r="KO5" s="541">
        <v>1.1812</v>
      </c>
      <c r="KP5" s="540">
        <v>148.1</v>
      </c>
      <c r="KQ5" s="260">
        <v>10</v>
      </c>
      <c r="KS5" s="261">
        <v>10</v>
      </c>
      <c r="KT5" s="409">
        <v>5.459E-2</v>
      </c>
      <c r="KU5" s="543">
        <v>405.5</v>
      </c>
      <c r="KV5" s="415">
        <v>1.7324999999999999</v>
      </c>
      <c r="KW5" s="415">
        <v>0.92</v>
      </c>
      <c r="KX5" s="541">
        <v>1.1838</v>
      </c>
      <c r="KY5" s="543">
        <v>147.80000000000001</v>
      </c>
      <c r="KZ5" s="730"/>
      <c r="LA5" s="340">
        <v>5.3019999999999998E-2</v>
      </c>
      <c r="LB5" s="397">
        <v>405.2</v>
      </c>
      <c r="LC5" s="415">
        <v>1.7297</v>
      </c>
      <c r="LD5" s="415">
        <v>0.92400000000000004</v>
      </c>
      <c r="LE5" s="415">
        <v>1.1865000000000001</v>
      </c>
      <c r="LF5" s="540">
        <v>147.4</v>
      </c>
      <c r="LG5" s="240">
        <v>10</v>
      </c>
      <c r="LI5" s="357">
        <v>10</v>
      </c>
      <c r="LJ5" s="550">
        <v>5.1520000000000003E-2</v>
      </c>
      <c r="LK5" s="552">
        <v>404.9</v>
      </c>
      <c r="LL5" s="548">
        <v>1.7269000000000001</v>
      </c>
      <c r="LM5" s="548">
        <v>0.92810000000000004</v>
      </c>
      <c r="LN5" s="548">
        <v>1.1893</v>
      </c>
      <c r="LO5" s="552">
        <v>147</v>
      </c>
      <c r="LP5" s="730"/>
      <c r="LQ5" s="556">
        <v>4.9390000000000003E-2</v>
      </c>
      <c r="LR5" s="553">
        <v>408.9</v>
      </c>
      <c r="LS5" s="558">
        <v>1.7365999999999999</v>
      </c>
      <c r="LT5" s="549">
        <v>0.93410000000000004</v>
      </c>
      <c r="LU5" s="549">
        <v>1.1859</v>
      </c>
      <c r="LV5" s="553">
        <v>148.30000000000001</v>
      </c>
      <c r="LW5" s="348">
        <v>15</v>
      </c>
      <c r="LY5" s="199">
        <v>15</v>
      </c>
      <c r="LZ5" s="509">
        <v>4.6280000000000002E-2</v>
      </c>
      <c r="MA5" s="514">
        <v>408.3</v>
      </c>
      <c r="MB5" s="508">
        <v>1.7302</v>
      </c>
      <c r="MC5" s="508">
        <v>0.94369999999999998</v>
      </c>
      <c r="MD5" s="508">
        <v>1.1924999999999999</v>
      </c>
      <c r="ME5" s="514">
        <v>147.4</v>
      </c>
      <c r="MF5" s="730"/>
      <c r="MG5" s="537">
        <v>4.3490000000000001E-2</v>
      </c>
      <c r="MH5" s="528">
        <v>407.7</v>
      </c>
      <c r="MI5" s="192">
        <v>1.7241</v>
      </c>
      <c r="MJ5" s="191">
        <v>0.95379999999999998</v>
      </c>
      <c r="MK5" s="191">
        <v>1.1994</v>
      </c>
      <c r="ML5" s="514">
        <v>146.4</v>
      </c>
      <c r="MM5" s="194">
        <v>15</v>
      </c>
      <c r="MO5" s="176">
        <v>20</v>
      </c>
      <c r="MP5" s="340">
        <v>4.2130000000000001E-2</v>
      </c>
      <c r="MQ5" s="396">
        <v>411.8</v>
      </c>
      <c r="MR5" s="334">
        <v>1.7346999999999999</v>
      </c>
      <c r="MS5" s="334">
        <v>0.95779999999999998</v>
      </c>
      <c r="MT5" s="334">
        <v>1.1947000000000001</v>
      </c>
      <c r="MU5" s="397">
        <v>147.80000000000001</v>
      </c>
      <c r="MV5" s="730"/>
      <c r="MW5" s="340">
        <v>3.9820000000000001E-2</v>
      </c>
      <c r="MX5" s="397">
        <v>411.2</v>
      </c>
      <c r="MY5" s="334">
        <v>1.7291000000000001</v>
      </c>
      <c r="MZ5" s="334">
        <v>0.96740000000000004</v>
      </c>
      <c r="NA5" s="334">
        <v>1.2013</v>
      </c>
      <c r="NB5" s="397">
        <v>146.9</v>
      </c>
      <c r="NC5" s="260">
        <v>20</v>
      </c>
      <c r="NE5" s="243">
        <v>20</v>
      </c>
      <c r="NF5" s="409">
        <v>3.771E-2</v>
      </c>
      <c r="NG5" s="396">
        <v>410.6</v>
      </c>
      <c r="NH5" s="415">
        <v>1.7236</v>
      </c>
      <c r="NI5" s="415">
        <v>0.97740000000000005</v>
      </c>
      <c r="NJ5" s="334">
        <v>1.2082999999999999</v>
      </c>
      <c r="NK5" s="396">
        <v>146</v>
      </c>
      <c r="NL5" s="730"/>
      <c r="NM5" s="409">
        <v>3.6810000000000002E-2</v>
      </c>
      <c r="NN5" s="397">
        <v>414.8</v>
      </c>
      <c r="NO5" s="415">
        <v>1.7349000000000001</v>
      </c>
      <c r="NP5" s="334">
        <v>0.97960000000000003</v>
      </c>
      <c r="NQ5" s="415">
        <v>1.2022999999999999</v>
      </c>
      <c r="NR5" s="396">
        <v>147.5</v>
      </c>
      <c r="NS5" s="240">
        <v>25</v>
      </c>
      <c r="NU5" s="254">
        <v>25</v>
      </c>
      <c r="NV5" s="463">
        <v>3.5020000000000003E-2</v>
      </c>
      <c r="NW5" s="528">
        <v>414.2</v>
      </c>
      <c r="NX5" s="522">
        <v>1.7299</v>
      </c>
      <c r="NY5" s="470">
        <v>0.98899999999999999</v>
      </c>
      <c r="NZ5" s="459">
        <v>1.2090000000000001</v>
      </c>
      <c r="OA5" s="476">
        <v>146.69999999999999</v>
      </c>
      <c r="OB5" s="730"/>
      <c r="OC5" s="511">
        <v>3.3360000000000001E-2</v>
      </c>
      <c r="OD5" s="528">
        <v>413.6</v>
      </c>
      <c r="OE5" s="574">
        <v>1.7250000000000001</v>
      </c>
      <c r="OF5" s="459">
        <v>0.99880000000000002</v>
      </c>
      <c r="OG5" s="575">
        <v>1.2159</v>
      </c>
      <c r="OH5" s="476">
        <v>145.80000000000001</v>
      </c>
      <c r="OI5" s="263">
        <v>25</v>
      </c>
      <c r="OK5" s="193">
        <v>25</v>
      </c>
      <c r="OL5" s="537">
        <v>3.1829999999999997E-2</v>
      </c>
      <c r="OM5" s="468">
        <v>413</v>
      </c>
      <c r="ON5" s="536">
        <v>1.7202</v>
      </c>
      <c r="OO5" s="459">
        <v>1.0091000000000001</v>
      </c>
      <c r="OP5" s="459">
        <v>1.2233000000000001</v>
      </c>
      <c r="OQ5" s="476">
        <v>144.9</v>
      </c>
      <c r="OR5" s="730"/>
      <c r="OS5" s="537">
        <v>3.1329999999999997E-2</v>
      </c>
      <c r="OT5" s="528">
        <v>417.4</v>
      </c>
      <c r="OU5" s="536">
        <v>1.7323</v>
      </c>
      <c r="OV5" s="536">
        <v>1.0085999999999999</v>
      </c>
      <c r="OW5" s="459">
        <v>1.2154</v>
      </c>
      <c r="OX5" s="476">
        <v>146.6</v>
      </c>
      <c r="OY5" s="194">
        <v>30</v>
      </c>
      <c r="PA5" s="176">
        <v>30</v>
      </c>
      <c r="PB5" s="340">
        <v>2.9989999999999999E-2</v>
      </c>
      <c r="PC5" s="396">
        <v>416.8</v>
      </c>
      <c r="PD5" s="334">
        <v>1.7278</v>
      </c>
      <c r="PE5" s="334">
        <v>1.0182</v>
      </c>
      <c r="PF5" s="541">
        <v>1.2222999999999999</v>
      </c>
      <c r="PG5" s="396">
        <v>145.69999999999999</v>
      </c>
      <c r="PH5" s="730"/>
      <c r="PI5" s="340">
        <v>2.8740000000000002E-2</v>
      </c>
      <c r="PJ5" s="397">
        <v>416.2</v>
      </c>
      <c r="PK5" s="334">
        <v>1.7234</v>
      </c>
      <c r="PL5" s="334">
        <v>1.0283</v>
      </c>
      <c r="PM5" s="541">
        <v>1.2295</v>
      </c>
      <c r="PN5" s="397">
        <v>144.9</v>
      </c>
      <c r="PO5" s="260">
        <v>30</v>
      </c>
      <c r="PQ5" s="349">
        <v>30</v>
      </c>
      <c r="PR5" s="579">
        <v>2.7570000000000001E-2</v>
      </c>
      <c r="PS5" s="582">
        <v>475.6</v>
      </c>
      <c r="PT5" s="584">
        <v>1.7191000000000001</v>
      </c>
      <c r="PU5" s="415">
        <v>1.0387999999999999</v>
      </c>
      <c r="PV5" s="541">
        <v>1.2372000000000001</v>
      </c>
      <c r="PW5" s="396">
        <v>144</v>
      </c>
      <c r="PX5" s="730"/>
      <c r="PY5" s="581">
        <v>2.6259999999999999E-2</v>
      </c>
      <c r="PZ5" s="583">
        <v>419.6</v>
      </c>
      <c r="QA5" s="585">
        <v>1.7278</v>
      </c>
      <c r="QB5" s="585">
        <v>1.0452999999999999</v>
      </c>
      <c r="QC5" s="585">
        <v>1.2343999999999999</v>
      </c>
      <c r="QD5" s="583">
        <v>145</v>
      </c>
      <c r="QE5" s="354">
        <v>35</v>
      </c>
      <c r="QG5" s="342">
        <v>35</v>
      </c>
      <c r="QH5" s="550">
        <v>2.435E-2</v>
      </c>
      <c r="QI5" s="552">
        <v>418.4</v>
      </c>
      <c r="QJ5" s="548">
        <v>1.7198</v>
      </c>
      <c r="QK5" s="548">
        <v>1.0663</v>
      </c>
      <c r="QL5" s="548">
        <v>1.2498</v>
      </c>
      <c r="QM5" s="552">
        <v>143.30000000000001</v>
      </c>
      <c r="QN5" s="730"/>
      <c r="QO5" s="592">
        <v>2.3400000000000001E-2</v>
      </c>
      <c r="QP5" s="555">
        <v>422.6</v>
      </c>
      <c r="QQ5" s="344">
        <v>1.7293000000000001</v>
      </c>
      <c r="QR5" s="343">
        <v>1.0702</v>
      </c>
      <c r="QS5" s="343">
        <v>1.2453000000000001</v>
      </c>
      <c r="QT5" s="555">
        <v>144.4</v>
      </c>
      <c r="QU5" s="348">
        <v>40</v>
      </c>
      <c r="QW5" s="193">
        <v>40</v>
      </c>
      <c r="QX5" s="509">
        <v>2.1839999999999998E-2</v>
      </c>
      <c r="QY5" s="517">
        <v>421.4</v>
      </c>
      <c r="QZ5" s="508">
        <v>1.722</v>
      </c>
      <c r="RA5" s="508">
        <v>1.0912999999999999</v>
      </c>
      <c r="RB5" s="508">
        <v>1.2608999999999999</v>
      </c>
      <c r="RC5" s="526">
        <v>142.80000000000001</v>
      </c>
      <c r="RD5" s="730"/>
      <c r="RE5" s="537">
        <v>2.044E-2</v>
      </c>
      <c r="RF5" s="528">
        <v>420.2</v>
      </c>
      <c r="RG5" s="536">
        <v>1.7146999999999999</v>
      </c>
      <c r="RH5" s="508">
        <v>1.1144000000000001</v>
      </c>
      <c r="RI5" s="508">
        <v>1.2782</v>
      </c>
      <c r="RJ5" s="514">
        <v>141</v>
      </c>
      <c r="RK5" s="194">
        <v>40</v>
      </c>
      <c r="RM5" s="176">
        <v>45</v>
      </c>
      <c r="RN5" s="340">
        <v>1.8669999999999999E-2</v>
      </c>
      <c r="RO5" s="396">
        <v>423.4</v>
      </c>
      <c r="RP5" s="334">
        <v>1.7185999999999999</v>
      </c>
      <c r="RQ5" s="334">
        <v>1.1368</v>
      </c>
      <c r="RR5" s="334">
        <v>1.2876000000000001</v>
      </c>
      <c r="RS5" s="397">
        <v>140.80000000000001</v>
      </c>
      <c r="RT5" s="730"/>
      <c r="RU5" s="340">
        <v>1.7219999999999999E-2</v>
      </c>
      <c r="RV5" s="397">
        <v>426.8</v>
      </c>
      <c r="RW5" s="334">
        <v>1.7235</v>
      </c>
      <c r="RX5" s="334">
        <v>1.1563000000000001</v>
      </c>
      <c r="RY5" s="334">
        <v>1.2950999999999999</v>
      </c>
      <c r="RZ5" s="397">
        <v>140.69999999999999</v>
      </c>
      <c r="SA5" s="260">
        <v>50</v>
      </c>
      <c r="SC5" s="349">
        <v>50</v>
      </c>
      <c r="SD5" s="409">
        <v>1.542E-2</v>
      </c>
      <c r="SE5" s="396">
        <v>424.3</v>
      </c>
      <c r="SF5" s="415">
        <v>1.7110000000000001</v>
      </c>
      <c r="SG5" s="415">
        <v>1.2088000000000001</v>
      </c>
      <c r="SH5" s="415">
        <v>1.3358000000000001</v>
      </c>
      <c r="SI5" s="396">
        <v>137.30000000000001</v>
      </c>
      <c r="SJ5" s="730"/>
      <c r="SK5" s="581">
        <v>1.4449999999999999E-2</v>
      </c>
      <c r="SL5" s="350">
        <v>427.9</v>
      </c>
      <c r="SM5" s="585">
        <v>1.7174</v>
      </c>
      <c r="SN5" s="585">
        <v>1.2239</v>
      </c>
      <c r="SO5" s="585">
        <v>1.3399000000000001</v>
      </c>
      <c r="SP5" s="350">
        <v>137.6</v>
      </c>
      <c r="SQ5" s="354">
        <v>55</v>
      </c>
      <c r="SS5" s="243">
        <v>60</v>
      </c>
      <c r="ST5" s="409">
        <v>1.363E-2</v>
      </c>
      <c r="SU5" s="170">
        <v>431.7</v>
      </c>
      <c r="SV5" s="415">
        <v>1.7245999999999999</v>
      </c>
      <c r="SW5" s="415">
        <v>1.2358</v>
      </c>
      <c r="SX5" s="415">
        <v>1.3415999999999999</v>
      </c>
      <c r="SY5" s="170">
        <v>138</v>
      </c>
      <c r="SZ5" s="730"/>
      <c r="TA5" s="409">
        <v>1.239E-2</v>
      </c>
      <c r="TB5" s="397">
        <v>429.3</v>
      </c>
      <c r="TC5" s="415">
        <v>1.7134</v>
      </c>
      <c r="TD5" s="334">
        <v>1.2952999999999999</v>
      </c>
      <c r="TE5" s="334">
        <v>1.3888</v>
      </c>
      <c r="TF5" s="397">
        <v>134.69999999999999</v>
      </c>
      <c r="TG5" s="240">
        <v>60</v>
      </c>
      <c r="TI5" s="176">
        <v>65</v>
      </c>
      <c r="TJ5" s="340">
        <v>1.183E-2</v>
      </c>
      <c r="TK5" s="396">
        <v>433.3</v>
      </c>
      <c r="TL5" s="334">
        <v>1.7217</v>
      </c>
      <c r="TM5" s="334">
        <v>1.3004</v>
      </c>
      <c r="TN5" s="334">
        <v>1.3851</v>
      </c>
      <c r="TO5" s="396">
        <v>135.5</v>
      </c>
      <c r="TP5" s="730"/>
      <c r="TQ5" s="340">
        <v>1.082E-2</v>
      </c>
      <c r="TR5" s="397">
        <v>430.8</v>
      </c>
      <c r="TS5" s="334">
        <v>1.7110000000000001</v>
      </c>
      <c r="TT5" s="334">
        <v>1.3695999999999999</v>
      </c>
      <c r="TU5" s="491">
        <v>1.4408000000000001</v>
      </c>
      <c r="TV5" s="396">
        <v>132.1</v>
      </c>
      <c r="TW5" s="260">
        <v>65</v>
      </c>
      <c r="TY5" s="185">
        <v>70</v>
      </c>
      <c r="TZ5" s="474">
        <v>1.043E-2</v>
      </c>
      <c r="UA5" s="467">
        <v>435.1</v>
      </c>
      <c r="UB5" s="473">
        <v>1.7204999999999999</v>
      </c>
      <c r="UC5" s="473">
        <v>1.3657999999999999</v>
      </c>
      <c r="UD5" s="473">
        <v>1.4297</v>
      </c>
      <c r="UE5" s="478">
        <v>133.30000000000001</v>
      </c>
      <c r="UF5" s="748"/>
      <c r="UG5" s="474">
        <v>9.5899999999999996E-3</v>
      </c>
      <c r="UH5" s="478">
        <v>432.5</v>
      </c>
      <c r="UI5" s="473">
        <v>1.7101</v>
      </c>
      <c r="UJ5" s="473">
        <v>1.4452</v>
      </c>
      <c r="UK5" s="473">
        <v>1.4943</v>
      </c>
      <c r="UL5" s="478">
        <v>129.9</v>
      </c>
      <c r="UM5" s="310">
        <v>70</v>
      </c>
      <c r="UO5" s="247">
        <v>75</v>
      </c>
      <c r="UP5" s="464">
        <v>8.6E-3</v>
      </c>
      <c r="UQ5" s="467">
        <v>434.5</v>
      </c>
      <c r="UR5" s="471">
        <v>1.7104999999999999</v>
      </c>
      <c r="US5" s="499">
        <v>1.5189999999999999</v>
      </c>
      <c r="UT5" s="491">
        <v>1.5466</v>
      </c>
      <c r="UU5" s="489">
        <v>128.1</v>
      </c>
      <c r="UV5" s="748"/>
      <c r="UW5" s="497">
        <v>7.8200000000000006E-3</v>
      </c>
      <c r="UX5" s="478">
        <v>436.7</v>
      </c>
      <c r="UY5" s="471">
        <v>1.7121999999999999</v>
      </c>
      <c r="UZ5" s="471">
        <v>1.5872999999999999</v>
      </c>
      <c r="VA5" s="499">
        <v>1.5944</v>
      </c>
      <c r="VB5" s="467">
        <v>126.8</v>
      </c>
      <c r="VC5" s="248">
        <v>80</v>
      </c>
      <c r="VE5" s="342">
        <v>80</v>
      </c>
      <c r="VF5" s="550">
        <v>6.6400000000000001E-3</v>
      </c>
      <c r="VG5" s="552">
        <v>430.4</v>
      </c>
      <c r="VH5" s="548">
        <v>1.6903999999999999</v>
      </c>
      <c r="VI5" s="548">
        <v>1.9044000000000001</v>
      </c>
      <c r="VJ5" s="548">
        <v>1.8601000000000001</v>
      </c>
      <c r="VK5" s="554">
        <v>119.2</v>
      </c>
      <c r="VL5" s="748"/>
      <c r="VM5" s="592">
        <v>6.1399999999999996E-3</v>
      </c>
      <c r="VN5" s="624">
        <v>433</v>
      </c>
      <c r="VO5" s="625">
        <v>1.6940999999999999</v>
      </c>
      <c r="VP5" s="626">
        <v>1.9759</v>
      </c>
      <c r="VQ5" s="626">
        <v>1.9096</v>
      </c>
      <c r="VR5" s="627">
        <v>118.8</v>
      </c>
      <c r="VS5" s="348">
        <v>85</v>
      </c>
      <c r="VU5" s="193">
        <v>90</v>
      </c>
      <c r="VV5" s="509">
        <v>5.7499999999999999E-3</v>
      </c>
      <c r="VW5" s="514">
        <v>436.1</v>
      </c>
      <c r="VX5" s="508">
        <v>1.6992</v>
      </c>
      <c r="VY5" s="536">
        <v>2.0156000000000001</v>
      </c>
      <c r="VZ5" s="508">
        <v>1.9317</v>
      </c>
      <c r="WA5" s="526">
        <v>119.1</v>
      </c>
      <c r="WB5" s="748"/>
      <c r="WC5" s="537">
        <v>4.8199999999999996E-3</v>
      </c>
      <c r="WD5" s="528">
        <v>427.9</v>
      </c>
      <c r="WE5" s="630">
        <v>1.6737</v>
      </c>
      <c r="WF5" s="536">
        <v>2.8016999999999999</v>
      </c>
      <c r="WG5" s="536">
        <v>2.5960999999999999</v>
      </c>
      <c r="WH5" s="514">
        <v>110.6</v>
      </c>
      <c r="WI5" s="194">
        <v>90</v>
      </c>
      <c r="WK5" s="193">
        <v>95</v>
      </c>
      <c r="WL5" s="537">
        <v>4.6299999999999996E-3</v>
      </c>
      <c r="WM5" s="526">
        <v>432</v>
      </c>
      <c r="WN5" s="508">
        <v>1.6825000000000001</v>
      </c>
      <c r="WO5" s="536">
        <v>2.6656</v>
      </c>
      <c r="WP5" s="536">
        <v>2.4643000000000002</v>
      </c>
      <c r="WQ5" s="528">
        <v>112.6</v>
      </c>
      <c r="WR5" s="748"/>
      <c r="WS5" s="509">
        <v>4.4900000000000001E-3</v>
      </c>
      <c r="WT5" s="528">
        <v>436.6</v>
      </c>
      <c r="WU5" s="536">
        <v>1.6923999999999999</v>
      </c>
      <c r="WV5" s="536">
        <v>2.5078999999999998</v>
      </c>
      <c r="WW5" s="536">
        <v>2.3168000000000002</v>
      </c>
      <c r="WX5" s="530">
        <v>115</v>
      </c>
      <c r="WY5" s="194">
        <v>100</v>
      </c>
      <c r="WZ5" s="400"/>
      <c r="XA5" s="264">
        <v>100</v>
      </c>
      <c r="XB5" s="512">
        <v>3.7399999999999998E-3</v>
      </c>
      <c r="XC5" s="514">
        <v>427</v>
      </c>
      <c r="XD5" s="523">
        <v>1.6645000000000001</v>
      </c>
      <c r="XE5" s="522">
        <v>3.8742999999999999</v>
      </c>
      <c r="XF5" s="536">
        <v>3.4563000000000001</v>
      </c>
      <c r="XG5" s="526">
        <v>107.3</v>
      </c>
      <c r="XH5" s="748"/>
      <c r="XI5" s="511">
        <v>3.7599999999999999E-3</v>
      </c>
      <c r="XJ5" s="528">
        <v>433.7</v>
      </c>
      <c r="XK5" s="522">
        <v>1.6803999999999999</v>
      </c>
      <c r="XL5" s="522">
        <v>3.7309000000000001</v>
      </c>
      <c r="XM5" s="522">
        <v>2.8151000000000002</v>
      </c>
      <c r="XN5" s="526">
        <v>111.6</v>
      </c>
      <c r="XO5" s="257">
        <v>105</v>
      </c>
      <c r="XP5" s="175"/>
    </row>
    <row r="6" spans="1:640" ht="15.75" thickBot="1" x14ac:dyDescent="0.3">
      <c r="A6" s="174">
        <v>-60</v>
      </c>
      <c r="B6" s="651">
        <v>1.72414</v>
      </c>
      <c r="C6" s="652">
        <v>362</v>
      </c>
      <c r="D6" s="653">
        <v>1.8412999999999999</v>
      </c>
      <c r="E6" s="653">
        <v>0.68159999999999998</v>
      </c>
      <c r="F6" s="653">
        <v>1.1434</v>
      </c>
      <c r="G6" s="654">
        <v>139.9</v>
      </c>
      <c r="H6" s="266"/>
      <c r="I6" s="365">
        <v>0.89766999999999997</v>
      </c>
      <c r="J6" s="374">
        <v>368.4</v>
      </c>
      <c r="K6" s="360">
        <v>1.8149</v>
      </c>
      <c r="L6" s="358">
        <v>0.70709999999999995</v>
      </c>
      <c r="M6" s="360">
        <v>1.1423000000000001</v>
      </c>
      <c r="N6" s="377">
        <v>142.30000000000001</v>
      </c>
      <c r="O6" s="379">
        <v>-50</v>
      </c>
      <c r="P6" s="238"/>
      <c r="Q6" s="235">
        <v>-40</v>
      </c>
      <c r="R6" s="363">
        <v>0.62343999999999999</v>
      </c>
      <c r="S6" s="368">
        <v>375.2</v>
      </c>
      <c r="T6" s="358">
        <v>1.8118000000000001</v>
      </c>
      <c r="U6" s="358">
        <v>0.73</v>
      </c>
      <c r="V6" s="358">
        <v>1.1400999999999999</v>
      </c>
      <c r="W6" s="368">
        <v>144.80000000000001</v>
      </c>
      <c r="X6" s="266"/>
      <c r="Y6" s="363">
        <v>0.47574</v>
      </c>
      <c r="Z6" s="374">
        <v>378.5</v>
      </c>
      <c r="AA6" s="358">
        <v>1.8028</v>
      </c>
      <c r="AB6" s="358">
        <v>0.74370000000000003</v>
      </c>
      <c r="AC6" s="358">
        <v>1.1404000000000001</v>
      </c>
      <c r="AD6" s="378">
        <v>145.9</v>
      </c>
      <c r="AE6" s="237">
        <v>-35</v>
      </c>
      <c r="AG6" s="239">
        <v>-35</v>
      </c>
      <c r="AH6" s="340">
        <v>0.37863999999999998</v>
      </c>
      <c r="AI6" s="396">
        <v>378.1</v>
      </c>
      <c r="AJ6" s="334">
        <v>1.7833000000000001</v>
      </c>
      <c r="AK6" s="334">
        <v>0.74950000000000006</v>
      </c>
      <c r="AL6" s="401">
        <v>1.1439999999999999</v>
      </c>
      <c r="AM6" s="404">
        <v>145.30000000000001</v>
      </c>
      <c r="AN6" s="731"/>
      <c r="AO6" s="340">
        <v>0.32134000000000001</v>
      </c>
      <c r="AP6" s="397">
        <v>381.5</v>
      </c>
      <c r="AQ6" s="401">
        <v>1.7829999999999999</v>
      </c>
      <c r="AR6" s="334">
        <v>0.76180000000000003</v>
      </c>
      <c r="AS6" s="401">
        <v>1.1435999999999999</v>
      </c>
      <c r="AT6" s="407">
        <v>146.4</v>
      </c>
      <c r="AU6" s="242">
        <v>-30</v>
      </c>
      <c r="AW6" s="239">
        <v>-25</v>
      </c>
      <c r="AX6" s="409">
        <v>0.28050000000000003</v>
      </c>
      <c r="AY6" s="396">
        <v>385</v>
      </c>
      <c r="AZ6" s="415">
        <v>1.7849999999999999</v>
      </c>
      <c r="BA6" s="415">
        <v>0.77329999999999999</v>
      </c>
      <c r="BB6" s="416">
        <v>1.143</v>
      </c>
      <c r="BC6" s="396">
        <v>147.6</v>
      </c>
      <c r="BD6" s="731"/>
      <c r="BE6" s="409">
        <v>0.24437999999999999</v>
      </c>
      <c r="BF6" s="397">
        <v>384.6</v>
      </c>
      <c r="BG6" s="416">
        <v>1.7729999999999999</v>
      </c>
      <c r="BH6" s="422">
        <v>0.77829999999999999</v>
      </c>
      <c r="BI6" s="416">
        <v>1.1459999999999999</v>
      </c>
      <c r="BJ6" s="423">
        <v>147.1</v>
      </c>
      <c r="BK6" s="242">
        <v>-25</v>
      </c>
      <c r="BM6" s="243">
        <v>-20</v>
      </c>
      <c r="BN6" s="409">
        <v>0.22128999999999999</v>
      </c>
      <c r="BO6" s="396">
        <v>388.2</v>
      </c>
      <c r="BP6" s="415">
        <v>1.778</v>
      </c>
      <c r="BQ6" s="415">
        <v>0.78879999999999995</v>
      </c>
      <c r="BR6" s="334">
        <v>1.1448</v>
      </c>
      <c r="BS6" s="396">
        <v>148.30000000000001</v>
      </c>
      <c r="BT6" s="731"/>
      <c r="BU6" s="409">
        <v>0.19828999999999999</v>
      </c>
      <c r="BV6" s="397">
        <v>387.9</v>
      </c>
      <c r="BW6" s="415">
        <v>1.7685</v>
      </c>
      <c r="BX6" s="334">
        <v>0.79349999999999998</v>
      </c>
      <c r="BY6" s="415">
        <v>1.1476999999999999</v>
      </c>
      <c r="BZ6" s="433">
        <v>147.80000000000001</v>
      </c>
      <c r="CA6" s="240">
        <v>-20</v>
      </c>
      <c r="CC6" s="244">
        <v>-20</v>
      </c>
      <c r="CD6" s="340">
        <v>0.19561999999999999</v>
      </c>
      <c r="CE6" s="396">
        <v>387.8</v>
      </c>
      <c r="CF6" s="334">
        <v>1.7673000000000001</v>
      </c>
      <c r="CG6" s="334">
        <v>0.79420000000000002</v>
      </c>
      <c r="CH6" s="334">
        <v>1.1480999999999999</v>
      </c>
      <c r="CI6" s="396">
        <v>147.69999999999999</v>
      </c>
      <c r="CJ6" s="731"/>
      <c r="CK6" s="340">
        <v>0.18368999999999999</v>
      </c>
      <c r="CL6" s="397">
        <v>391.5</v>
      </c>
      <c r="CM6" s="334">
        <v>1.7754000000000001</v>
      </c>
      <c r="CN6" s="334">
        <v>0.80310000000000004</v>
      </c>
      <c r="CO6" s="334">
        <v>1.1460999999999999</v>
      </c>
      <c r="CP6" s="425">
        <v>149</v>
      </c>
      <c r="CQ6" s="245">
        <v>-15</v>
      </c>
      <c r="CS6" s="239">
        <v>-15</v>
      </c>
      <c r="CT6" s="340">
        <v>0.16772999999999999</v>
      </c>
      <c r="CU6" s="396">
        <v>391.2</v>
      </c>
      <c r="CV6" s="334">
        <v>1.7674000000000001</v>
      </c>
      <c r="CW6" s="334">
        <v>0.8075</v>
      </c>
      <c r="CX6" s="444">
        <v>1.1488</v>
      </c>
      <c r="CY6" s="396">
        <v>148.6</v>
      </c>
      <c r="CZ6" s="731"/>
      <c r="DA6" s="340">
        <v>0.15423000000000001</v>
      </c>
      <c r="DB6" s="397">
        <v>390.9</v>
      </c>
      <c r="DC6" s="334">
        <v>1.76</v>
      </c>
      <c r="DD6" s="334">
        <v>0.81200000000000006</v>
      </c>
      <c r="DE6" s="444">
        <v>1.1516</v>
      </c>
      <c r="DF6" s="449">
        <v>148.19999999999999</v>
      </c>
      <c r="DG6" s="242">
        <v>-15</v>
      </c>
      <c r="DI6" s="239">
        <v>-10</v>
      </c>
      <c r="DJ6" s="409">
        <v>0.14599000000000001</v>
      </c>
      <c r="DK6" s="396">
        <v>394.7</v>
      </c>
      <c r="DL6" s="415">
        <v>1.7686999999999999</v>
      </c>
      <c r="DM6" s="415">
        <v>0.82050000000000001</v>
      </c>
      <c r="DN6" s="444">
        <v>1.1493</v>
      </c>
      <c r="DO6" s="396">
        <v>149.5</v>
      </c>
      <c r="DP6" s="731"/>
      <c r="DQ6" s="409">
        <v>0.13575999999999999</v>
      </c>
      <c r="DR6" s="397">
        <v>394.4</v>
      </c>
      <c r="DS6" s="415">
        <v>1.7622</v>
      </c>
      <c r="DT6" s="415">
        <v>0.82469999999999999</v>
      </c>
      <c r="DU6" s="455">
        <v>1.1518999999999999</v>
      </c>
      <c r="DV6" s="442">
        <v>149.1</v>
      </c>
      <c r="DW6" s="242">
        <v>-10</v>
      </c>
      <c r="DY6" s="247">
        <v>-10</v>
      </c>
      <c r="DZ6" s="463">
        <v>0.12679000000000001</v>
      </c>
      <c r="EA6" s="467">
        <v>394.1</v>
      </c>
      <c r="EB6" s="470">
        <v>1.7561</v>
      </c>
      <c r="EC6" s="471">
        <v>0.82889999999999997</v>
      </c>
      <c r="ED6" s="471">
        <v>1.1546000000000001</v>
      </c>
      <c r="EE6" s="465">
        <v>148.6</v>
      </c>
      <c r="EF6" s="731"/>
      <c r="EG6" s="464">
        <v>0.1217</v>
      </c>
      <c r="EH6" s="478">
        <v>398</v>
      </c>
      <c r="EI6" s="471">
        <v>1.766</v>
      </c>
      <c r="EJ6" s="473">
        <v>0.83640000000000003</v>
      </c>
      <c r="EK6" s="459">
        <v>1.1517999999999999</v>
      </c>
      <c r="EL6" s="476">
        <v>150</v>
      </c>
      <c r="EM6" s="272">
        <v>-5</v>
      </c>
      <c r="EO6" s="249">
        <v>-5</v>
      </c>
      <c r="EP6" s="474">
        <v>0.11453000000000001</v>
      </c>
      <c r="EQ6" s="467">
        <v>397.7</v>
      </c>
      <c r="ER6" s="473">
        <v>1.7605999999999999</v>
      </c>
      <c r="ES6" s="473">
        <v>0.84040000000000004</v>
      </c>
      <c r="ET6" s="403">
        <v>1.1543000000000001</v>
      </c>
      <c r="EU6" s="465">
        <v>149.6</v>
      </c>
      <c r="EV6" s="731"/>
      <c r="EW6" s="474">
        <v>0.10811999999999999</v>
      </c>
      <c r="EX6" s="478">
        <v>397.4</v>
      </c>
      <c r="EY6" s="473">
        <v>1.7554000000000001</v>
      </c>
      <c r="EZ6" s="473">
        <v>0.84440000000000004</v>
      </c>
      <c r="FA6" s="459">
        <v>1.1569</v>
      </c>
      <c r="FB6" s="465">
        <v>149.19999999999999</v>
      </c>
      <c r="FC6" s="250">
        <v>-5</v>
      </c>
      <c r="FE6" s="235">
        <v>-5</v>
      </c>
      <c r="FF6" s="340">
        <v>0.10235</v>
      </c>
      <c r="FG6" s="396">
        <v>397.1</v>
      </c>
      <c r="FH6" s="334">
        <v>1.7504</v>
      </c>
      <c r="FI6" s="334">
        <v>0.84850000000000003</v>
      </c>
      <c r="FJ6" s="334">
        <v>1.1595</v>
      </c>
      <c r="FK6" s="397">
        <v>148.80000000000001</v>
      </c>
      <c r="FL6" s="731"/>
      <c r="FM6" s="340">
        <v>9.9449999999999997E-2</v>
      </c>
      <c r="FN6" s="397">
        <v>401.1</v>
      </c>
      <c r="FO6" s="334">
        <v>1.7613000000000001</v>
      </c>
      <c r="FP6" s="334">
        <v>0.8548</v>
      </c>
      <c r="FQ6" s="491">
        <v>1.1559999999999999</v>
      </c>
      <c r="FR6" s="397">
        <v>150.19999999999999</v>
      </c>
      <c r="FS6" s="237">
        <v>-5</v>
      </c>
      <c r="FU6" s="243">
        <v>0</v>
      </c>
      <c r="FV6" s="409">
        <v>9.4619999999999996E-2</v>
      </c>
      <c r="FW6" s="396">
        <v>400.8</v>
      </c>
      <c r="FX6" s="415">
        <v>1.7567999999999999</v>
      </c>
      <c r="FY6" s="415">
        <v>0.85850000000000004</v>
      </c>
      <c r="FZ6" s="491">
        <v>1.1584000000000001</v>
      </c>
      <c r="GA6" s="489">
        <v>149.80000000000001</v>
      </c>
      <c r="GB6" s="731"/>
      <c r="GC6" s="371">
        <v>9.0200000000000002E-2</v>
      </c>
      <c r="GD6" s="397">
        <v>400.6</v>
      </c>
      <c r="GE6" s="415">
        <v>1.7524</v>
      </c>
      <c r="GF6" s="415">
        <v>0.86240000000000006</v>
      </c>
      <c r="GG6" s="499">
        <v>1.1609</v>
      </c>
      <c r="GH6" s="489">
        <v>149.5</v>
      </c>
      <c r="GI6" s="240">
        <v>0</v>
      </c>
      <c r="GK6" s="243">
        <v>0</v>
      </c>
      <c r="GL6" s="409">
        <v>8.6150000000000004E-2</v>
      </c>
      <c r="GM6" s="404">
        <v>400.3</v>
      </c>
      <c r="GN6" s="415">
        <v>1.7482</v>
      </c>
      <c r="GO6" s="415">
        <v>0.86629999999999996</v>
      </c>
      <c r="GP6" s="334">
        <v>1.1634</v>
      </c>
      <c r="GQ6" s="396">
        <v>149.1</v>
      </c>
      <c r="GR6" s="731"/>
      <c r="GS6" s="409">
        <v>8.4419999999999995E-2</v>
      </c>
      <c r="GT6" s="397">
        <v>404.4</v>
      </c>
      <c r="GU6" s="241">
        <v>1.7599</v>
      </c>
      <c r="GV6" s="170">
        <v>0.87150000000000005</v>
      </c>
      <c r="GW6" s="241">
        <v>1.1594</v>
      </c>
      <c r="GX6" s="397">
        <v>150.6</v>
      </c>
      <c r="GY6" s="240">
        <v>5</v>
      </c>
      <c r="HA6" s="243">
        <v>5</v>
      </c>
      <c r="HB6" s="340">
        <v>8.0909999999999996E-2</v>
      </c>
      <c r="HC6" s="396">
        <v>404.1</v>
      </c>
      <c r="HD6" s="334">
        <v>1.756</v>
      </c>
      <c r="HE6" s="334">
        <v>0.87519999999999998</v>
      </c>
      <c r="HF6" s="334">
        <v>1.1617</v>
      </c>
      <c r="HG6" s="396">
        <v>150.19999999999999</v>
      </c>
      <c r="HH6" s="731"/>
      <c r="HI6" s="340">
        <v>7.7660000000000007E-2</v>
      </c>
      <c r="HJ6" s="397">
        <v>403.8</v>
      </c>
      <c r="HK6" s="334">
        <v>1.7522</v>
      </c>
      <c r="HL6" s="334">
        <v>0.87880000000000003</v>
      </c>
      <c r="HM6" s="334">
        <v>1.1640999999999999</v>
      </c>
      <c r="HN6" s="396">
        <v>149.80000000000001</v>
      </c>
      <c r="HO6" s="240">
        <v>5</v>
      </c>
      <c r="HQ6" s="243">
        <v>5</v>
      </c>
      <c r="HR6" s="340">
        <v>7.4639999999999998E-2</v>
      </c>
      <c r="HS6" s="396">
        <v>403.6</v>
      </c>
      <c r="HT6" s="334">
        <v>1.7484999999999999</v>
      </c>
      <c r="HU6" s="334">
        <v>0.88260000000000005</v>
      </c>
      <c r="HV6" s="491">
        <v>1.1665000000000001</v>
      </c>
      <c r="HW6" s="396">
        <v>149.5</v>
      </c>
      <c r="HX6" s="731"/>
      <c r="HY6" s="340">
        <v>7.1830000000000005E-2</v>
      </c>
      <c r="HZ6" s="397">
        <v>403.3</v>
      </c>
      <c r="IA6" s="334">
        <v>1.7448999999999999</v>
      </c>
      <c r="IB6" s="334">
        <v>0.88639999999999997</v>
      </c>
      <c r="IC6" s="491">
        <v>1.169</v>
      </c>
      <c r="ID6" s="397">
        <v>149.1</v>
      </c>
      <c r="IE6" s="240">
        <v>5</v>
      </c>
      <c r="IG6" s="268">
        <v>10</v>
      </c>
      <c r="IH6" s="409">
        <v>7.0919999999999997E-2</v>
      </c>
      <c r="II6" s="396">
        <v>407.5</v>
      </c>
      <c r="IJ6" s="415">
        <v>1.7573000000000001</v>
      </c>
      <c r="IK6" s="415">
        <v>0.89039999999999997</v>
      </c>
      <c r="IL6" s="491">
        <v>1.1641999999999999</v>
      </c>
      <c r="IM6" s="396">
        <v>150.69999999999999</v>
      </c>
      <c r="IN6" s="731"/>
      <c r="IO6" s="497">
        <v>6.8419999999999995E-2</v>
      </c>
      <c r="IP6" s="397">
        <v>407.3</v>
      </c>
      <c r="IQ6" s="415">
        <v>1.754</v>
      </c>
      <c r="IR6" s="415">
        <v>0.89380000000000004</v>
      </c>
      <c r="IS6" s="499">
        <v>1.1665000000000001</v>
      </c>
      <c r="IT6" s="396">
        <v>150.30000000000001</v>
      </c>
      <c r="IU6" s="240">
        <v>10</v>
      </c>
      <c r="IW6" s="264">
        <v>10</v>
      </c>
      <c r="IX6" s="512">
        <v>6.608E-2</v>
      </c>
      <c r="IY6" s="514">
        <v>407</v>
      </c>
      <c r="IZ6" s="523">
        <v>1.7506999999999999</v>
      </c>
      <c r="JA6" s="523">
        <v>0.89739999999999998</v>
      </c>
      <c r="JB6" s="523">
        <v>1.1688000000000001</v>
      </c>
      <c r="JC6" s="526">
        <v>149.9</v>
      </c>
      <c r="JD6" s="731"/>
      <c r="JE6" s="511">
        <v>6.3880000000000006E-2</v>
      </c>
      <c r="JF6" s="528">
        <v>406.8</v>
      </c>
      <c r="JG6" s="522">
        <v>1.7475000000000001</v>
      </c>
      <c r="JH6" s="508">
        <v>0.90100000000000002</v>
      </c>
      <c r="JI6" s="523">
        <v>1.1712</v>
      </c>
      <c r="JJ6" s="528">
        <v>149.6</v>
      </c>
      <c r="JK6" s="257">
        <v>10</v>
      </c>
      <c r="JM6" s="264">
        <v>10</v>
      </c>
      <c r="JN6" s="509">
        <v>6.1800000000000001E-2</v>
      </c>
      <c r="JO6" s="514">
        <v>406.5</v>
      </c>
      <c r="JP6" s="508">
        <v>1.7444</v>
      </c>
      <c r="JQ6" s="508">
        <v>0.90469999999999995</v>
      </c>
      <c r="JR6" s="508">
        <v>1.1736</v>
      </c>
      <c r="JS6" s="526">
        <v>149.19999999999999</v>
      </c>
      <c r="JT6" s="731"/>
      <c r="JU6" s="537">
        <v>6.1339999999999999E-2</v>
      </c>
      <c r="JV6" s="528">
        <v>410.8</v>
      </c>
      <c r="JW6" s="536">
        <v>1.7572000000000001</v>
      </c>
      <c r="JX6" s="508">
        <v>0.90759999999999996</v>
      </c>
      <c r="JY6" s="508">
        <v>1.1681999999999999</v>
      </c>
      <c r="JZ6" s="526">
        <v>150.9</v>
      </c>
      <c r="KA6" s="194">
        <v>15</v>
      </c>
      <c r="KC6" s="259">
        <v>15</v>
      </c>
      <c r="KD6" s="340">
        <v>5.9459999999999999E-2</v>
      </c>
      <c r="KE6" s="540">
        <v>410.5</v>
      </c>
      <c r="KF6" s="170">
        <v>1.7543</v>
      </c>
      <c r="KG6" s="170">
        <v>0.91090000000000004</v>
      </c>
      <c r="KH6" s="196">
        <v>1.1704000000000001</v>
      </c>
      <c r="KI6" s="540">
        <v>150.5</v>
      </c>
      <c r="KJ6" s="731"/>
      <c r="KK6" s="340">
        <v>5.7689999999999998E-2</v>
      </c>
      <c r="KL6" s="397">
        <v>410.3</v>
      </c>
      <c r="KM6" s="334">
        <v>1.7514000000000001</v>
      </c>
      <c r="KN6" s="334">
        <v>0.9143</v>
      </c>
      <c r="KO6" s="334">
        <v>1.1727000000000001</v>
      </c>
      <c r="KP6" s="540">
        <v>150.19999999999999</v>
      </c>
      <c r="KQ6" s="260">
        <v>15</v>
      </c>
      <c r="KS6" s="261">
        <v>15</v>
      </c>
      <c r="KT6" s="409">
        <v>5.6000000000000001E-2</v>
      </c>
      <c r="KU6" s="543">
        <v>410.1</v>
      </c>
      <c r="KV6" s="415">
        <v>1.7485999999999999</v>
      </c>
      <c r="KW6" s="415">
        <v>0.91779999999999995</v>
      </c>
      <c r="KX6" s="541">
        <v>1.175</v>
      </c>
      <c r="KY6" s="543">
        <v>149.80000000000001</v>
      </c>
      <c r="KZ6" s="731"/>
      <c r="LA6" s="340">
        <v>5.4399999999999997E-2</v>
      </c>
      <c r="LB6" s="397">
        <v>409.8</v>
      </c>
      <c r="LC6" s="415">
        <v>1.7459</v>
      </c>
      <c r="LD6" s="415">
        <v>0.92130000000000001</v>
      </c>
      <c r="LE6" s="415">
        <v>1.1773</v>
      </c>
      <c r="LF6" s="540">
        <v>149.5</v>
      </c>
      <c r="LG6" s="240">
        <v>15</v>
      </c>
      <c r="LI6" s="264">
        <v>15</v>
      </c>
      <c r="LJ6" s="512">
        <v>5.2880000000000003E-2</v>
      </c>
      <c r="LK6" s="526">
        <v>409.6</v>
      </c>
      <c r="LL6" s="523">
        <v>1.7432000000000001</v>
      </c>
      <c r="LM6" s="523">
        <v>0.92490000000000006</v>
      </c>
      <c r="LN6" s="523">
        <v>1.1797</v>
      </c>
      <c r="LO6" s="526">
        <v>149.1</v>
      </c>
      <c r="LP6" s="731"/>
      <c r="LQ6" s="511">
        <v>5.067E-2</v>
      </c>
      <c r="LR6" s="528">
        <v>413.6</v>
      </c>
      <c r="LS6" s="523">
        <v>1.7525999999999999</v>
      </c>
      <c r="LT6" s="536">
        <v>0.93140000000000001</v>
      </c>
      <c r="LU6" s="508">
        <v>1.1768000000000001</v>
      </c>
      <c r="LV6" s="526">
        <v>150.4</v>
      </c>
      <c r="LW6" s="257">
        <v>20</v>
      </c>
      <c r="LY6" s="193">
        <v>20</v>
      </c>
      <c r="LZ6" s="537">
        <v>4.7509999999999997E-2</v>
      </c>
      <c r="MA6" s="514">
        <v>413</v>
      </c>
      <c r="MB6" s="508">
        <v>1.7464</v>
      </c>
      <c r="MC6" s="536">
        <v>0.93989999999999996</v>
      </c>
      <c r="MD6" s="508">
        <v>1.1825000000000001</v>
      </c>
      <c r="ME6" s="526">
        <v>149.5</v>
      </c>
      <c r="MF6" s="731"/>
      <c r="MG6" s="537">
        <v>4.4679999999999997E-2</v>
      </c>
      <c r="MH6" s="530">
        <v>412.4</v>
      </c>
      <c r="MI6" s="191">
        <v>1.7403999999999999</v>
      </c>
      <c r="MJ6" s="192">
        <v>0.94869999999999999</v>
      </c>
      <c r="MK6" s="191">
        <v>1.1883999999999999</v>
      </c>
      <c r="ML6" s="526">
        <v>148.69999999999999</v>
      </c>
      <c r="MM6" s="194">
        <v>20</v>
      </c>
      <c r="MO6" s="176">
        <v>25</v>
      </c>
      <c r="MP6" s="340">
        <v>4.3249999999999997E-2</v>
      </c>
      <c r="MQ6" s="396">
        <v>416.6</v>
      </c>
      <c r="MR6" s="334">
        <v>1.7507999999999999</v>
      </c>
      <c r="MS6" s="334">
        <v>0.95350000000000001</v>
      </c>
      <c r="MT6" s="334">
        <v>1.1843999999999999</v>
      </c>
      <c r="MU6" s="396">
        <v>150</v>
      </c>
      <c r="MV6" s="731"/>
      <c r="MW6" s="340">
        <v>4.0899999999999999E-2</v>
      </c>
      <c r="MX6" s="397">
        <v>416</v>
      </c>
      <c r="MY6" s="334">
        <v>1.7454000000000001</v>
      </c>
      <c r="MZ6" s="334">
        <v>0.96179999999999999</v>
      </c>
      <c r="NA6" s="334">
        <v>1.1900999999999999</v>
      </c>
      <c r="NB6" s="397">
        <v>149.19999999999999</v>
      </c>
      <c r="NC6" s="260">
        <v>25</v>
      </c>
      <c r="NE6" s="243">
        <v>25</v>
      </c>
      <c r="NF6" s="409">
        <v>3.8769999999999999E-2</v>
      </c>
      <c r="NG6" s="396">
        <v>415.4</v>
      </c>
      <c r="NH6" s="415">
        <v>1.7401</v>
      </c>
      <c r="NI6" s="415">
        <v>0.97050000000000003</v>
      </c>
      <c r="NJ6" s="335">
        <v>1.1960999999999999</v>
      </c>
      <c r="NK6" s="396">
        <v>148.4</v>
      </c>
      <c r="NL6" s="731"/>
      <c r="NM6" s="409">
        <v>3.7810000000000003E-2</v>
      </c>
      <c r="NN6" s="397">
        <v>419.7</v>
      </c>
      <c r="NO6" s="415">
        <v>1.7512000000000001</v>
      </c>
      <c r="NP6" s="334">
        <v>0.97370000000000001</v>
      </c>
      <c r="NQ6" s="415">
        <v>1.1910000000000001</v>
      </c>
      <c r="NR6" s="396">
        <v>149.80000000000001</v>
      </c>
      <c r="NS6" s="240">
        <v>30</v>
      </c>
      <c r="NU6" s="254">
        <v>30</v>
      </c>
      <c r="NV6" s="511">
        <v>3.5999999999999997E-2</v>
      </c>
      <c r="NW6" s="528">
        <v>419.2</v>
      </c>
      <c r="NX6" s="522">
        <v>1.7463</v>
      </c>
      <c r="NY6" s="470">
        <v>0.9819</v>
      </c>
      <c r="NZ6" s="459">
        <v>1.1967000000000001</v>
      </c>
      <c r="OA6" s="476">
        <v>149</v>
      </c>
      <c r="OB6" s="731"/>
      <c r="OC6" s="511">
        <v>3.4320000000000003E-2</v>
      </c>
      <c r="OD6" s="528">
        <v>418.6</v>
      </c>
      <c r="OE6" s="574">
        <v>1.7415</v>
      </c>
      <c r="OF6" s="459">
        <v>0.99039999999999995</v>
      </c>
      <c r="OG6" s="575">
        <v>1.2025999999999999</v>
      </c>
      <c r="OH6" s="476">
        <v>148.19999999999999</v>
      </c>
      <c r="OI6" s="257">
        <v>30</v>
      </c>
      <c r="OK6" s="193">
        <v>30</v>
      </c>
      <c r="OL6" s="537">
        <v>3.2770000000000001E-2</v>
      </c>
      <c r="OM6" s="517">
        <v>418</v>
      </c>
      <c r="ON6" s="536">
        <v>1.7369000000000001</v>
      </c>
      <c r="OO6" s="459">
        <v>0.99929999999999997</v>
      </c>
      <c r="OP6" s="459">
        <v>1.2089000000000001</v>
      </c>
      <c r="OQ6" s="476">
        <v>147.4</v>
      </c>
      <c r="OR6" s="731"/>
      <c r="OS6" s="537">
        <v>3.2219999999999999E-2</v>
      </c>
      <c r="OT6" s="528">
        <v>422.5</v>
      </c>
      <c r="OU6" s="536">
        <v>1.7486999999999999</v>
      </c>
      <c r="OV6" s="459">
        <v>1.0002</v>
      </c>
      <c r="OW6" s="459">
        <v>1.2021999999999999</v>
      </c>
      <c r="OX6" s="476">
        <v>149</v>
      </c>
      <c r="OY6" s="194">
        <v>35</v>
      </c>
      <c r="PA6" s="176">
        <v>35</v>
      </c>
      <c r="PB6" s="340">
        <v>3.0859999999999999E-2</v>
      </c>
      <c r="PC6" s="396">
        <v>421.9</v>
      </c>
      <c r="PD6" s="334">
        <v>1.7444</v>
      </c>
      <c r="PE6" s="334">
        <v>1.0085</v>
      </c>
      <c r="PF6" s="541">
        <v>1.2081</v>
      </c>
      <c r="PG6" s="540">
        <v>148.19999999999999</v>
      </c>
      <c r="PH6" s="731"/>
      <c r="PI6" s="340">
        <v>2.9600000000000001E-2</v>
      </c>
      <c r="PJ6" s="397">
        <v>421.4</v>
      </c>
      <c r="PK6" s="334">
        <v>1.7401</v>
      </c>
      <c r="PL6" s="334">
        <v>1.0172000000000001</v>
      </c>
      <c r="PM6" s="334">
        <v>1.2141999999999999</v>
      </c>
      <c r="PN6" s="397">
        <v>147.4</v>
      </c>
      <c r="PO6" s="260">
        <v>35</v>
      </c>
      <c r="PQ6" s="243">
        <v>35</v>
      </c>
      <c r="PR6" s="409">
        <v>2.8410000000000001E-2</v>
      </c>
      <c r="PS6" s="396">
        <v>420.8</v>
      </c>
      <c r="PT6" s="415">
        <v>1.736</v>
      </c>
      <c r="PU6" s="585">
        <v>1.0262</v>
      </c>
      <c r="PV6" s="586">
        <v>1.2205999999999999</v>
      </c>
      <c r="PW6" s="583">
        <v>146.6</v>
      </c>
      <c r="PX6" s="731"/>
      <c r="PY6" s="409">
        <v>2.7050000000000001E-2</v>
      </c>
      <c r="PZ6" s="397">
        <v>424.8</v>
      </c>
      <c r="QA6" s="415">
        <v>1.7444999999999999</v>
      </c>
      <c r="QB6" s="415">
        <v>1.0331999999999999</v>
      </c>
      <c r="QC6" s="415">
        <v>1.2183999999999999</v>
      </c>
      <c r="QD6" s="396">
        <v>147.6</v>
      </c>
      <c r="QE6" s="240">
        <v>40</v>
      </c>
      <c r="QG6" s="254">
        <v>40</v>
      </c>
      <c r="QH6" s="512">
        <v>2.512E-2</v>
      </c>
      <c r="QI6" s="514">
        <v>423.7</v>
      </c>
      <c r="QJ6" s="523">
        <v>1.7367999999999999</v>
      </c>
      <c r="QK6" s="523">
        <v>1.0509999999999999</v>
      </c>
      <c r="QL6" s="523">
        <v>1.2312000000000001</v>
      </c>
      <c r="QM6" s="526">
        <v>146</v>
      </c>
      <c r="QN6" s="731"/>
      <c r="QO6" s="511">
        <v>2.4119999999999999E-2</v>
      </c>
      <c r="QP6" s="532">
        <v>427.9</v>
      </c>
      <c r="QQ6" s="256">
        <v>1.7462</v>
      </c>
      <c r="QR6" s="191">
        <v>1.0559000000000001</v>
      </c>
      <c r="QS6" s="256">
        <v>1.2275</v>
      </c>
      <c r="QT6" s="527">
        <v>147.19999999999999</v>
      </c>
      <c r="QU6" s="265">
        <v>45</v>
      </c>
      <c r="QW6" s="199">
        <v>45</v>
      </c>
      <c r="QX6" s="537">
        <v>2.256E-2</v>
      </c>
      <c r="QY6" s="517">
        <v>426.8</v>
      </c>
      <c r="QZ6" s="508">
        <v>1.7391000000000001</v>
      </c>
      <c r="RA6" s="508">
        <v>1.0736000000000001</v>
      </c>
      <c r="RB6" s="508">
        <v>1.2403999999999999</v>
      </c>
      <c r="RC6" s="526">
        <v>145.69999999999999</v>
      </c>
      <c r="RD6" s="731"/>
      <c r="RE6" s="537">
        <v>2.1139999999999999E-2</v>
      </c>
      <c r="RF6" s="530">
        <v>425.7</v>
      </c>
      <c r="RG6" s="508">
        <v>1.7322</v>
      </c>
      <c r="RH6" s="508">
        <v>1.0928</v>
      </c>
      <c r="RI6" s="508">
        <v>1.2545999999999999</v>
      </c>
      <c r="RJ6" s="526">
        <v>144.1</v>
      </c>
      <c r="RK6" s="269">
        <v>45</v>
      </c>
      <c r="RM6" s="176">
        <v>50</v>
      </c>
      <c r="RN6" s="340">
        <v>1.932E-2</v>
      </c>
      <c r="RO6" s="396">
        <v>429</v>
      </c>
      <c r="RP6" s="334">
        <v>1.7362</v>
      </c>
      <c r="RQ6" s="334">
        <v>1.1131</v>
      </c>
      <c r="RR6" s="491">
        <v>1.2623</v>
      </c>
      <c r="RS6" s="396">
        <v>143.9</v>
      </c>
      <c r="RT6" s="731"/>
      <c r="RU6" s="340">
        <v>1.7829999999999999E-2</v>
      </c>
      <c r="RV6" s="397">
        <v>432.5</v>
      </c>
      <c r="RW6" s="334">
        <v>1.7411000000000001</v>
      </c>
      <c r="RX6" s="334">
        <v>1.131</v>
      </c>
      <c r="RY6" s="334">
        <v>1.2685</v>
      </c>
      <c r="RZ6" s="397">
        <v>143.9</v>
      </c>
      <c r="SA6" s="260">
        <v>55</v>
      </c>
      <c r="SC6" s="243">
        <v>55</v>
      </c>
      <c r="SD6" s="581">
        <v>1.602E-2</v>
      </c>
      <c r="SE6" s="583">
        <v>430.3</v>
      </c>
      <c r="SF6" s="585">
        <v>1.7292000000000001</v>
      </c>
      <c r="SG6" s="585">
        <v>1.1731</v>
      </c>
      <c r="SH6" s="585">
        <v>1.3005</v>
      </c>
      <c r="SI6" s="583">
        <v>140.9</v>
      </c>
      <c r="SJ6" s="731"/>
      <c r="SK6" s="409">
        <v>1.502E-2</v>
      </c>
      <c r="SL6" s="176">
        <v>434</v>
      </c>
      <c r="SM6" s="415">
        <v>1.7357</v>
      </c>
      <c r="SN6" s="415">
        <v>1.1872</v>
      </c>
      <c r="SO6" s="415">
        <v>1.3039000000000001</v>
      </c>
      <c r="SP6" s="170">
        <v>141.19999999999999</v>
      </c>
      <c r="SQ6" s="240">
        <v>60</v>
      </c>
      <c r="SS6" s="243">
        <v>65</v>
      </c>
      <c r="ST6" s="409">
        <v>1.417E-2</v>
      </c>
      <c r="SU6" s="170">
        <v>437.8</v>
      </c>
      <c r="SV6" s="415">
        <v>1.7426999999999999</v>
      </c>
      <c r="SW6" s="415">
        <v>1.1989000000000001</v>
      </c>
      <c r="SX6" s="415">
        <v>1.3056000000000001</v>
      </c>
      <c r="SY6" s="170">
        <v>141.69999999999999</v>
      </c>
      <c r="SZ6" s="731"/>
      <c r="TA6" s="409">
        <v>1.294E-2</v>
      </c>
      <c r="TB6" s="397">
        <v>435.6</v>
      </c>
      <c r="TC6" s="415">
        <v>1.7323</v>
      </c>
      <c r="TD6" s="334">
        <v>1.2447999999999999</v>
      </c>
      <c r="TE6" s="334">
        <v>1.3411999999999999</v>
      </c>
      <c r="TF6" s="397">
        <v>138.69999999999999</v>
      </c>
      <c r="TG6" s="240">
        <v>65</v>
      </c>
      <c r="TI6" s="176">
        <v>70</v>
      </c>
      <c r="TJ6" s="340">
        <v>1.234E-2</v>
      </c>
      <c r="TK6" s="396">
        <v>439.7</v>
      </c>
      <c r="TL6" s="334">
        <v>1.7404999999999999</v>
      </c>
      <c r="TM6" s="491">
        <v>1.2514000000000001</v>
      </c>
      <c r="TN6" s="334">
        <v>1.339</v>
      </c>
      <c r="TO6" s="489">
        <v>139.5</v>
      </c>
      <c r="TP6" s="731"/>
      <c r="TQ6" s="340">
        <v>1.1339999999999999E-2</v>
      </c>
      <c r="TR6" s="488">
        <v>437.4</v>
      </c>
      <c r="TS6" s="491">
        <v>1.7305999999999999</v>
      </c>
      <c r="TT6" s="334">
        <v>1.3028999999999999</v>
      </c>
      <c r="TU6" s="334">
        <v>1.3794</v>
      </c>
      <c r="TV6" s="396">
        <v>136.5</v>
      </c>
      <c r="TW6" s="271">
        <v>70</v>
      </c>
      <c r="TY6" s="185">
        <v>75</v>
      </c>
      <c r="TZ6" s="474">
        <v>1.0919999999999999E-2</v>
      </c>
      <c r="UA6" s="467">
        <v>441.7</v>
      </c>
      <c r="UB6" s="473">
        <v>1.7398</v>
      </c>
      <c r="UC6" s="473">
        <v>1.3031999999999999</v>
      </c>
      <c r="UD6" s="491">
        <v>1.3722000000000001</v>
      </c>
      <c r="UE6" s="467">
        <v>137.69999999999999</v>
      </c>
      <c r="UF6" s="749"/>
      <c r="UG6" s="474">
        <v>1.009E-2</v>
      </c>
      <c r="UH6" s="478">
        <v>439.5</v>
      </c>
      <c r="UI6" s="473">
        <v>1.7302999999999999</v>
      </c>
      <c r="UJ6" s="473">
        <v>1.36</v>
      </c>
      <c r="UK6" s="473">
        <v>1.4173</v>
      </c>
      <c r="UL6" s="478">
        <v>134.69999999999999</v>
      </c>
      <c r="UM6" s="310">
        <v>75</v>
      </c>
      <c r="UO6" s="247">
        <v>80</v>
      </c>
      <c r="UP6" s="464">
        <v>9.0900000000000009E-3</v>
      </c>
      <c r="UQ6" s="467">
        <v>441.8</v>
      </c>
      <c r="UR6" s="471">
        <v>1.7313000000000001</v>
      </c>
      <c r="US6" s="471">
        <v>1.4142999999999999</v>
      </c>
      <c r="UT6" s="491">
        <v>1.4531000000000001</v>
      </c>
      <c r="UU6" s="467">
        <v>133.30000000000001</v>
      </c>
      <c r="UV6" s="749"/>
      <c r="UW6" s="497">
        <v>8.2900000000000005E-3</v>
      </c>
      <c r="UX6" s="478">
        <v>444.3</v>
      </c>
      <c r="UY6" s="471">
        <v>1.7336</v>
      </c>
      <c r="UZ6" s="471">
        <v>1.4637</v>
      </c>
      <c r="VA6" s="499">
        <v>1.4851000000000001</v>
      </c>
      <c r="VB6" s="467">
        <v>132.30000000000001</v>
      </c>
      <c r="VC6" s="248">
        <v>85</v>
      </c>
      <c r="VE6" s="254">
        <v>85</v>
      </c>
      <c r="VF6" s="512">
        <v>7.1799999999999998E-3</v>
      </c>
      <c r="VG6" s="514">
        <v>439.2</v>
      </c>
      <c r="VH6" s="522">
        <v>1.7151000000000001</v>
      </c>
      <c r="VI6" s="523">
        <v>1.6458999999999999</v>
      </c>
      <c r="VJ6" s="508">
        <v>1.6338999999999999</v>
      </c>
      <c r="VK6" s="527">
        <v>126.1</v>
      </c>
      <c r="VL6" s="749"/>
      <c r="VM6" s="511">
        <v>6.6600000000000001E-3</v>
      </c>
      <c r="VN6" s="532">
        <v>442.1</v>
      </c>
      <c r="VO6" s="522">
        <v>1.7193000000000001</v>
      </c>
      <c r="VP6" s="508">
        <v>1.6913</v>
      </c>
      <c r="VQ6" s="523">
        <v>1.6621999999999999</v>
      </c>
      <c r="VR6" s="526">
        <v>125.8</v>
      </c>
      <c r="VS6" s="257">
        <v>90</v>
      </c>
      <c r="VU6" s="193">
        <v>95</v>
      </c>
      <c r="VV6" s="537">
        <v>6.2399999999999999E-3</v>
      </c>
      <c r="VW6" s="538">
        <v>445.3</v>
      </c>
      <c r="VX6" s="508">
        <v>1.7244999999999999</v>
      </c>
      <c r="VY6" s="508">
        <v>1.7214</v>
      </c>
      <c r="VZ6" s="508">
        <v>1.6778</v>
      </c>
      <c r="WA6" s="526">
        <v>126.1</v>
      </c>
      <c r="WB6" s="749"/>
      <c r="WC6" s="537">
        <v>5.4400000000000004E-3</v>
      </c>
      <c r="WD6" s="530">
        <v>439.5</v>
      </c>
      <c r="WE6" s="508">
        <v>1.7056</v>
      </c>
      <c r="WF6" s="536">
        <v>2.0236999999999998</v>
      </c>
      <c r="WG6" s="508">
        <v>1.9273</v>
      </c>
      <c r="WH6" s="514">
        <v>119.9</v>
      </c>
      <c r="WI6" s="194">
        <v>95</v>
      </c>
      <c r="WK6" s="199">
        <v>100</v>
      </c>
      <c r="WL6" s="509">
        <v>5.1799999999999997E-3</v>
      </c>
      <c r="WM6" s="526">
        <v>443.4</v>
      </c>
      <c r="WN6" s="508">
        <v>1.7132000000000001</v>
      </c>
      <c r="WO6" s="536">
        <v>2.0061</v>
      </c>
      <c r="WP6" s="492">
        <v>1.9016</v>
      </c>
      <c r="WQ6" s="526">
        <v>121.2</v>
      </c>
      <c r="WR6" s="749"/>
      <c r="WS6" s="509">
        <v>4.9800000000000001E-3</v>
      </c>
      <c r="WT6" s="528">
        <v>447.6</v>
      </c>
      <c r="WU6" s="536">
        <v>1.7216</v>
      </c>
      <c r="WV6" s="492">
        <v>1.9711000000000001</v>
      </c>
      <c r="WW6" s="536">
        <v>1.8620000000000001</v>
      </c>
      <c r="WX6" s="530">
        <v>122.9</v>
      </c>
      <c r="WY6" s="194">
        <v>105</v>
      </c>
      <c r="WZ6" s="402"/>
      <c r="XA6" s="264">
        <v>105</v>
      </c>
      <c r="XB6" s="512">
        <v>4.3800000000000002E-3</v>
      </c>
      <c r="XC6" s="514">
        <v>441.5</v>
      </c>
      <c r="XD6" s="522">
        <v>1.7031000000000001</v>
      </c>
      <c r="XE6" s="522">
        <v>2.3563000000000001</v>
      </c>
      <c r="XF6" s="536">
        <v>2.1772</v>
      </c>
      <c r="XG6" s="526">
        <v>117.6</v>
      </c>
      <c r="XH6" s="749"/>
      <c r="XI6" s="512">
        <v>4.2900000000000004E-3</v>
      </c>
      <c r="XJ6" s="528">
        <v>446.7</v>
      </c>
      <c r="XK6" s="522">
        <v>1.7142999999999999</v>
      </c>
      <c r="XL6" s="522">
        <v>2.2216</v>
      </c>
      <c r="XM6" s="522">
        <v>2.0539999999999998</v>
      </c>
      <c r="XN6" s="526">
        <v>120.4</v>
      </c>
      <c r="XO6" s="257">
        <v>110</v>
      </c>
      <c r="XP6" s="177"/>
    </row>
    <row r="7" spans="1:640" ht="15.75" thickBot="1" x14ac:dyDescent="0.3">
      <c r="A7" s="235">
        <v>-55</v>
      </c>
      <c r="B7" s="365">
        <v>1.76678</v>
      </c>
      <c r="C7" s="368">
        <v>365.4</v>
      </c>
      <c r="D7" s="360">
        <v>1.8572</v>
      </c>
      <c r="E7" s="360">
        <v>0.69059999999999999</v>
      </c>
      <c r="F7" s="360">
        <v>1.1405000000000001</v>
      </c>
      <c r="G7" s="172">
        <v>141.4</v>
      </c>
      <c r="H7" s="266"/>
      <c r="I7" s="365">
        <v>0.91912000000000005</v>
      </c>
      <c r="J7" s="374">
        <v>372</v>
      </c>
      <c r="K7" s="360">
        <v>1.8306</v>
      </c>
      <c r="L7" s="358">
        <v>0.71540000000000004</v>
      </c>
      <c r="M7" s="360">
        <v>1.1392</v>
      </c>
      <c r="N7" s="378">
        <v>143.9</v>
      </c>
      <c r="O7" s="379">
        <v>-45</v>
      </c>
      <c r="P7" s="238"/>
      <c r="Q7" s="235">
        <v>-35</v>
      </c>
      <c r="R7" s="363">
        <v>0.63734999999999997</v>
      </c>
      <c r="S7" s="368">
        <v>378.8</v>
      </c>
      <c r="T7" s="358">
        <v>1.8273999999999999</v>
      </c>
      <c r="U7" s="358">
        <v>0.7379</v>
      </c>
      <c r="V7" s="358">
        <v>1.137</v>
      </c>
      <c r="W7" s="368">
        <v>146.4</v>
      </c>
      <c r="X7" s="266"/>
      <c r="Y7" s="363">
        <v>0.48662</v>
      </c>
      <c r="Z7" s="374">
        <v>382.2</v>
      </c>
      <c r="AA7" s="358">
        <v>1.8183</v>
      </c>
      <c r="AB7" s="358">
        <v>0.75109999999999999</v>
      </c>
      <c r="AC7" s="358">
        <v>1.1372</v>
      </c>
      <c r="AD7" s="368">
        <v>147.4</v>
      </c>
      <c r="AE7" s="237">
        <v>-30</v>
      </c>
      <c r="AG7" s="239">
        <v>-30</v>
      </c>
      <c r="AH7" s="340">
        <v>0.38745000000000002</v>
      </c>
      <c r="AI7" s="396">
        <v>381.8</v>
      </c>
      <c r="AJ7" s="334">
        <v>1.7989999999999999</v>
      </c>
      <c r="AK7" s="334">
        <v>0.75639999999999996</v>
      </c>
      <c r="AL7" s="401">
        <v>1.1404000000000001</v>
      </c>
      <c r="AM7" s="404">
        <v>146.9</v>
      </c>
      <c r="AN7" s="731"/>
      <c r="AO7" s="340">
        <v>0.32873000000000002</v>
      </c>
      <c r="AP7" s="397">
        <v>385.3</v>
      </c>
      <c r="AQ7" s="334">
        <v>1.7986</v>
      </c>
      <c r="AR7" s="334">
        <v>0.76829999999999998</v>
      </c>
      <c r="AS7" s="401">
        <v>1.1399999999999999</v>
      </c>
      <c r="AT7" s="407">
        <v>148</v>
      </c>
      <c r="AU7" s="242">
        <v>-25</v>
      </c>
      <c r="AW7" s="239">
        <v>-20</v>
      </c>
      <c r="AX7" s="409">
        <v>0.28677999999999998</v>
      </c>
      <c r="AY7" s="396">
        <v>388.8</v>
      </c>
      <c r="AZ7" s="415">
        <v>1.8004</v>
      </c>
      <c r="BA7" s="415">
        <v>0.77969999999999995</v>
      </c>
      <c r="BB7" s="416">
        <v>1.1392</v>
      </c>
      <c r="BC7" s="396">
        <v>149.1</v>
      </c>
      <c r="BD7" s="731"/>
      <c r="BE7" s="409">
        <v>0.24994</v>
      </c>
      <c r="BF7" s="397">
        <v>388.5</v>
      </c>
      <c r="BG7" s="415">
        <v>1.7886</v>
      </c>
      <c r="BH7" s="422">
        <v>0.78420000000000001</v>
      </c>
      <c r="BI7" s="416">
        <v>1.1419999999999999</v>
      </c>
      <c r="BJ7" s="423">
        <v>148.69999999999999</v>
      </c>
      <c r="BK7" s="242">
        <v>-20</v>
      </c>
      <c r="BM7" s="243">
        <v>-15</v>
      </c>
      <c r="BN7" s="409">
        <v>0.22624</v>
      </c>
      <c r="BO7" s="396">
        <v>392.1</v>
      </c>
      <c r="BP7" s="415">
        <v>1.7935000000000001</v>
      </c>
      <c r="BQ7" s="415">
        <v>0.79459999999999997</v>
      </c>
      <c r="BR7" s="334">
        <v>1.1408</v>
      </c>
      <c r="BS7" s="396">
        <v>149.9</v>
      </c>
      <c r="BT7" s="731"/>
      <c r="BU7" s="409">
        <v>0.20283999999999999</v>
      </c>
      <c r="BV7" s="397">
        <v>391.8</v>
      </c>
      <c r="BW7" s="415">
        <v>1.784</v>
      </c>
      <c r="BX7" s="334">
        <v>0.79879999999999995</v>
      </c>
      <c r="BY7" s="415">
        <v>1.1434</v>
      </c>
      <c r="BZ7" s="433">
        <v>149.5</v>
      </c>
      <c r="CA7" s="240">
        <v>-15</v>
      </c>
      <c r="CC7" s="244">
        <v>-15</v>
      </c>
      <c r="CD7" s="340">
        <v>0.20011999999999999</v>
      </c>
      <c r="CE7" s="396">
        <v>391.8</v>
      </c>
      <c r="CF7" s="334">
        <v>1.7828999999999999</v>
      </c>
      <c r="CG7" s="334">
        <v>0.7994</v>
      </c>
      <c r="CH7" s="334">
        <v>1.1437999999999999</v>
      </c>
      <c r="CI7" s="425">
        <v>149.4</v>
      </c>
      <c r="CJ7" s="731"/>
      <c r="CK7" s="340">
        <v>0.18783</v>
      </c>
      <c r="CL7" s="397">
        <v>395.6</v>
      </c>
      <c r="CM7" s="334">
        <v>1.7907999999999999</v>
      </c>
      <c r="CN7" s="334">
        <v>0.80840000000000001</v>
      </c>
      <c r="CO7" s="334">
        <v>1.1418999999999999</v>
      </c>
      <c r="CP7" s="425">
        <v>150.69999999999999</v>
      </c>
      <c r="CQ7" s="245">
        <v>-10</v>
      </c>
      <c r="CS7" s="239">
        <v>-10</v>
      </c>
      <c r="CT7" s="340">
        <v>0.17155999999999999</v>
      </c>
      <c r="CU7" s="396">
        <v>395.3</v>
      </c>
      <c r="CV7" s="334">
        <v>1.7828999999999999</v>
      </c>
      <c r="CW7" s="334">
        <v>0.81240000000000001</v>
      </c>
      <c r="CX7" s="444">
        <v>1.1443000000000001</v>
      </c>
      <c r="CY7" s="396">
        <v>150.30000000000001</v>
      </c>
      <c r="CZ7" s="731"/>
      <c r="DA7" s="340">
        <v>0.1578</v>
      </c>
      <c r="DB7" s="397">
        <v>395</v>
      </c>
      <c r="DC7" s="444">
        <v>1.7756000000000001</v>
      </c>
      <c r="DD7" s="334">
        <v>0.81640000000000001</v>
      </c>
      <c r="DE7" s="444">
        <v>1.1468</v>
      </c>
      <c r="DF7" s="449">
        <v>149.9</v>
      </c>
      <c r="DG7" s="242">
        <v>-10</v>
      </c>
      <c r="DI7" s="239">
        <v>-5</v>
      </c>
      <c r="DJ7" s="409">
        <v>0.14929999999999999</v>
      </c>
      <c r="DK7" s="398">
        <v>398.8</v>
      </c>
      <c r="DL7" s="415">
        <v>1.7842</v>
      </c>
      <c r="DM7" s="415">
        <v>0.82499999999999996</v>
      </c>
      <c r="DN7" s="444">
        <v>1.1447000000000001</v>
      </c>
      <c r="DO7" s="396">
        <v>151.19999999999999</v>
      </c>
      <c r="DP7" s="731"/>
      <c r="DQ7" s="409">
        <v>0.13889000000000001</v>
      </c>
      <c r="DR7" s="397">
        <v>398.5</v>
      </c>
      <c r="DS7" s="415">
        <v>1.7778</v>
      </c>
      <c r="DT7" s="415">
        <v>0.82869999999999999</v>
      </c>
      <c r="DU7" s="417">
        <v>1.147</v>
      </c>
      <c r="DV7" s="442">
        <v>150.80000000000001</v>
      </c>
      <c r="DW7" s="242">
        <v>-5</v>
      </c>
      <c r="DY7" s="249">
        <v>-5</v>
      </c>
      <c r="DZ7" s="464">
        <v>0.12975</v>
      </c>
      <c r="EA7" s="467">
        <v>398.3</v>
      </c>
      <c r="EB7" s="471">
        <v>1.7717000000000001</v>
      </c>
      <c r="EC7" s="470">
        <v>0.83250000000000002</v>
      </c>
      <c r="ED7" s="419">
        <v>1.1494</v>
      </c>
      <c r="EE7" s="465">
        <v>150.4</v>
      </c>
      <c r="EF7" s="731"/>
      <c r="EG7" s="463">
        <v>0.12447</v>
      </c>
      <c r="EH7" s="476">
        <v>402.2</v>
      </c>
      <c r="EI7" s="471">
        <v>1.7815000000000001</v>
      </c>
      <c r="EJ7" s="473">
        <v>0.84019999999999995</v>
      </c>
      <c r="EK7" s="459">
        <v>1.1469</v>
      </c>
      <c r="EL7" s="478">
        <v>151.69999999999999</v>
      </c>
      <c r="EM7" s="248">
        <v>0</v>
      </c>
      <c r="EO7" s="247">
        <v>0</v>
      </c>
      <c r="EP7" s="474">
        <v>0.11718000000000001</v>
      </c>
      <c r="EQ7" s="467">
        <v>401.9</v>
      </c>
      <c r="ER7" s="473">
        <v>1.7761</v>
      </c>
      <c r="ES7" s="473">
        <v>0.84379999999999999</v>
      </c>
      <c r="ET7" s="403">
        <v>1.1491</v>
      </c>
      <c r="EU7" s="467">
        <v>151.30000000000001</v>
      </c>
      <c r="EV7" s="731"/>
      <c r="EW7" s="474">
        <v>0.11065999999999999</v>
      </c>
      <c r="EX7" s="478">
        <v>401.6</v>
      </c>
      <c r="EY7" s="473">
        <v>1.7709999999999999</v>
      </c>
      <c r="EZ7" s="473">
        <v>0.84740000000000004</v>
      </c>
      <c r="FA7" s="459">
        <v>1.1514</v>
      </c>
      <c r="FB7" s="467">
        <v>151</v>
      </c>
      <c r="FC7" s="248">
        <v>0</v>
      </c>
      <c r="FE7" s="243">
        <v>0</v>
      </c>
      <c r="FF7" s="340">
        <v>0.10478</v>
      </c>
      <c r="FG7" s="396">
        <v>401.4</v>
      </c>
      <c r="FH7" s="334">
        <v>1.7661</v>
      </c>
      <c r="FI7" s="334">
        <v>0.85099999999999998</v>
      </c>
      <c r="FJ7" s="491">
        <v>1.1536999999999999</v>
      </c>
      <c r="FK7" s="396">
        <v>150.6</v>
      </c>
      <c r="FL7" s="731"/>
      <c r="FM7" s="340">
        <v>0.10174999999999999</v>
      </c>
      <c r="FN7" s="397">
        <v>405.4</v>
      </c>
      <c r="FO7" s="334">
        <v>1.7768999999999999</v>
      </c>
      <c r="FP7" s="334">
        <v>0.85770000000000002</v>
      </c>
      <c r="FQ7" s="491">
        <v>1.1506000000000001</v>
      </c>
      <c r="FR7" s="488">
        <v>152</v>
      </c>
      <c r="FS7" s="240">
        <v>0</v>
      </c>
      <c r="FU7" s="243">
        <v>5</v>
      </c>
      <c r="FV7" s="409">
        <v>9.6829999999999999E-2</v>
      </c>
      <c r="FW7" s="396">
        <v>405.1</v>
      </c>
      <c r="FX7" s="415">
        <v>1.7724</v>
      </c>
      <c r="FY7" s="415">
        <v>0.86109999999999998</v>
      </c>
      <c r="FZ7" s="491">
        <v>1.1527000000000001</v>
      </c>
      <c r="GA7" s="489">
        <v>151.6</v>
      </c>
      <c r="GB7" s="731"/>
      <c r="GC7" s="371">
        <v>9.2340000000000005E-2</v>
      </c>
      <c r="GD7" s="397">
        <v>404.9</v>
      </c>
      <c r="GE7" s="415">
        <v>1.7681</v>
      </c>
      <c r="GF7" s="415">
        <v>0.86450000000000005</v>
      </c>
      <c r="GG7" s="499">
        <v>1.1549</v>
      </c>
      <c r="GH7" s="489">
        <v>151.30000000000001</v>
      </c>
      <c r="GI7" s="240">
        <v>5</v>
      </c>
      <c r="GK7" s="243">
        <v>5</v>
      </c>
      <c r="GL7" s="409">
        <v>8.8209999999999997E-2</v>
      </c>
      <c r="GM7" s="404">
        <v>404.6</v>
      </c>
      <c r="GN7" s="415">
        <v>1.7639</v>
      </c>
      <c r="GO7" s="415">
        <v>0.86799999999999999</v>
      </c>
      <c r="GP7" s="334">
        <v>1.1571</v>
      </c>
      <c r="GQ7" s="396">
        <v>150.9</v>
      </c>
      <c r="GR7" s="731"/>
      <c r="GS7" s="409">
        <v>8.6379999999999998E-2</v>
      </c>
      <c r="GT7" s="397">
        <v>408.7</v>
      </c>
      <c r="GU7" s="241">
        <v>1.7754000000000001</v>
      </c>
      <c r="GV7" s="170">
        <v>0.87370000000000003</v>
      </c>
      <c r="GW7" s="241">
        <v>1.1535</v>
      </c>
      <c r="GX7" s="397">
        <v>152.4</v>
      </c>
      <c r="GY7" s="240">
        <v>10</v>
      </c>
      <c r="HA7" s="243">
        <v>10</v>
      </c>
      <c r="HB7" s="340">
        <v>8.2820000000000005E-2</v>
      </c>
      <c r="HC7" s="396">
        <v>408.5</v>
      </c>
      <c r="HD7" s="334">
        <v>1.7716000000000001</v>
      </c>
      <c r="HE7" s="334">
        <v>0.87690000000000001</v>
      </c>
      <c r="HF7" s="334">
        <v>1.1556</v>
      </c>
      <c r="HG7" s="396">
        <v>152</v>
      </c>
      <c r="HH7" s="731"/>
      <c r="HI7" s="340">
        <v>7.9509999999999997E-2</v>
      </c>
      <c r="HJ7" s="397">
        <v>408.2</v>
      </c>
      <c r="HK7" s="334">
        <v>1.7679</v>
      </c>
      <c r="HL7" s="334">
        <v>0.88019999999999998</v>
      </c>
      <c r="HM7" s="334">
        <v>1.1577</v>
      </c>
      <c r="HN7" s="396">
        <v>151.69999999999999</v>
      </c>
      <c r="HO7" s="240">
        <v>10</v>
      </c>
      <c r="HQ7" s="268">
        <v>10</v>
      </c>
      <c r="HR7" s="340">
        <v>7.6450000000000004E-2</v>
      </c>
      <c r="HS7" s="396">
        <v>408</v>
      </c>
      <c r="HT7" s="334">
        <v>1.7643</v>
      </c>
      <c r="HU7" s="334">
        <v>0.88349999999999995</v>
      </c>
      <c r="HV7" s="491">
        <v>1.1597999999999999</v>
      </c>
      <c r="HW7" s="396">
        <v>151.30000000000001</v>
      </c>
      <c r="HX7" s="731"/>
      <c r="HY7" s="340">
        <v>7.3590000000000003E-2</v>
      </c>
      <c r="HZ7" s="397">
        <v>407.8</v>
      </c>
      <c r="IA7" s="334">
        <v>1.7606999999999999</v>
      </c>
      <c r="IB7" s="334">
        <v>0.88690000000000002</v>
      </c>
      <c r="IC7" s="334">
        <v>1.1619999999999999</v>
      </c>
      <c r="ID7" s="397">
        <v>151</v>
      </c>
      <c r="IE7" s="240">
        <v>10</v>
      </c>
      <c r="IG7" s="268">
        <v>15</v>
      </c>
      <c r="IH7" s="409">
        <v>7.2599999999999998E-2</v>
      </c>
      <c r="II7" s="396">
        <v>412</v>
      </c>
      <c r="IJ7" s="415">
        <v>1.7728999999999999</v>
      </c>
      <c r="IK7" s="415">
        <v>0.89149999999999996</v>
      </c>
      <c r="IL7" s="491">
        <v>1.1577999999999999</v>
      </c>
      <c r="IM7" s="396">
        <v>152.5</v>
      </c>
      <c r="IN7" s="731"/>
      <c r="IO7" s="497">
        <v>7.0059999999999997E-2</v>
      </c>
      <c r="IP7" s="397">
        <v>411.7</v>
      </c>
      <c r="IQ7" s="415">
        <v>1.7696000000000001</v>
      </c>
      <c r="IR7" s="415">
        <v>0.89470000000000005</v>
      </c>
      <c r="IS7" s="415">
        <v>1.1597999999999999</v>
      </c>
      <c r="IT7" s="396">
        <v>152.19999999999999</v>
      </c>
      <c r="IU7" s="240">
        <v>15</v>
      </c>
      <c r="IW7" s="264">
        <v>15</v>
      </c>
      <c r="IX7" s="512">
        <v>6.7680000000000004E-2</v>
      </c>
      <c r="IY7" s="514">
        <v>411.5</v>
      </c>
      <c r="IZ7" s="388">
        <v>1.7664</v>
      </c>
      <c r="JA7" s="523">
        <v>0.89780000000000004</v>
      </c>
      <c r="JB7" s="523">
        <v>1.1617999999999999</v>
      </c>
      <c r="JC7" s="526">
        <v>151.9</v>
      </c>
      <c r="JD7" s="731"/>
      <c r="JE7" s="511">
        <v>6.5439999999999998E-2</v>
      </c>
      <c r="JF7" s="528">
        <v>411.3</v>
      </c>
      <c r="JG7" s="522">
        <v>1.7633000000000001</v>
      </c>
      <c r="JH7" s="508">
        <v>0.90100000000000002</v>
      </c>
      <c r="JI7" s="523">
        <v>1.1638999999999999</v>
      </c>
      <c r="JJ7" s="528">
        <v>151.5</v>
      </c>
      <c r="JK7" s="257">
        <v>15</v>
      </c>
      <c r="JM7" s="264">
        <v>15</v>
      </c>
      <c r="JN7" s="509">
        <v>6.3329999999999997E-2</v>
      </c>
      <c r="JO7" s="514">
        <v>411</v>
      </c>
      <c r="JP7" s="536">
        <v>1.7602</v>
      </c>
      <c r="JQ7" s="508">
        <v>0.90429999999999999</v>
      </c>
      <c r="JR7" s="508">
        <v>1.1659999999999999</v>
      </c>
      <c r="JS7" s="526">
        <v>151.19999999999999</v>
      </c>
      <c r="JT7" s="731"/>
      <c r="JU7" s="537">
        <v>6.2810000000000005E-2</v>
      </c>
      <c r="JV7" s="528">
        <v>415.3</v>
      </c>
      <c r="JW7" s="508">
        <v>1.7728999999999999</v>
      </c>
      <c r="JX7" s="536">
        <v>0.90790000000000004</v>
      </c>
      <c r="JY7" s="508">
        <v>1.1613</v>
      </c>
      <c r="JZ7" s="526">
        <v>152.80000000000001</v>
      </c>
      <c r="KA7" s="194">
        <v>20</v>
      </c>
      <c r="KC7" s="273">
        <v>20</v>
      </c>
      <c r="KD7" s="340">
        <v>6.0900000000000003E-2</v>
      </c>
      <c r="KE7" s="396">
        <v>415.1</v>
      </c>
      <c r="KF7" s="170">
        <v>1.77</v>
      </c>
      <c r="KG7" s="196">
        <v>0.91090000000000004</v>
      </c>
      <c r="KH7" s="170">
        <v>1.1632</v>
      </c>
      <c r="KI7" s="396">
        <v>152.5</v>
      </c>
      <c r="KJ7" s="731"/>
      <c r="KK7" s="340">
        <v>5.9089999999999997E-2</v>
      </c>
      <c r="KL7" s="433">
        <v>414.9</v>
      </c>
      <c r="KM7" s="334">
        <v>1.7672000000000001</v>
      </c>
      <c r="KN7" s="334">
        <v>0.91400000000000003</v>
      </c>
      <c r="KO7" s="541">
        <v>1.1652</v>
      </c>
      <c r="KP7" s="396">
        <v>152.1</v>
      </c>
      <c r="KQ7" s="274">
        <v>20</v>
      </c>
      <c r="KS7" s="239">
        <v>20</v>
      </c>
      <c r="KT7" s="409">
        <v>5.738E-2</v>
      </c>
      <c r="KU7" s="404">
        <v>414.6</v>
      </c>
      <c r="KV7" s="415">
        <v>1.7644</v>
      </c>
      <c r="KW7" s="415">
        <v>0.91700000000000004</v>
      </c>
      <c r="KX7" s="334">
        <v>1.1672</v>
      </c>
      <c r="KY7" s="544">
        <v>151.80000000000001</v>
      </c>
      <c r="KZ7" s="731"/>
      <c r="LA7" s="340">
        <v>5.5759999999999997E-2</v>
      </c>
      <c r="LB7" s="433">
        <v>414.4</v>
      </c>
      <c r="LC7" s="415">
        <v>1.7617</v>
      </c>
      <c r="LD7" s="415">
        <v>0.92010000000000003</v>
      </c>
      <c r="LE7" s="415">
        <v>1.1693</v>
      </c>
      <c r="LF7" s="396">
        <v>151.5</v>
      </c>
      <c r="LG7" s="242">
        <v>20</v>
      </c>
      <c r="LI7" s="254">
        <v>20</v>
      </c>
      <c r="LJ7" s="511">
        <v>5.4210000000000001E-2</v>
      </c>
      <c r="LK7" s="514">
        <v>414.2</v>
      </c>
      <c r="LL7" s="522">
        <v>1.7589999999999999</v>
      </c>
      <c r="LM7" s="522">
        <v>0.92330000000000001</v>
      </c>
      <c r="LN7" s="522">
        <v>1.1714</v>
      </c>
      <c r="LO7" s="526">
        <v>1512</v>
      </c>
      <c r="LP7" s="731"/>
      <c r="LQ7" s="511">
        <v>5.1920000000000001E-2</v>
      </c>
      <c r="LR7" s="528">
        <v>418.3</v>
      </c>
      <c r="LS7" s="522">
        <v>1.7683</v>
      </c>
      <c r="LT7" s="508">
        <v>0.93020000000000003</v>
      </c>
      <c r="LU7" s="508">
        <v>1.1688000000000001</v>
      </c>
      <c r="LV7" s="514">
        <v>152.4</v>
      </c>
      <c r="LW7" s="257">
        <v>25</v>
      </c>
      <c r="LY7" s="193">
        <v>25</v>
      </c>
      <c r="LZ7" s="509">
        <v>4.8710000000000003E-2</v>
      </c>
      <c r="MA7" s="526">
        <v>417.7</v>
      </c>
      <c r="MB7" s="508">
        <v>1.7623</v>
      </c>
      <c r="MC7" s="508">
        <v>0.93769999999999998</v>
      </c>
      <c r="MD7" s="508">
        <v>1.1738</v>
      </c>
      <c r="ME7" s="526">
        <v>151.6</v>
      </c>
      <c r="MF7" s="731"/>
      <c r="MG7" s="537">
        <v>4.5839999999999999E-2</v>
      </c>
      <c r="MH7" s="530">
        <v>417.2</v>
      </c>
      <c r="MI7" s="192">
        <v>1.7565</v>
      </c>
      <c r="MJ7" s="191">
        <v>0.94540000000000002</v>
      </c>
      <c r="MK7" s="191">
        <v>1.179</v>
      </c>
      <c r="ML7" s="514">
        <v>150.80000000000001</v>
      </c>
      <c r="MM7" s="194">
        <v>25</v>
      </c>
      <c r="MO7" s="176">
        <v>30</v>
      </c>
      <c r="MP7" s="340">
        <v>4.4339999999999997E-2</v>
      </c>
      <c r="MQ7" s="396">
        <v>421.3</v>
      </c>
      <c r="MR7" s="334">
        <v>1.7666999999999999</v>
      </c>
      <c r="MS7" s="334">
        <v>0.95089999999999997</v>
      </c>
      <c r="MT7" s="334">
        <v>1.1755</v>
      </c>
      <c r="MU7" s="396">
        <v>152.1</v>
      </c>
      <c r="MV7" s="731"/>
      <c r="MW7" s="340">
        <v>4.1959999999999997E-2</v>
      </c>
      <c r="MX7" s="397">
        <v>420.8</v>
      </c>
      <c r="MY7" s="334">
        <v>1.7613000000000001</v>
      </c>
      <c r="MZ7" s="334">
        <v>0.95820000000000005</v>
      </c>
      <c r="NA7" s="334">
        <v>1.1803999999999999</v>
      </c>
      <c r="NB7" s="397">
        <v>151.4</v>
      </c>
      <c r="NC7" s="260">
        <v>30</v>
      </c>
      <c r="NE7" s="243">
        <v>30</v>
      </c>
      <c r="NF7" s="409">
        <v>3.9800000000000002E-2</v>
      </c>
      <c r="NG7" s="396">
        <v>420.3</v>
      </c>
      <c r="NH7" s="415">
        <v>1.7562</v>
      </c>
      <c r="NI7" s="415">
        <v>0.96579999999999999</v>
      </c>
      <c r="NJ7" s="335">
        <v>1.1856</v>
      </c>
      <c r="NK7" s="396">
        <v>150.6</v>
      </c>
      <c r="NL7" s="731"/>
      <c r="NM7" s="409">
        <v>3.8789999999999998E-2</v>
      </c>
      <c r="NN7" s="397">
        <v>424.6</v>
      </c>
      <c r="NO7" s="415">
        <v>1.7670999999999999</v>
      </c>
      <c r="NP7" s="334">
        <v>0.96989999999999998</v>
      </c>
      <c r="NQ7" s="415" t="s">
        <v>133</v>
      </c>
      <c r="NR7" s="396">
        <v>152</v>
      </c>
      <c r="NS7" s="240">
        <v>35</v>
      </c>
      <c r="NU7" s="254">
        <v>35</v>
      </c>
      <c r="NV7" s="463">
        <v>3.6949999999999997E-2</v>
      </c>
      <c r="NW7" s="528">
        <v>424.1</v>
      </c>
      <c r="NX7" s="470">
        <v>1.7623</v>
      </c>
      <c r="NY7" s="470">
        <v>0.97709999999999997</v>
      </c>
      <c r="NZ7" s="459">
        <v>1.1861999999999999</v>
      </c>
      <c r="OA7" s="476">
        <v>151.30000000000001</v>
      </c>
      <c r="OB7" s="731"/>
      <c r="OC7" s="511">
        <v>3.5249999999999997E-2</v>
      </c>
      <c r="OD7" s="528">
        <v>423.5</v>
      </c>
      <c r="OE7" s="574">
        <v>1.7577</v>
      </c>
      <c r="OF7" s="459">
        <v>0.98450000000000004</v>
      </c>
      <c r="OG7" s="575">
        <v>1.1913</v>
      </c>
      <c r="OH7" s="476">
        <v>150.5</v>
      </c>
      <c r="OI7" s="257">
        <v>35</v>
      </c>
      <c r="OK7" s="193">
        <v>35</v>
      </c>
      <c r="OL7" s="460">
        <v>3.3669999999999999E-2</v>
      </c>
      <c r="OM7" s="468">
        <v>423</v>
      </c>
      <c r="ON7" s="536">
        <v>1.7532000000000001</v>
      </c>
      <c r="OO7" s="536">
        <v>0.99219999999999997</v>
      </c>
      <c r="OP7" s="459">
        <v>1.1967000000000001</v>
      </c>
      <c r="OQ7" s="476">
        <v>149.80000000000001</v>
      </c>
      <c r="OR7" s="731"/>
      <c r="OS7" s="537">
        <v>3.3079999999999998E-2</v>
      </c>
      <c r="OT7" s="528">
        <v>427.4</v>
      </c>
      <c r="OU7" s="536">
        <v>1.7647999999999999</v>
      </c>
      <c r="OV7" s="459">
        <v>0.99429999999999996</v>
      </c>
      <c r="OW7" s="459">
        <v>1.1910000000000001</v>
      </c>
      <c r="OX7" s="476">
        <v>151.30000000000001</v>
      </c>
      <c r="OY7" s="194">
        <v>40</v>
      </c>
      <c r="PA7" s="176">
        <v>40</v>
      </c>
      <c r="PB7" s="340">
        <v>3.1710000000000002E-2</v>
      </c>
      <c r="PC7" s="396">
        <v>426.9</v>
      </c>
      <c r="PD7" s="334">
        <v>1.7605999999999999</v>
      </c>
      <c r="PE7" s="334">
        <v>1.0015000000000001</v>
      </c>
      <c r="PF7" s="334">
        <v>1.196</v>
      </c>
      <c r="PG7" s="542">
        <v>150.6</v>
      </c>
      <c r="PH7" s="731"/>
      <c r="PI7" s="340">
        <v>3.0429999999999999E-2</v>
      </c>
      <c r="PJ7" s="397">
        <v>426.4</v>
      </c>
      <c r="PK7" s="541">
        <v>1.7564</v>
      </c>
      <c r="PL7" s="334">
        <v>1.0089999999999999</v>
      </c>
      <c r="PM7" s="334">
        <v>1.2013</v>
      </c>
      <c r="PN7" s="542">
        <v>149.9</v>
      </c>
      <c r="PO7" s="260">
        <v>40</v>
      </c>
      <c r="PQ7" s="243">
        <v>40</v>
      </c>
      <c r="PR7" s="409">
        <v>2.9229999999999999E-2</v>
      </c>
      <c r="PS7" s="396">
        <v>425.9</v>
      </c>
      <c r="PT7" s="415">
        <v>1.7524</v>
      </c>
      <c r="PU7" s="415">
        <v>1.0167999999999999</v>
      </c>
      <c r="PV7" s="541">
        <v>1.2067000000000001</v>
      </c>
      <c r="PW7" s="396">
        <v>149.1</v>
      </c>
      <c r="PX7" s="731"/>
      <c r="PY7" s="409">
        <v>2.7820000000000001E-2</v>
      </c>
      <c r="PZ7" s="397">
        <v>430</v>
      </c>
      <c r="QA7" s="415">
        <v>1.7607999999999999</v>
      </c>
      <c r="QB7" s="415">
        <v>1.0243</v>
      </c>
      <c r="QC7" s="415">
        <v>1.2049000000000001</v>
      </c>
      <c r="QD7" s="396">
        <v>150.1</v>
      </c>
      <c r="QE7" s="240">
        <v>45</v>
      </c>
      <c r="QG7" s="254">
        <v>45</v>
      </c>
      <c r="QH7" s="511">
        <v>2.5860000000000001E-2</v>
      </c>
      <c r="QI7" s="514">
        <v>429</v>
      </c>
      <c r="QJ7" s="522">
        <v>1.7534000000000001</v>
      </c>
      <c r="QK7" s="523">
        <v>1.0395000000000001</v>
      </c>
      <c r="QL7" s="523">
        <v>1.2157</v>
      </c>
      <c r="QM7" s="526">
        <v>148.6</v>
      </c>
      <c r="QN7" s="731"/>
      <c r="QO7" s="511">
        <v>2.4819999999999998E-2</v>
      </c>
      <c r="QP7" s="534">
        <v>433.2</v>
      </c>
      <c r="QQ7" s="255">
        <v>1.7625</v>
      </c>
      <c r="QR7" s="192">
        <v>1.0451999999999999</v>
      </c>
      <c r="QS7" s="256">
        <v>1.2128000000000001</v>
      </c>
      <c r="QT7" s="517">
        <v>149.69999999999999</v>
      </c>
      <c r="QU7" s="257">
        <v>50</v>
      </c>
      <c r="QW7" s="193">
        <v>50</v>
      </c>
      <c r="QX7" s="537">
        <v>2.324E-2</v>
      </c>
      <c r="QY7" s="517">
        <v>432.2</v>
      </c>
      <c r="QZ7" s="508">
        <v>1.7558</v>
      </c>
      <c r="RA7" s="508">
        <v>1.0604</v>
      </c>
      <c r="RB7" s="508">
        <v>1.2236</v>
      </c>
      <c r="RC7" s="526">
        <v>148.30000000000001</v>
      </c>
      <c r="RD7" s="731"/>
      <c r="RE7" s="537">
        <v>2.181E-2</v>
      </c>
      <c r="RF7" s="530">
        <v>431.2</v>
      </c>
      <c r="RG7" s="536">
        <v>1.7491000000000001</v>
      </c>
      <c r="RH7" s="536">
        <v>1.0766</v>
      </c>
      <c r="RI7" s="508">
        <v>1.2354000000000001</v>
      </c>
      <c r="RJ7" s="514">
        <v>146.9</v>
      </c>
      <c r="RK7" s="194">
        <v>50</v>
      </c>
      <c r="RM7" s="176">
        <v>55</v>
      </c>
      <c r="RN7" s="340">
        <v>1.9949999999999999E-2</v>
      </c>
      <c r="RO7" s="396">
        <v>434.5</v>
      </c>
      <c r="RP7" s="334">
        <v>1.7531000000000001</v>
      </c>
      <c r="RQ7" s="334">
        <v>1.0952</v>
      </c>
      <c r="RR7" s="334">
        <v>1.2419</v>
      </c>
      <c r="RS7" s="396">
        <v>146.80000000000001</v>
      </c>
      <c r="RT7" s="731"/>
      <c r="RU7" s="340">
        <v>1.8419999999999999E-2</v>
      </c>
      <c r="RV7" s="397">
        <v>438.1</v>
      </c>
      <c r="RW7" s="334">
        <v>1.758</v>
      </c>
      <c r="RX7" s="334">
        <v>1.1119000000000001</v>
      </c>
      <c r="RY7" s="334">
        <v>1.2471000000000001</v>
      </c>
      <c r="RZ7" s="397">
        <v>146.9</v>
      </c>
      <c r="SA7" s="260">
        <v>60</v>
      </c>
      <c r="SC7" s="243">
        <v>60</v>
      </c>
      <c r="SD7" s="409">
        <v>1.66E-2</v>
      </c>
      <c r="SE7" s="396">
        <v>436.1</v>
      </c>
      <c r="SF7" s="415">
        <v>1.7467999999999999</v>
      </c>
      <c r="SG7" s="415">
        <v>1.1466000000000001</v>
      </c>
      <c r="SH7" s="499">
        <v>1.2729999999999999</v>
      </c>
      <c r="SI7" s="396">
        <v>144.1</v>
      </c>
      <c r="SJ7" s="731"/>
      <c r="SK7" s="409">
        <v>1.5559999999999999E-2</v>
      </c>
      <c r="SL7" s="176">
        <v>439.8</v>
      </c>
      <c r="SM7" s="415">
        <v>1.7531000000000001</v>
      </c>
      <c r="SN7" s="415">
        <v>1.1599999999999999</v>
      </c>
      <c r="SO7" s="499">
        <v>1.276</v>
      </c>
      <c r="SP7" s="170">
        <v>144.5</v>
      </c>
      <c r="SQ7" s="240">
        <v>65</v>
      </c>
      <c r="SS7" s="243">
        <v>70</v>
      </c>
      <c r="ST7" s="409">
        <v>1.468E-2</v>
      </c>
      <c r="SU7" s="170">
        <v>443.7</v>
      </c>
      <c r="SV7" s="415">
        <v>1.7601</v>
      </c>
      <c r="SW7" s="415">
        <v>1.1715</v>
      </c>
      <c r="SX7" s="415">
        <v>1.2776000000000001</v>
      </c>
      <c r="SY7" s="190">
        <v>145</v>
      </c>
      <c r="SZ7" s="731"/>
      <c r="TA7" s="409">
        <v>1.3440000000000001E-2</v>
      </c>
      <c r="TB7" s="488">
        <v>441.7</v>
      </c>
      <c r="TC7" s="499">
        <v>1.7503</v>
      </c>
      <c r="TD7" s="334">
        <v>1.2082999999999999</v>
      </c>
      <c r="TE7" s="334">
        <v>1.3056000000000001</v>
      </c>
      <c r="TF7" s="488">
        <v>142.30000000000001</v>
      </c>
      <c r="TG7" s="240">
        <v>70</v>
      </c>
      <c r="TI7" s="176">
        <v>75</v>
      </c>
      <c r="TJ7" s="490">
        <v>1.281E-2</v>
      </c>
      <c r="TK7" s="396">
        <v>445.8</v>
      </c>
      <c r="TL7" s="334">
        <v>1.7583</v>
      </c>
      <c r="TM7" s="491">
        <v>1.2158</v>
      </c>
      <c r="TN7" s="334">
        <v>1.3042</v>
      </c>
      <c r="TO7" s="489">
        <v>143.1</v>
      </c>
      <c r="TP7" s="731"/>
      <c r="TQ7" s="340">
        <v>1.1820000000000001E-2</v>
      </c>
      <c r="TR7" s="397">
        <v>443.8</v>
      </c>
      <c r="TS7" s="334">
        <v>1.7491000000000001</v>
      </c>
      <c r="TT7" s="334">
        <v>1.2559</v>
      </c>
      <c r="TU7" s="334">
        <v>1.3351999999999999</v>
      </c>
      <c r="TV7" s="396">
        <v>140.5</v>
      </c>
      <c r="TW7" s="260">
        <v>75</v>
      </c>
      <c r="TY7" s="185">
        <v>80</v>
      </c>
      <c r="TZ7" s="474">
        <v>1.137E-2</v>
      </c>
      <c r="UA7" s="467">
        <v>448.1</v>
      </c>
      <c r="UB7" s="473">
        <v>1.758</v>
      </c>
      <c r="UC7" s="473">
        <v>1.2586999999999999</v>
      </c>
      <c r="UD7" s="473">
        <v>1.3301000000000001</v>
      </c>
      <c r="UE7" s="467">
        <v>141.5</v>
      </c>
      <c r="UF7" s="749"/>
      <c r="UG7" s="474">
        <v>1.055E-2</v>
      </c>
      <c r="UH7" s="478">
        <v>446.1</v>
      </c>
      <c r="UI7" s="473">
        <v>1.7493000000000001</v>
      </c>
      <c r="UJ7" s="473">
        <v>1.3019000000000001</v>
      </c>
      <c r="UK7" s="473">
        <v>1.3637999999999999</v>
      </c>
      <c r="UL7" s="478">
        <v>138.9</v>
      </c>
      <c r="UM7" s="310">
        <v>80</v>
      </c>
      <c r="UO7" s="247">
        <v>85</v>
      </c>
      <c r="UP7" s="464">
        <v>9.5300000000000003E-3</v>
      </c>
      <c r="UQ7" s="467">
        <v>448.7</v>
      </c>
      <c r="UR7" s="471">
        <v>1.7506999999999999</v>
      </c>
      <c r="US7" s="471">
        <v>1.345</v>
      </c>
      <c r="UT7" s="473">
        <v>1.3903000000000001</v>
      </c>
      <c r="UU7" s="467">
        <v>137.69999999999999</v>
      </c>
      <c r="UV7" s="749"/>
      <c r="UW7" s="464">
        <v>8.6999999999999994E-3</v>
      </c>
      <c r="UX7" s="478">
        <v>451.4</v>
      </c>
      <c r="UY7" s="471">
        <v>1.7533000000000001</v>
      </c>
      <c r="UZ7" s="471">
        <v>1.3841000000000001</v>
      </c>
      <c r="VA7" s="471">
        <v>1.4137</v>
      </c>
      <c r="VB7" s="467">
        <v>136.9</v>
      </c>
      <c r="VC7" s="248">
        <v>90</v>
      </c>
      <c r="VE7" s="254">
        <v>90</v>
      </c>
      <c r="VF7" s="512">
        <v>7.6299999999999996E-3</v>
      </c>
      <c r="VG7" s="514">
        <v>447.1</v>
      </c>
      <c r="VH7" s="523">
        <v>1.7369000000000001</v>
      </c>
      <c r="VI7" s="523">
        <v>1.5063</v>
      </c>
      <c r="VJ7" s="508">
        <v>1.5114000000000001</v>
      </c>
      <c r="VK7" s="527">
        <v>131.69999999999999</v>
      </c>
      <c r="VL7" s="749"/>
      <c r="VM7" s="511">
        <v>7.0899999999999999E-3</v>
      </c>
      <c r="VN7" s="532">
        <v>450.2</v>
      </c>
      <c r="VO7" s="523">
        <v>1.7413000000000001</v>
      </c>
      <c r="VP7" s="508">
        <v>1.5403</v>
      </c>
      <c r="VQ7" s="523">
        <v>1.5306999999999999</v>
      </c>
      <c r="VR7" s="514">
        <v>131.5</v>
      </c>
      <c r="VS7" s="265">
        <v>95</v>
      </c>
      <c r="VU7" s="199">
        <v>100</v>
      </c>
      <c r="VV7" s="509">
        <v>6.6499999999999997E-3</v>
      </c>
      <c r="VW7" s="514">
        <v>453.5</v>
      </c>
      <c r="VX7" s="508">
        <v>1.7465999999999999</v>
      </c>
      <c r="VY7" s="508">
        <v>1.5653999999999999</v>
      </c>
      <c r="VZ7" s="391">
        <v>1.5427</v>
      </c>
      <c r="WA7" s="377">
        <v>131.69999999999999</v>
      </c>
      <c r="WB7" s="749"/>
      <c r="WC7" s="537">
        <v>5.8900000000000003E-3</v>
      </c>
      <c r="WD7" s="530">
        <v>448.8</v>
      </c>
      <c r="WE7" s="536">
        <v>1.7306999999999999</v>
      </c>
      <c r="WF7" s="508">
        <v>1.7364999999999999</v>
      </c>
      <c r="WG7" s="536">
        <v>1.6809000000000001</v>
      </c>
      <c r="WH7" s="526">
        <v>126.7</v>
      </c>
      <c r="WI7" s="194">
        <v>100</v>
      </c>
      <c r="WK7" s="199">
        <v>105</v>
      </c>
      <c r="WL7" s="509">
        <v>5.6100000000000004E-3</v>
      </c>
      <c r="WM7" s="514">
        <v>452.7</v>
      </c>
      <c r="WN7" s="536">
        <v>1.7379</v>
      </c>
      <c r="WO7" s="508">
        <v>1.7383</v>
      </c>
      <c r="WP7" s="492">
        <v>1.6732</v>
      </c>
      <c r="WQ7" s="514">
        <v>127.8</v>
      </c>
      <c r="WR7" s="749"/>
      <c r="WS7" s="509">
        <v>5.3699999999999998E-3</v>
      </c>
      <c r="WT7" s="528">
        <v>456.8</v>
      </c>
      <c r="WU7" s="536">
        <v>1.7458</v>
      </c>
      <c r="WV7" s="508">
        <v>1.7296</v>
      </c>
      <c r="WW7" s="536">
        <v>1.6572</v>
      </c>
      <c r="WX7" s="530">
        <v>129.19999999999999</v>
      </c>
      <c r="WY7" s="194">
        <v>110</v>
      </c>
      <c r="WZ7" s="400"/>
      <c r="XA7" s="264">
        <v>110</v>
      </c>
      <c r="XB7" s="512">
        <v>4.8199999999999996E-3</v>
      </c>
      <c r="XC7" s="526">
        <v>452.1</v>
      </c>
      <c r="XD7" s="522">
        <v>1.7309000000000001</v>
      </c>
      <c r="XE7" s="523">
        <v>1.9265000000000001</v>
      </c>
      <c r="XF7" s="492">
        <v>1.8152999999999999</v>
      </c>
      <c r="XG7" s="526">
        <v>124.9</v>
      </c>
      <c r="XH7" s="749"/>
      <c r="XI7" s="512">
        <v>4.6800000000000001E-3</v>
      </c>
      <c r="XJ7" s="528">
        <v>456.8</v>
      </c>
      <c r="XK7" s="522">
        <v>1.7405999999999999</v>
      </c>
      <c r="XL7" s="500">
        <v>1.8779999999999999</v>
      </c>
      <c r="XM7" s="522">
        <v>1.7663</v>
      </c>
      <c r="XN7" s="526">
        <v>127.1</v>
      </c>
      <c r="XO7" s="257">
        <v>115</v>
      </c>
      <c r="XP7" s="180"/>
    </row>
    <row r="8" spans="1:640" ht="15.75" thickBot="1" x14ac:dyDescent="0.3">
      <c r="A8" s="235">
        <v>-50</v>
      </c>
      <c r="B8" s="365">
        <v>1.8083199999999999</v>
      </c>
      <c r="C8" s="368">
        <v>368.9</v>
      </c>
      <c r="D8" s="360">
        <v>1.873</v>
      </c>
      <c r="E8" s="360">
        <v>0.6996</v>
      </c>
      <c r="F8" s="360">
        <v>1.1377999999999999</v>
      </c>
      <c r="G8" s="172">
        <v>142.9</v>
      </c>
      <c r="H8" s="266"/>
      <c r="I8" s="365">
        <v>0.93984999999999996</v>
      </c>
      <c r="J8" s="374">
        <v>375.6</v>
      </c>
      <c r="K8" s="360">
        <v>1.8462000000000001</v>
      </c>
      <c r="L8" s="358">
        <v>0.7238</v>
      </c>
      <c r="M8" s="360">
        <v>1.1364000000000001</v>
      </c>
      <c r="N8" s="378">
        <v>145.4</v>
      </c>
      <c r="O8" s="379">
        <v>-40</v>
      </c>
      <c r="P8" s="359"/>
      <c r="Q8" s="235">
        <v>-30</v>
      </c>
      <c r="R8" s="363">
        <v>0.65188999999999997</v>
      </c>
      <c r="S8" s="368">
        <v>382.6</v>
      </c>
      <c r="T8" s="358">
        <v>1.8428</v>
      </c>
      <c r="U8" s="358">
        <v>0.74590000000000001</v>
      </c>
      <c r="V8" s="358">
        <v>1.1341000000000001</v>
      </c>
      <c r="W8" s="368">
        <v>147.9</v>
      </c>
      <c r="X8" s="266"/>
      <c r="Y8" s="363">
        <v>0.49726999999999999</v>
      </c>
      <c r="Z8" s="374">
        <v>386</v>
      </c>
      <c r="AA8" s="385">
        <v>1.8335999999999999</v>
      </c>
      <c r="AB8" s="358">
        <v>0.75870000000000004</v>
      </c>
      <c r="AC8" s="358">
        <v>1.1342000000000001</v>
      </c>
      <c r="AD8" s="368">
        <v>148.9</v>
      </c>
      <c r="AE8" s="275">
        <v>-25</v>
      </c>
      <c r="AG8" s="239">
        <v>-25</v>
      </c>
      <c r="AH8" s="340">
        <v>0.39604</v>
      </c>
      <c r="AI8" s="396">
        <v>385.6</v>
      </c>
      <c r="AJ8" s="334">
        <v>1.8144</v>
      </c>
      <c r="AK8" s="334">
        <v>0.76349999999999996</v>
      </c>
      <c r="AL8" s="401">
        <v>1.137</v>
      </c>
      <c r="AM8" s="404">
        <v>148.5</v>
      </c>
      <c r="AN8" s="731"/>
      <c r="AO8" s="340">
        <v>0.33590999999999999</v>
      </c>
      <c r="AP8" s="397">
        <v>389.2</v>
      </c>
      <c r="AQ8" s="334">
        <v>1.8140000000000001</v>
      </c>
      <c r="AR8" s="334">
        <v>0.7752</v>
      </c>
      <c r="AS8" s="401">
        <v>1.1366000000000001</v>
      </c>
      <c r="AT8" s="407">
        <v>149.6</v>
      </c>
      <c r="AU8" s="242">
        <v>-20</v>
      </c>
      <c r="AW8" s="239">
        <v>-15</v>
      </c>
      <c r="AX8" s="409">
        <v>0.29308000000000001</v>
      </c>
      <c r="AY8" s="396">
        <v>392.7</v>
      </c>
      <c r="AZ8" s="415">
        <v>1.8158000000000001</v>
      </c>
      <c r="BA8" s="415">
        <v>0.7863</v>
      </c>
      <c r="BB8" s="416">
        <v>1.1358999999999999</v>
      </c>
      <c r="BC8" s="396">
        <v>150.69999999999999</v>
      </c>
      <c r="BD8" s="731"/>
      <c r="BE8" s="409">
        <v>0.25548999999999999</v>
      </c>
      <c r="BF8" s="397">
        <v>392.4</v>
      </c>
      <c r="BG8" s="415">
        <v>1.804</v>
      </c>
      <c r="BH8" s="334">
        <v>0.79039999999999999</v>
      </c>
      <c r="BI8" s="416">
        <v>1.1383000000000001</v>
      </c>
      <c r="BJ8" s="394">
        <v>150.30000000000001</v>
      </c>
      <c r="BK8" s="242">
        <v>-15</v>
      </c>
      <c r="BM8" s="244">
        <v>-10</v>
      </c>
      <c r="BN8" s="409">
        <v>0.23121</v>
      </c>
      <c r="BO8" s="396">
        <v>396.1</v>
      </c>
      <c r="BP8" s="424">
        <v>1.8088</v>
      </c>
      <c r="BQ8" s="415">
        <v>0.80069999999999997</v>
      </c>
      <c r="BR8" s="334">
        <v>1.1372</v>
      </c>
      <c r="BS8" s="396">
        <v>151.5</v>
      </c>
      <c r="BT8" s="731"/>
      <c r="BU8" s="409">
        <v>0.20734</v>
      </c>
      <c r="BV8" s="397">
        <v>395.8</v>
      </c>
      <c r="BW8" s="415">
        <v>1.7994000000000001</v>
      </c>
      <c r="BX8" s="334">
        <v>0.80449999999999999</v>
      </c>
      <c r="BY8" s="415">
        <v>1.1395</v>
      </c>
      <c r="BZ8" s="432">
        <v>151.1</v>
      </c>
      <c r="CA8" s="245">
        <v>-10</v>
      </c>
      <c r="CC8" s="244">
        <v>-10</v>
      </c>
      <c r="CD8" s="340">
        <v>0.20454</v>
      </c>
      <c r="CE8" s="396">
        <v>395.8</v>
      </c>
      <c r="CF8" s="334">
        <v>1.7982</v>
      </c>
      <c r="CG8" s="334">
        <v>0.80500000000000005</v>
      </c>
      <c r="CH8" s="334">
        <v>1.1397999999999999</v>
      </c>
      <c r="CI8" s="425">
        <v>151</v>
      </c>
      <c r="CJ8" s="731"/>
      <c r="CK8" s="340">
        <v>0.19194</v>
      </c>
      <c r="CL8" s="397">
        <v>399.6</v>
      </c>
      <c r="CM8" s="334">
        <v>1.8061</v>
      </c>
      <c r="CN8" s="334">
        <v>0.81410000000000005</v>
      </c>
      <c r="CO8" s="334">
        <v>1.1380999999999999</v>
      </c>
      <c r="CP8" s="396">
        <v>152.30000000000001</v>
      </c>
      <c r="CQ8" s="245">
        <v>-5</v>
      </c>
      <c r="CS8" s="239">
        <v>-5</v>
      </c>
      <c r="CT8" s="340">
        <v>0.17535000000000001</v>
      </c>
      <c r="CU8" s="396">
        <v>399.3</v>
      </c>
      <c r="CV8" s="334">
        <v>1.7983</v>
      </c>
      <c r="CW8" s="334">
        <v>0.81769999999999998</v>
      </c>
      <c r="CX8" s="444">
        <v>1.1402000000000001</v>
      </c>
      <c r="CY8" s="449">
        <v>151.9</v>
      </c>
      <c r="CZ8" s="731"/>
      <c r="DA8" s="340">
        <v>0.16134000000000001</v>
      </c>
      <c r="DB8" s="397">
        <v>399.1</v>
      </c>
      <c r="DC8" s="334">
        <v>1.7909999999999999</v>
      </c>
      <c r="DD8" s="334">
        <v>0.82130000000000003</v>
      </c>
      <c r="DE8" s="334">
        <v>1.1425000000000001</v>
      </c>
      <c r="DF8" s="449">
        <v>151.5</v>
      </c>
      <c r="DG8" s="242">
        <v>-5</v>
      </c>
      <c r="DI8" s="243">
        <v>0</v>
      </c>
      <c r="DJ8" s="409">
        <v>0.15257999999999999</v>
      </c>
      <c r="DK8" s="396">
        <v>402.9</v>
      </c>
      <c r="DL8" s="415">
        <v>1.7995000000000001</v>
      </c>
      <c r="DM8" s="415">
        <v>0.82989999999999997</v>
      </c>
      <c r="DN8" s="444">
        <v>1.1405000000000001</v>
      </c>
      <c r="DO8" s="442">
        <v>152.80000000000001</v>
      </c>
      <c r="DP8" s="731"/>
      <c r="DQ8" s="409">
        <v>0.14196</v>
      </c>
      <c r="DR8" s="397">
        <v>402.7</v>
      </c>
      <c r="DS8" s="415">
        <v>1.7930999999999999</v>
      </c>
      <c r="DT8" s="415">
        <v>0.83330000000000004</v>
      </c>
      <c r="DU8" s="455">
        <v>1.1426000000000001</v>
      </c>
      <c r="DV8" s="396">
        <v>152.4</v>
      </c>
      <c r="DW8" s="240">
        <v>0</v>
      </c>
      <c r="DY8" s="247">
        <v>0</v>
      </c>
      <c r="DZ8" s="464">
        <v>0.13267999999999999</v>
      </c>
      <c r="EA8" s="465">
        <v>402.4</v>
      </c>
      <c r="EB8" s="471">
        <v>1.7871999999999999</v>
      </c>
      <c r="EC8" s="471">
        <v>0.8367</v>
      </c>
      <c r="ED8" s="470">
        <v>1.1447000000000001</v>
      </c>
      <c r="EE8" s="465">
        <v>152.1</v>
      </c>
      <c r="EF8" s="731"/>
      <c r="EG8" s="464">
        <v>0.12720999999999999</v>
      </c>
      <c r="EH8" s="478">
        <v>406.4</v>
      </c>
      <c r="EI8" s="471">
        <v>1.7968</v>
      </c>
      <c r="EJ8" s="473">
        <v>0.84460000000000002</v>
      </c>
      <c r="EK8" s="459">
        <v>1.1424000000000001</v>
      </c>
      <c r="EL8" s="478">
        <v>153.4</v>
      </c>
      <c r="EM8" s="248">
        <v>5</v>
      </c>
      <c r="EO8" s="247">
        <v>5</v>
      </c>
      <c r="EP8" s="474">
        <v>0.11978999999999999</v>
      </c>
      <c r="EQ8" s="467">
        <v>406.1</v>
      </c>
      <c r="ER8" s="473">
        <v>1.7915000000000001</v>
      </c>
      <c r="ES8" s="473">
        <v>0.8478</v>
      </c>
      <c r="ET8" s="459">
        <v>1.1444000000000001</v>
      </c>
      <c r="EU8" s="465">
        <v>153</v>
      </c>
      <c r="EV8" s="731"/>
      <c r="EW8" s="474">
        <v>0.11315</v>
      </c>
      <c r="EX8" s="476">
        <v>405.9</v>
      </c>
      <c r="EY8" s="473">
        <v>1.7864</v>
      </c>
      <c r="EZ8" s="473">
        <v>0.85099999999999998</v>
      </c>
      <c r="FA8" s="459">
        <v>1.1464000000000001</v>
      </c>
      <c r="FB8" s="467">
        <v>152.69999999999999</v>
      </c>
      <c r="FC8" s="248">
        <v>5</v>
      </c>
      <c r="FE8" s="243">
        <v>5</v>
      </c>
      <c r="FF8" s="340">
        <v>0.10717</v>
      </c>
      <c r="FG8" s="396">
        <v>405.6</v>
      </c>
      <c r="FH8" s="334">
        <v>1.7815000000000001</v>
      </c>
      <c r="FI8" s="334">
        <v>0.85429999999999995</v>
      </c>
      <c r="FJ8" s="491">
        <v>1.1485000000000001</v>
      </c>
      <c r="FK8" s="396">
        <v>152.30000000000001</v>
      </c>
      <c r="FL8" s="731"/>
      <c r="FM8" s="340">
        <v>0.10401000000000001</v>
      </c>
      <c r="FN8" s="397">
        <v>409.7</v>
      </c>
      <c r="FO8" s="334">
        <v>1.7922</v>
      </c>
      <c r="FP8" s="334">
        <v>0.86129999999999995</v>
      </c>
      <c r="FQ8" s="334">
        <v>1.1456999999999999</v>
      </c>
      <c r="FR8" s="397">
        <v>153.69999999999999</v>
      </c>
      <c r="FS8" s="240">
        <v>5</v>
      </c>
      <c r="FU8" s="268">
        <v>10</v>
      </c>
      <c r="FV8" s="409">
        <v>9.9010000000000001E-2</v>
      </c>
      <c r="FW8" s="396">
        <v>409.4</v>
      </c>
      <c r="FX8" s="415">
        <v>1.7878000000000001</v>
      </c>
      <c r="FY8" s="415">
        <v>0.86429999999999996</v>
      </c>
      <c r="FZ8" s="491">
        <v>1.1476</v>
      </c>
      <c r="GA8" s="396">
        <v>153.4</v>
      </c>
      <c r="GB8" s="731"/>
      <c r="GC8" s="409">
        <v>9.4439999999999996E-2</v>
      </c>
      <c r="GD8" s="397">
        <v>409.2</v>
      </c>
      <c r="GE8" s="415">
        <v>1.7835000000000001</v>
      </c>
      <c r="GF8" s="415">
        <v>0.86739999999999995</v>
      </c>
      <c r="GG8" s="415">
        <v>1.1495</v>
      </c>
      <c r="GH8" s="396">
        <v>153</v>
      </c>
      <c r="GI8" s="240">
        <v>10</v>
      </c>
      <c r="GK8" s="243">
        <v>10</v>
      </c>
      <c r="GL8" s="409">
        <v>9.0240000000000001E-2</v>
      </c>
      <c r="GM8" s="404">
        <v>409</v>
      </c>
      <c r="GN8" s="415">
        <v>1.7794000000000001</v>
      </c>
      <c r="GO8" s="415">
        <v>0.87050000000000005</v>
      </c>
      <c r="GP8" s="334">
        <v>1.1515</v>
      </c>
      <c r="GQ8" s="396">
        <v>152.69999999999999</v>
      </c>
      <c r="GR8" s="731"/>
      <c r="GS8" s="409">
        <v>8.8319999999999996E-2</v>
      </c>
      <c r="GT8" s="397">
        <v>413.1</v>
      </c>
      <c r="GU8" s="241">
        <v>1.7907999999999999</v>
      </c>
      <c r="GV8" s="170">
        <v>0.87660000000000005</v>
      </c>
      <c r="GW8" s="241">
        <v>1.1483000000000001</v>
      </c>
      <c r="GX8" s="397">
        <v>154.1</v>
      </c>
      <c r="GY8" s="240">
        <v>15</v>
      </c>
      <c r="HA8" s="243">
        <v>15</v>
      </c>
      <c r="HB8" s="340">
        <v>8.4690000000000001E-2</v>
      </c>
      <c r="HC8" s="396">
        <v>412.9</v>
      </c>
      <c r="HD8" s="334">
        <v>1.7869999999999999</v>
      </c>
      <c r="HE8" s="334">
        <v>0.87949999999999995</v>
      </c>
      <c r="HF8" s="334">
        <v>1.1500999999999999</v>
      </c>
      <c r="HG8" s="396">
        <v>153.80000000000001</v>
      </c>
      <c r="HH8" s="731"/>
      <c r="HI8" s="340">
        <v>8.133E-2</v>
      </c>
      <c r="HJ8" s="397">
        <v>412.6</v>
      </c>
      <c r="HK8" s="334">
        <v>1.7833000000000001</v>
      </c>
      <c r="HL8" s="334">
        <v>0.88249999999999995</v>
      </c>
      <c r="HM8" s="334">
        <v>1.1519999999999999</v>
      </c>
      <c r="HN8" s="396">
        <v>153.5</v>
      </c>
      <c r="HO8" s="240">
        <v>15</v>
      </c>
      <c r="HQ8" s="268">
        <v>15</v>
      </c>
      <c r="HR8" s="340">
        <v>7.8219999999999998E-2</v>
      </c>
      <c r="HS8" s="396">
        <v>412.4</v>
      </c>
      <c r="HT8" s="334">
        <v>1.7797000000000001</v>
      </c>
      <c r="HU8" s="334">
        <v>0.88539999999999996</v>
      </c>
      <c r="HV8" s="491">
        <v>1.1538999999999999</v>
      </c>
      <c r="HW8" s="396">
        <v>153.19999999999999</v>
      </c>
      <c r="HX8" s="731"/>
      <c r="HY8" s="340">
        <v>7.5310000000000002E-2</v>
      </c>
      <c r="HZ8" s="397">
        <v>412.2</v>
      </c>
      <c r="IA8" s="334">
        <v>1.7763</v>
      </c>
      <c r="IB8" s="334">
        <v>0.88849999999999996</v>
      </c>
      <c r="IC8" s="334">
        <v>1.1557999999999999</v>
      </c>
      <c r="ID8" s="397">
        <v>152.80000000000001</v>
      </c>
      <c r="IE8" s="240">
        <v>15</v>
      </c>
      <c r="IG8" s="243">
        <v>20</v>
      </c>
      <c r="IH8" s="409">
        <v>7.424E-2</v>
      </c>
      <c r="II8" s="396">
        <v>416.4</v>
      </c>
      <c r="IJ8" s="415">
        <v>1.7883</v>
      </c>
      <c r="IK8" s="415">
        <v>0.89359999999999995</v>
      </c>
      <c r="IL8" s="334">
        <v>1.1520999999999999</v>
      </c>
      <c r="IM8" s="489">
        <v>154.30000000000001</v>
      </c>
      <c r="IN8" s="731"/>
      <c r="IO8" s="409">
        <v>7.1660000000000001E-2</v>
      </c>
      <c r="IP8" s="397">
        <v>416.2</v>
      </c>
      <c r="IQ8" s="499">
        <v>1.7849999999999999</v>
      </c>
      <c r="IR8" s="415">
        <v>0.89639999999999997</v>
      </c>
      <c r="IS8" s="415">
        <v>1.1537999999999999</v>
      </c>
      <c r="IT8" s="489">
        <v>154</v>
      </c>
      <c r="IU8" s="240">
        <v>20</v>
      </c>
      <c r="IW8" s="254">
        <v>20</v>
      </c>
      <c r="IX8" s="511">
        <v>6.9239999999999996E-2</v>
      </c>
      <c r="IY8" s="514">
        <v>416</v>
      </c>
      <c r="IZ8" s="522">
        <v>1.7819</v>
      </c>
      <c r="JA8" s="522">
        <v>0.8992</v>
      </c>
      <c r="JB8" s="522">
        <v>1.1556999999999999</v>
      </c>
      <c r="JC8" s="526">
        <v>153.69999999999999</v>
      </c>
      <c r="JD8" s="731"/>
      <c r="JE8" s="511">
        <v>6.6970000000000002E-2</v>
      </c>
      <c r="JF8" s="528">
        <v>415.8</v>
      </c>
      <c r="JG8" s="523">
        <v>1.7787999999999999</v>
      </c>
      <c r="JH8" s="536">
        <v>0.90210000000000001</v>
      </c>
      <c r="JI8" s="523">
        <v>1.1575</v>
      </c>
      <c r="JJ8" s="530">
        <v>153.4</v>
      </c>
      <c r="JK8" s="257">
        <v>20</v>
      </c>
      <c r="JM8" s="254">
        <v>20</v>
      </c>
      <c r="JN8" s="537">
        <v>6.4829999999999999E-2</v>
      </c>
      <c r="JO8" s="514">
        <v>415.5</v>
      </c>
      <c r="JP8" s="508">
        <v>1.7758</v>
      </c>
      <c r="JQ8" s="536">
        <v>0.90500000000000003</v>
      </c>
      <c r="JR8" s="536">
        <v>1.1594</v>
      </c>
      <c r="JS8" s="526">
        <v>153.1</v>
      </c>
      <c r="JT8" s="731"/>
      <c r="JU8" s="537">
        <v>6.4250000000000002E-2</v>
      </c>
      <c r="JV8" s="528">
        <v>419.9</v>
      </c>
      <c r="JW8" s="536">
        <v>1.7882</v>
      </c>
      <c r="JX8" s="508">
        <v>0.9093</v>
      </c>
      <c r="JY8" s="508">
        <v>1.1552</v>
      </c>
      <c r="JZ8" s="514">
        <v>154.6</v>
      </c>
      <c r="KA8" s="194">
        <v>25</v>
      </c>
      <c r="KC8" s="176">
        <v>25</v>
      </c>
      <c r="KD8" s="340">
        <v>6.2309999999999997E-2</v>
      </c>
      <c r="KE8" s="540">
        <v>419.7</v>
      </c>
      <c r="KF8" s="170">
        <v>1.7854000000000001</v>
      </c>
      <c r="KG8" s="170">
        <v>0.91200000000000003</v>
      </c>
      <c r="KH8" s="196">
        <v>1.1569</v>
      </c>
      <c r="KI8" s="540">
        <v>154.30000000000001</v>
      </c>
      <c r="KJ8" s="731"/>
      <c r="KK8" s="340">
        <v>6.0470000000000003E-2</v>
      </c>
      <c r="KL8" s="397">
        <v>419.4</v>
      </c>
      <c r="KM8" s="334">
        <v>1.7826</v>
      </c>
      <c r="KN8" s="334">
        <v>0.91469999999999996</v>
      </c>
      <c r="KO8" s="334">
        <v>1.1586000000000001</v>
      </c>
      <c r="KP8" s="540">
        <v>154</v>
      </c>
      <c r="KQ8" s="260">
        <v>25</v>
      </c>
      <c r="KS8" s="243">
        <v>25</v>
      </c>
      <c r="KT8" s="409">
        <v>5.8740000000000001E-2</v>
      </c>
      <c r="KU8" s="404">
        <v>419.2</v>
      </c>
      <c r="KV8" s="415">
        <v>1.7799</v>
      </c>
      <c r="KW8" s="415">
        <v>0.91739999999999999</v>
      </c>
      <c r="KX8" s="541">
        <v>1.1604000000000001</v>
      </c>
      <c r="KY8" s="543">
        <v>153.69999999999999</v>
      </c>
      <c r="KZ8" s="731"/>
      <c r="LA8" s="340">
        <v>5.7079999999999999E-2</v>
      </c>
      <c r="LB8" s="397">
        <v>419</v>
      </c>
      <c r="LC8" s="415">
        <v>1.7773000000000001</v>
      </c>
      <c r="LD8" s="415">
        <v>0.92020000000000002</v>
      </c>
      <c r="LE8" s="415">
        <v>1.1621999999999999</v>
      </c>
      <c r="LF8" s="540">
        <v>153.4</v>
      </c>
      <c r="LG8" s="240">
        <v>25</v>
      </c>
      <c r="LI8" s="254">
        <v>25</v>
      </c>
      <c r="LJ8" s="512">
        <v>5.552E-2</v>
      </c>
      <c r="LK8" s="514">
        <v>418.8</v>
      </c>
      <c r="LL8" s="523">
        <v>1.7746999999999999</v>
      </c>
      <c r="LM8" s="523">
        <v>0.92300000000000004</v>
      </c>
      <c r="LN8" s="523">
        <v>1.1640999999999999</v>
      </c>
      <c r="LO8" s="526">
        <v>153.1</v>
      </c>
      <c r="LP8" s="731"/>
      <c r="LQ8" s="511">
        <v>5.314E-2</v>
      </c>
      <c r="LR8" s="528">
        <v>422.9</v>
      </c>
      <c r="LS8" s="522">
        <v>1.7838000000000001</v>
      </c>
      <c r="LT8" s="508">
        <v>0.93020000000000003</v>
      </c>
      <c r="LU8" s="508">
        <v>1.1617999999999999</v>
      </c>
      <c r="LV8" s="514">
        <v>154.30000000000001</v>
      </c>
      <c r="LW8" s="257">
        <v>30</v>
      </c>
      <c r="LY8" s="193">
        <v>30</v>
      </c>
      <c r="LZ8" s="509">
        <v>4.9889999999999997E-2</v>
      </c>
      <c r="MA8" s="514">
        <v>422.4</v>
      </c>
      <c r="MB8" s="536">
        <v>1.7779</v>
      </c>
      <c r="MC8" s="508">
        <v>0.93689999999999996</v>
      </c>
      <c r="MD8" s="508">
        <v>1.1661999999999999</v>
      </c>
      <c r="ME8" s="526">
        <v>153.6</v>
      </c>
      <c r="MF8" s="731"/>
      <c r="MG8" s="537">
        <v>4.6969999999999998E-2</v>
      </c>
      <c r="MH8" s="528">
        <v>421.9</v>
      </c>
      <c r="MI8" s="192">
        <v>1.7722</v>
      </c>
      <c r="MJ8" s="191">
        <v>0.94379999999999997</v>
      </c>
      <c r="MK8" s="191">
        <v>1.1708000000000001</v>
      </c>
      <c r="ML8" s="514">
        <v>152.9</v>
      </c>
      <c r="MM8" s="194">
        <v>30</v>
      </c>
      <c r="MO8" s="176">
        <v>35</v>
      </c>
      <c r="MP8" s="340">
        <v>4.5409999999999999E-2</v>
      </c>
      <c r="MQ8" s="563">
        <v>426.1</v>
      </c>
      <c r="MR8" s="334">
        <v>1.7822</v>
      </c>
      <c r="MS8" s="334">
        <v>0.9496</v>
      </c>
      <c r="MT8" s="335">
        <v>1.1677</v>
      </c>
      <c r="MU8" s="396">
        <v>154.1</v>
      </c>
      <c r="MV8" s="731"/>
      <c r="MW8" s="340">
        <v>4.2999999999999997E-2</v>
      </c>
      <c r="MX8" s="397">
        <v>425.6</v>
      </c>
      <c r="MY8" s="334">
        <v>1.7769999999999999</v>
      </c>
      <c r="MZ8" s="334">
        <v>0.95620000000000005</v>
      </c>
      <c r="NA8" s="334">
        <v>1.1720999999999999</v>
      </c>
      <c r="NB8" s="397">
        <v>153.4</v>
      </c>
      <c r="NC8" s="260">
        <v>35</v>
      </c>
      <c r="NE8" s="243">
        <v>35</v>
      </c>
      <c r="NF8" s="409">
        <v>4.0800000000000003E-2</v>
      </c>
      <c r="NG8" s="396">
        <v>425.1</v>
      </c>
      <c r="NH8" s="415">
        <v>1.772</v>
      </c>
      <c r="NI8" s="415">
        <v>0.96289999999999998</v>
      </c>
      <c r="NJ8" s="335">
        <v>1.1766000000000001</v>
      </c>
      <c r="NK8" s="396">
        <v>152.69999999999999</v>
      </c>
      <c r="NL8" s="731"/>
      <c r="NM8" s="409">
        <v>3.9739999999999998E-2</v>
      </c>
      <c r="NN8" s="397">
        <v>429.4</v>
      </c>
      <c r="NO8" s="415">
        <v>1.7827</v>
      </c>
      <c r="NP8" s="334">
        <v>0.96760000000000002</v>
      </c>
      <c r="NQ8" s="415">
        <v>1.1728000000000001</v>
      </c>
      <c r="NR8" s="396">
        <v>154.1</v>
      </c>
      <c r="NS8" s="240">
        <v>40</v>
      </c>
      <c r="NU8" s="254">
        <v>40</v>
      </c>
      <c r="NV8" s="463">
        <v>3.7870000000000001E-2</v>
      </c>
      <c r="NW8" s="476">
        <v>428.9</v>
      </c>
      <c r="NX8" s="470">
        <v>1.778</v>
      </c>
      <c r="NY8" s="470">
        <v>0.97399999999999998</v>
      </c>
      <c r="NZ8" s="459">
        <v>1.1771</v>
      </c>
      <c r="OA8" s="476">
        <v>153.4</v>
      </c>
      <c r="OB8" s="731"/>
      <c r="OC8" s="463">
        <v>3.6150000000000002E-2</v>
      </c>
      <c r="OD8" s="528">
        <v>428.4</v>
      </c>
      <c r="OE8" s="574">
        <v>1.7735000000000001</v>
      </c>
      <c r="OF8" s="536">
        <v>0.98050000000000004</v>
      </c>
      <c r="OG8" s="575">
        <v>1.1816</v>
      </c>
      <c r="OH8" s="476">
        <v>152.69999999999999</v>
      </c>
      <c r="OI8" s="257">
        <v>40</v>
      </c>
      <c r="OK8" s="193">
        <v>40</v>
      </c>
      <c r="OL8" s="537">
        <v>3.456E-2</v>
      </c>
      <c r="OM8" s="517">
        <v>428</v>
      </c>
      <c r="ON8" s="536">
        <v>1.7690999999999999</v>
      </c>
      <c r="OO8" s="459">
        <v>0.98729999999999996</v>
      </c>
      <c r="OP8" s="459">
        <v>1.1861999999999999</v>
      </c>
      <c r="OQ8" s="476">
        <v>152</v>
      </c>
      <c r="OR8" s="731"/>
      <c r="OS8" s="537">
        <v>3.3919999999999999E-2</v>
      </c>
      <c r="OT8" s="528">
        <v>432.4</v>
      </c>
      <c r="OU8" s="459">
        <v>1.7805</v>
      </c>
      <c r="OV8" s="536">
        <v>0.99029999999999996</v>
      </c>
      <c r="OW8" s="459">
        <v>1.1814</v>
      </c>
      <c r="OX8" s="528">
        <v>153.5</v>
      </c>
      <c r="OY8" s="277">
        <v>45</v>
      </c>
      <c r="PA8" s="176">
        <v>45</v>
      </c>
      <c r="PB8" s="340">
        <v>3.2530000000000003E-2</v>
      </c>
      <c r="PC8" s="396">
        <v>431.9</v>
      </c>
      <c r="PD8" s="334">
        <v>1.7764</v>
      </c>
      <c r="PE8" s="334">
        <v>0.99670000000000003</v>
      </c>
      <c r="PF8" s="334">
        <v>1.1857</v>
      </c>
      <c r="PG8" s="542">
        <v>152.80000000000001</v>
      </c>
      <c r="PH8" s="731"/>
      <c r="PI8" s="340">
        <v>3.1230000000000001E-2</v>
      </c>
      <c r="PJ8" s="397">
        <v>431.5</v>
      </c>
      <c r="PK8" s="541">
        <v>1.7724</v>
      </c>
      <c r="PL8" s="334">
        <v>1.0033000000000001</v>
      </c>
      <c r="PM8" s="334">
        <v>1.1902999999999999</v>
      </c>
      <c r="PN8" s="542">
        <v>152.19999999999999</v>
      </c>
      <c r="PO8" s="260">
        <v>45</v>
      </c>
      <c r="PQ8" s="243">
        <v>45</v>
      </c>
      <c r="PR8" s="409">
        <v>3.0020000000000002E-2</v>
      </c>
      <c r="PS8" s="505">
        <v>431</v>
      </c>
      <c r="PT8" s="415">
        <v>1.7684</v>
      </c>
      <c r="PU8" s="415">
        <v>1.01</v>
      </c>
      <c r="PV8" s="334">
        <v>1.1950000000000001</v>
      </c>
      <c r="PW8" s="396">
        <v>151.5</v>
      </c>
      <c r="PX8" s="731"/>
      <c r="PY8" s="409">
        <v>2.8559999999999999E-2</v>
      </c>
      <c r="PZ8" s="397">
        <v>435.1</v>
      </c>
      <c r="QA8" s="415">
        <v>1.7766999999999999</v>
      </c>
      <c r="QB8" s="415">
        <v>1.0178</v>
      </c>
      <c r="QC8" s="415">
        <v>1.1935</v>
      </c>
      <c r="QD8" s="396">
        <v>152.4</v>
      </c>
      <c r="QE8" s="240">
        <v>50</v>
      </c>
      <c r="QG8" s="254">
        <v>50</v>
      </c>
      <c r="QH8" s="512">
        <v>2.6579999999999999E-2</v>
      </c>
      <c r="QI8" s="526">
        <v>434.1</v>
      </c>
      <c r="QJ8" s="523">
        <v>1.7695000000000001</v>
      </c>
      <c r="QK8" s="523">
        <v>1.0310999999999999</v>
      </c>
      <c r="QL8" s="523">
        <v>1.2027000000000001</v>
      </c>
      <c r="QM8" s="526">
        <v>151.1</v>
      </c>
      <c r="QN8" s="731"/>
      <c r="QO8" s="511">
        <v>2.5499999999999998E-2</v>
      </c>
      <c r="QP8" s="532">
        <v>438.4</v>
      </c>
      <c r="QQ8" s="255">
        <v>1.7785</v>
      </c>
      <c r="QR8" s="191">
        <v>1.0373000000000001</v>
      </c>
      <c r="QS8" s="256">
        <v>1.2002999999999999</v>
      </c>
      <c r="QT8" s="527">
        <v>152.19999999999999</v>
      </c>
      <c r="QU8" s="257">
        <v>55</v>
      </c>
      <c r="QW8" s="193">
        <v>55</v>
      </c>
      <c r="QX8" s="509">
        <v>2.3900000000000001E-2</v>
      </c>
      <c r="QY8" s="517">
        <v>437.4</v>
      </c>
      <c r="QZ8" s="508">
        <v>1.772</v>
      </c>
      <c r="RA8" s="508">
        <v>1.0504</v>
      </c>
      <c r="RB8" s="508">
        <v>1.2095</v>
      </c>
      <c r="RC8" s="526">
        <v>150.9</v>
      </c>
      <c r="RD8" s="731"/>
      <c r="RE8" s="537">
        <v>2.2460000000000001E-2</v>
      </c>
      <c r="RF8" s="528">
        <v>436.5</v>
      </c>
      <c r="RG8" s="536">
        <v>1.7655000000000001</v>
      </c>
      <c r="RH8" s="508">
        <v>1.0644</v>
      </c>
      <c r="RI8" s="508">
        <v>1.2195</v>
      </c>
      <c r="RJ8" s="526">
        <v>149.6</v>
      </c>
      <c r="RK8" s="194">
        <v>55</v>
      </c>
      <c r="RM8" s="176">
        <v>60</v>
      </c>
      <c r="RN8" s="340">
        <v>2.0539999999999999E-2</v>
      </c>
      <c r="RO8" s="396">
        <v>440</v>
      </c>
      <c r="RP8" s="334">
        <v>1.7696000000000001</v>
      </c>
      <c r="RQ8" s="334">
        <v>1.0817000000000001</v>
      </c>
      <c r="RR8" s="491">
        <v>1.2251000000000001</v>
      </c>
      <c r="RS8" s="396">
        <v>149.5</v>
      </c>
      <c r="RT8" s="731"/>
      <c r="RU8" s="340">
        <v>1.8970000000000001E-2</v>
      </c>
      <c r="RV8" s="397">
        <v>443.6</v>
      </c>
      <c r="RW8" s="334">
        <v>1.7745</v>
      </c>
      <c r="RX8" s="334">
        <v>1.0973999999999999</v>
      </c>
      <c r="RY8" s="334">
        <v>1.2296</v>
      </c>
      <c r="RZ8" s="397">
        <v>149.69999999999999</v>
      </c>
      <c r="SA8" s="260">
        <v>65</v>
      </c>
      <c r="SC8" s="243">
        <v>65</v>
      </c>
      <c r="SD8" s="409">
        <v>1.7139999999999999E-2</v>
      </c>
      <c r="SE8" s="396">
        <v>441.8</v>
      </c>
      <c r="SF8" s="415">
        <v>1.7637</v>
      </c>
      <c r="SG8" s="415">
        <v>1.1266</v>
      </c>
      <c r="SH8" s="499">
        <v>1.2509999999999999</v>
      </c>
      <c r="SI8" s="396">
        <v>147.1</v>
      </c>
      <c r="SJ8" s="731"/>
      <c r="SK8" s="409">
        <v>1.6070000000000001E-2</v>
      </c>
      <c r="SL8" s="176">
        <v>445.6</v>
      </c>
      <c r="SM8" s="415">
        <v>1.77</v>
      </c>
      <c r="SN8" s="415">
        <v>1.1395</v>
      </c>
      <c r="SO8" s="415">
        <v>1.2537</v>
      </c>
      <c r="SP8" s="170">
        <v>147.5</v>
      </c>
      <c r="SQ8" s="240">
        <v>70</v>
      </c>
      <c r="SS8" s="243">
        <v>75</v>
      </c>
      <c r="ST8" s="409">
        <v>1.516E-2</v>
      </c>
      <c r="SU8" s="170">
        <v>449.5</v>
      </c>
      <c r="SV8" s="415">
        <v>1.7768999999999999</v>
      </c>
      <c r="SW8" s="415">
        <v>1.1507000000000001</v>
      </c>
      <c r="SX8" s="499">
        <v>1.2552000000000001</v>
      </c>
      <c r="SY8" s="170">
        <v>148</v>
      </c>
      <c r="SZ8" s="731"/>
      <c r="TA8" s="409">
        <v>1.392E-2</v>
      </c>
      <c r="TB8" s="397">
        <v>447.7</v>
      </c>
      <c r="TC8" s="415">
        <v>1.7675000000000001</v>
      </c>
      <c r="TD8" s="334">
        <v>1.1811</v>
      </c>
      <c r="TE8" s="334">
        <v>1.2779</v>
      </c>
      <c r="TF8" s="397">
        <v>145.6</v>
      </c>
      <c r="TG8" s="240">
        <v>75</v>
      </c>
      <c r="TI8" s="176">
        <v>80</v>
      </c>
      <c r="TJ8" s="490">
        <v>1.3259999999999999E-2</v>
      </c>
      <c r="TK8" s="396">
        <v>451.8</v>
      </c>
      <c r="TL8" s="334">
        <v>1.7754000000000001</v>
      </c>
      <c r="TM8" s="491">
        <v>1.1891</v>
      </c>
      <c r="TN8" s="491">
        <v>1.2769999999999999</v>
      </c>
      <c r="TO8" s="396">
        <v>146.4</v>
      </c>
      <c r="TP8" s="731"/>
      <c r="TQ8" s="340">
        <v>1.227E-2</v>
      </c>
      <c r="TR8" s="397">
        <v>450</v>
      </c>
      <c r="TS8" s="334">
        <v>1.7666999999999999</v>
      </c>
      <c r="TT8" s="334">
        <v>1.2215</v>
      </c>
      <c r="TU8" s="334">
        <v>1.3016000000000001</v>
      </c>
      <c r="TV8" s="396">
        <v>144</v>
      </c>
      <c r="TW8" s="260">
        <v>80</v>
      </c>
      <c r="TY8" s="185">
        <v>85</v>
      </c>
      <c r="TZ8" s="474">
        <v>1.179E-2</v>
      </c>
      <c r="UA8" s="467">
        <v>454.3</v>
      </c>
      <c r="UB8" s="473">
        <v>1.7755000000000001</v>
      </c>
      <c r="UC8" s="473">
        <v>1.2259</v>
      </c>
      <c r="UD8" s="491">
        <v>1.298</v>
      </c>
      <c r="UE8" s="467">
        <v>145</v>
      </c>
      <c r="UF8" s="749"/>
      <c r="UG8" s="474">
        <v>1.0970000000000001E-2</v>
      </c>
      <c r="UH8" s="478">
        <v>452.5</v>
      </c>
      <c r="UI8" s="473">
        <v>1.7673000000000001</v>
      </c>
      <c r="UJ8" s="473">
        <v>1.2601</v>
      </c>
      <c r="UK8" s="473">
        <v>1.3242</v>
      </c>
      <c r="UL8" s="478">
        <v>142.69999999999999</v>
      </c>
      <c r="UM8" s="310">
        <v>85</v>
      </c>
      <c r="UO8" s="247">
        <v>90</v>
      </c>
      <c r="UP8" s="464">
        <v>9.9299999999999996E-3</v>
      </c>
      <c r="UQ8" s="467">
        <v>455.3</v>
      </c>
      <c r="UR8" s="471">
        <v>1.7689999999999999</v>
      </c>
      <c r="US8" s="471">
        <v>1.2961</v>
      </c>
      <c r="UT8" s="473">
        <v>1.3449</v>
      </c>
      <c r="UU8" s="467">
        <v>141.69999999999999</v>
      </c>
      <c r="UV8" s="749"/>
      <c r="UW8" s="464">
        <v>9.0900000000000009E-3</v>
      </c>
      <c r="UX8" s="488">
        <v>458.2</v>
      </c>
      <c r="UY8" s="499">
        <v>1.7718</v>
      </c>
      <c r="UZ8" s="471">
        <v>1.3286</v>
      </c>
      <c r="VA8" s="471">
        <v>1.363</v>
      </c>
      <c r="VB8" s="489">
        <v>141</v>
      </c>
      <c r="VC8" s="248">
        <v>95</v>
      </c>
      <c r="VE8" s="264">
        <v>95</v>
      </c>
      <c r="VF8" s="511">
        <v>8.0300000000000007E-3</v>
      </c>
      <c r="VG8" s="514">
        <v>454.4</v>
      </c>
      <c r="VH8" s="522">
        <v>1.7568999999999999</v>
      </c>
      <c r="VI8" s="523">
        <v>1.4178999999999999</v>
      </c>
      <c r="VJ8" s="508">
        <v>1.4330000000000001</v>
      </c>
      <c r="VK8" s="527">
        <v>136.5</v>
      </c>
      <c r="VL8" s="749"/>
      <c r="VM8" s="512">
        <v>7.4700000000000001E-3</v>
      </c>
      <c r="VN8" s="532">
        <v>457.6</v>
      </c>
      <c r="VO8" s="522">
        <v>1.7614000000000001</v>
      </c>
      <c r="VP8" s="391">
        <v>1.4459</v>
      </c>
      <c r="VQ8" s="522">
        <v>1.4477</v>
      </c>
      <c r="VR8" s="526">
        <v>136.4</v>
      </c>
      <c r="VS8" s="257">
        <v>100</v>
      </c>
      <c r="VU8" s="199">
        <v>105</v>
      </c>
      <c r="VV8" s="509">
        <v>7.0099999999999997E-3</v>
      </c>
      <c r="VW8" s="514">
        <v>461.1</v>
      </c>
      <c r="VX8" s="536">
        <v>1.7666999999999999</v>
      </c>
      <c r="VY8" s="508">
        <v>1.4676</v>
      </c>
      <c r="VZ8" s="391">
        <v>1.4573</v>
      </c>
      <c r="WA8" s="526">
        <v>136.6</v>
      </c>
      <c r="WB8" s="749"/>
      <c r="WC8" s="509">
        <v>6.28E-3</v>
      </c>
      <c r="WD8" s="528">
        <v>457.1</v>
      </c>
      <c r="WE8" s="536">
        <v>1.7526999999999999</v>
      </c>
      <c r="WF8" s="391">
        <v>1.5812999999999999</v>
      </c>
      <c r="WG8" s="536">
        <v>1.5472999999999999</v>
      </c>
      <c r="WH8" s="526">
        <v>132.30000000000001</v>
      </c>
      <c r="WI8" s="194">
        <v>105</v>
      </c>
      <c r="WK8" s="199">
        <v>110</v>
      </c>
      <c r="WL8" s="509">
        <v>5.9699999999999996E-3</v>
      </c>
      <c r="WM8" s="514">
        <v>461</v>
      </c>
      <c r="WN8" s="508">
        <v>1.7597</v>
      </c>
      <c r="WO8" s="508">
        <v>1.5889</v>
      </c>
      <c r="WP8" s="492">
        <v>1.5451999999999999</v>
      </c>
      <c r="WQ8" s="526">
        <v>133.30000000000001</v>
      </c>
      <c r="WR8" s="749"/>
      <c r="WS8" s="509">
        <v>5.7099999999999998E-3</v>
      </c>
      <c r="WT8" s="528">
        <v>465.1</v>
      </c>
      <c r="WU8" s="536">
        <v>1.7672000000000001</v>
      </c>
      <c r="WV8" s="492">
        <v>1.5895999999999999</v>
      </c>
      <c r="WW8" s="536">
        <v>1.5377000000000001</v>
      </c>
      <c r="WX8" s="530">
        <v>134.5</v>
      </c>
      <c r="WY8" s="194">
        <v>115</v>
      </c>
      <c r="WZ8" s="402"/>
      <c r="XA8" s="264">
        <v>115</v>
      </c>
      <c r="XB8" s="512">
        <v>5.1700000000000001E-3</v>
      </c>
      <c r="XC8" s="514">
        <v>461.1</v>
      </c>
      <c r="XD8" s="522">
        <v>1.7543</v>
      </c>
      <c r="XE8" s="522">
        <v>1.7135</v>
      </c>
      <c r="XF8" s="492">
        <v>1.6355999999999999</v>
      </c>
      <c r="XG8" s="526">
        <v>130.80000000000001</v>
      </c>
      <c r="XH8" s="749"/>
      <c r="XI8" s="511">
        <v>5.0099999999999997E-3</v>
      </c>
      <c r="XJ8" s="528">
        <v>465.7</v>
      </c>
      <c r="XK8" s="522">
        <v>1.7634000000000001</v>
      </c>
      <c r="XL8" s="522">
        <v>1.6927000000000001</v>
      </c>
      <c r="XM8" s="522">
        <v>1.6106</v>
      </c>
      <c r="XN8" s="526">
        <v>132.69999999999999</v>
      </c>
      <c r="XO8" s="257">
        <v>120</v>
      </c>
      <c r="XP8" s="181"/>
    </row>
    <row r="9" spans="1:640" ht="15.75" thickBot="1" x14ac:dyDescent="0.3">
      <c r="A9" s="235">
        <v>-45</v>
      </c>
      <c r="B9" s="365">
        <v>1.84843</v>
      </c>
      <c r="C9" s="368">
        <v>372.4</v>
      </c>
      <c r="D9" s="360">
        <v>1.8886000000000001</v>
      </c>
      <c r="E9" s="360">
        <v>0.7087</v>
      </c>
      <c r="F9" s="360">
        <v>1.1352</v>
      </c>
      <c r="G9" s="172">
        <v>144.4</v>
      </c>
      <c r="H9" s="266"/>
      <c r="I9" s="365">
        <v>0.96060999999999996</v>
      </c>
      <c r="J9" s="374">
        <v>379.2</v>
      </c>
      <c r="K9" s="360">
        <v>1.8616999999999999</v>
      </c>
      <c r="L9" s="358">
        <v>0.73229999999999995</v>
      </c>
      <c r="M9" s="360">
        <v>1.1336999999999999</v>
      </c>
      <c r="N9" s="378">
        <v>146.9</v>
      </c>
      <c r="O9" s="379">
        <v>-35</v>
      </c>
      <c r="P9" s="359"/>
      <c r="Q9" s="246">
        <v>-25</v>
      </c>
      <c r="R9" s="363">
        <v>0.66578000000000004</v>
      </c>
      <c r="S9" s="368">
        <v>386.3</v>
      </c>
      <c r="T9" s="358">
        <v>1.8581000000000001</v>
      </c>
      <c r="U9" s="358">
        <v>0.75409999999999999</v>
      </c>
      <c r="V9" s="358">
        <v>1.1315</v>
      </c>
      <c r="W9" s="368">
        <v>149.4</v>
      </c>
      <c r="X9" s="266"/>
      <c r="Y9" s="363">
        <v>0.50787000000000004</v>
      </c>
      <c r="Z9" s="374">
        <v>389.8</v>
      </c>
      <c r="AA9" s="358">
        <v>1.8489</v>
      </c>
      <c r="AB9" s="358">
        <v>0.76649999999999996</v>
      </c>
      <c r="AC9" s="358">
        <v>1.1314</v>
      </c>
      <c r="AD9" s="377">
        <v>150.4</v>
      </c>
      <c r="AE9" s="237">
        <v>-20</v>
      </c>
      <c r="AF9" s="37"/>
      <c r="AG9" s="239">
        <v>-20</v>
      </c>
      <c r="AH9" s="340">
        <v>0.40468999999999999</v>
      </c>
      <c r="AI9" s="397">
        <v>389.5</v>
      </c>
      <c r="AJ9" s="334">
        <v>1.8297000000000001</v>
      </c>
      <c r="AK9" s="334">
        <v>0.77080000000000004</v>
      </c>
      <c r="AL9" s="334">
        <v>1.1339999999999999</v>
      </c>
      <c r="AM9" s="406">
        <v>150</v>
      </c>
      <c r="AN9" s="731"/>
      <c r="AO9" s="340">
        <v>0.34316999999999998</v>
      </c>
      <c r="AP9" s="397">
        <v>393</v>
      </c>
      <c r="AQ9" s="334">
        <v>1.8291999999999999</v>
      </c>
      <c r="AR9" s="334">
        <v>0.7823</v>
      </c>
      <c r="AS9" s="401">
        <v>1.1334</v>
      </c>
      <c r="AT9" s="407">
        <v>151.1</v>
      </c>
      <c r="AU9" s="242">
        <v>-15</v>
      </c>
      <c r="AV9" s="178"/>
      <c r="AW9" s="239">
        <v>-10</v>
      </c>
      <c r="AX9" s="409">
        <v>0.29931000000000002</v>
      </c>
      <c r="AY9" s="396">
        <v>396.7</v>
      </c>
      <c r="AZ9" s="415">
        <v>1.8309</v>
      </c>
      <c r="BA9" s="415">
        <v>0.79320000000000002</v>
      </c>
      <c r="BB9" s="417">
        <v>1.1327</v>
      </c>
      <c r="BC9" s="394">
        <v>152.19999999999999</v>
      </c>
      <c r="BD9" s="731"/>
      <c r="BE9" s="409">
        <v>0.26102999999999998</v>
      </c>
      <c r="BF9" s="397">
        <v>396.4</v>
      </c>
      <c r="BG9" s="417">
        <v>1.8191999999999999</v>
      </c>
      <c r="BH9" s="334">
        <v>0.79690000000000005</v>
      </c>
      <c r="BI9" s="416">
        <v>1.1349</v>
      </c>
      <c r="BJ9" s="394">
        <v>151.9</v>
      </c>
      <c r="BK9" s="242">
        <v>-10</v>
      </c>
      <c r="BM9" s="244">
        <v>-5</v>
      </c>
      <c r="BN9" s="409">
        <v>0.23613000000000001</v>
      </c>
      <c r="BO9" s="396">
        <v>400.2</v>
      </c>
      <c r="BP9" s="415">
        <v>1.8240000000000001</v>
      </c>
      <c r="BQ9" s="415">
        <v>0.80710000000000004</v>
      </c>
      <c r="BR9" s="339">
        <v>1.1338999999999999</v>
      </c>
      <c r="BS9" s="396">
        <v>153</v>
      </c>
      <c r="BT9" s="731"/>
      <c r="BU9" s="409">
        <v>0.21182000000000001</v>
      </c>
      <c r="BV9" s="397">
        <v>399.9</v>
      </c>
      <c r="BW9" s="415">
        <v>1.8146</v>
      </c>
      <c r="BX9" s="334">
        <v>0.81059999999999999</v>
      </c>
      <c r="BY9" s="415">
        <v>1.1358999999999999</v>
      </c>
      <c r="BZ9" s="397">
        <v>152.69999999999999</v>
      </c>
      <c r="CA9" s="276">
        <v>-5</v>
      </c>
      <c r="CC9" s="244">
        <v>-5</v>
      </c>
      <c r="CD9" s="340">
        <v>0.20893999999999999</v>
      </c>
      <c r="CE9" s="396">
        <v>399.9</v>
      </c>
      <c r="CF9" s="334">
        <v>1.8134999999999999</v>
      </c>
      <c r="CG9" s="334">
        <v>0.81100000000000005</v>
      </c>
      <c r="CH9" s="339">
        <v>1.1362000000000001</v>
      </c>
      <c r="CI9" s="396">
        <v>152.6</v>
      </c>
      <c r="CJ9" s="731"/>
      <c r="CK9" s="340">
        <v>0.19600000000000001</v>
      </c>
      <c r="CL9" s="397">
        <v>403.7</v>
      </c>
      <c r="CM9" s="334">
        <v>1.8211999999999999</v>
      </c>
      <c r="CN9" s="334">
        <v>0.82010000000000005</v>
      </c>
      <c r="CO9" s="334">
        <v>1.1346000000000001</v>
      </c>
      <c r="CP9" s="396">
        <v>153.9</v>
      </c>
      <c r="CQ9" s="240">
        <v>0</v>
      </c>
      <c r="CS9" s="243">
        <v>0</v>
      </c>
      <c r="CT9" s="440">
        <v>0.17912</v>
      </c>
      <c r="CU9" s="396">
        <v>403.5</v>
      </c>
      <c r="CV9" s="444">
        <v>1.8133999999999999</v>
      </c>
      <c r="CW9" s="334">
        <v>0.82330000000000003</v>
      </c>
      <c r="CX9" s="444">
        <v>1.1365000000000001</v>
      </c>
      <c r="CY9" s="442">
        <v>153.5</v>
      </c>
      <c r="CZ9" s="731"/>
      <c r="DA9" s="340">
        <v>0.16483</v>
      </c>
      <c r="DB9" s="449">
        <v>403.2</v>
      </c>
      <c r="DC9" s="334">
        <v>1.8062</v>
      </c>
      <c r="DD9" s="334">
        <v>0.8266</v>
      </c>
      <c r="DE9" s="444">
        <v>1.1385000000000001</v>
      </c>
      <c r="DF9" s="449">
        <v>153.1</v>
      </c>
      <c r="DG9" s="240">
        <v>0</v>
      </c>
      <c r="DI9" s="243">
        <v>5</v>
      </c>
      <c r="DJ9" s="453">
        <v>0.15584000000000001</v>
      </c>
      <c r="DK9" s="396">
        <v>407.1</v>
      </c>
      <c r="DL9" s="455">
        <v>1.8146</v>
      </c>
      <c r="DM9" s="415">
        <v>0.83530000000000004</v>
      </c>
      <c r="DN9" s="444">
        <v>1.1368</v>
      </c>
      <c r="DO9" s="442">
        <v>154.4</v>
      </c>
      <c r="DP9" s="731"/>
      <c r="DQ9" s="413">
        <v>0.14502999999999999</v>
      </c>
      <c r="DR9" s="397">
        <v>406.9</v>
      </c>
      <c r="DS9" s="415">
        <v>1.8083</v>
      </c>
      <c r="DT9" s="415">
        <v>0.83840000000000003</v>
      </c>
      <c r="DU9" s="455">
        <v>1.1386000000000001</v>
      </c>
      <c r="DV9" s="442">
        <v>154.1</v>
      </c>
      <c r="DW9" s="240">
        <v>5</v>
      </c>
      <c r="DY9" s="247">
        <v>5</v>
      </c>
      <c r="DZ9" s="464">
        <v>0.13556000000000001</v>
      </c>
      <c r="EA9" s="467">
        <v>406.6</v>
      </c>
      <c r="EB9" s="470">
        <v>1.8024</v>
      </c>
      <c r="EC9" s="471">
        <v>0.84150000000000003</v>
      </c>
      <c r="ED9" s="470">
        <v>1.1405000000000001</v>
      </c>
      <c r="EE9" s="465">
        <v>153.69999999999999</v>
      </c>
      <c r="EF9" s="731"/>
      <c r="EG9" s="464">
        <v>0.12994</v>
      </c>
      <c r="EH9" s="478">
        <v>410.6</v>
      </c>
      <c r="EI9" s="471">
        <v>1.8119000000000001</v>
      </c>
      <c r="EJ9" s="459">
        <v>0.84950000000000003</v>
      </c>
      <c r="EK9" s="459">
        <v>1.1384000000000001</v>
      </c>
      <c r="EL9" s="478">
        <v>155</v>
      </c>
      <c r="EM9" s="248">
        <v>10</v>
      </c>
      <c r="EO9" s="262">
        <v>10</v>
      </c>
      <c r="EP9" s="460">
        <v>0.12237000000000001</v>
      </c>
      <c r="EQ9" s="467">
        <v>410.4</v>
      </c>
      <c r="ER9" s="459">
        <v>1.8066</v>
      </c>
      <c r="ES9" s="459">
        <v>0.85240000000000005</v>
      </c>
      <c r="ET9" s="459">
        <v>1.1402000000000001</v>
      </c>
      <c r="EU9" s="465">
        <v>154.69999999999999</v>
      </c>
      <c r="EV9" s="731"/>
      <c r="EW9" s="474">
        <v>0.11562</v>
      </c>
      <c r="EX9" s="478">
        <v>410.1</v>
      </c>
      <c r="EY9" s="473">
        <v>1.8016000000000001</v>
      </c>
      <c r="EZ9" s="473">
        <v>0.85529999999999995</v>
      </c>
      <c r="FA9" s="459">
        <v>1.1419999999999999</v>
      </c>
      <c r="FB9" s="467">
        <v>154.4</v>
      </c>
      <c r="FC9" s="248">
        <v>10</v>
      </c>
      <c r="FE9" s="268">
        <v>10</v>
      </c>
      <c r="FF9" s="340">
        <v>0.10953</v>
      </c>
      <c r="FG9" s="396">
        <v>409.9</v>
      </c>
      <c r="FH9" s="334">
        <v>1.7968</v>
      </c>
      <c r="FI9" s="334">
        <v>0.85829999999999995</v>
      </c>
      <c r="FJ9" s="491">
        <v>1.1437999999999999</v>
      </c>
      <c r="FK9" s="396">
        <v>154</v>
      </c>
      <c r="FL9" s="731"/>
      <c r="FM9" s="340">
        <v>0.10625999999999999</v>
      </c>
      <c r="FN9" s="397">
        <v>414</v>
      </c>
      <c r="FO9" s="334">
        <v>1.8072999999999999</v>
      </c>
      <c r="FP9" s="334">
        <v>0.86539999999999995</v>
      </c>
      <c r="FQ9" s="334">
        <v>1.1413</v>
      </c>
      <c r="FR9" s="397">
        <v>155.4</v>
      </c>
      <c r="FS9" s="240">
        <v>10</v>
      </c>
      <c r="FU9" s="268">
        <v>15</v>
      </c>
      <c r="FV9" s="409">
        <v>0.10116</v>
      </c>
      <c r="FW9" s="396">
        <v>413.8</v>
      </c>
      <c r="FX9" s="499">
        <v>1.8028999999999999</v>
      </c>
      <c r="FY9" s="415">
        <v>0.86819999999999997</v>
      </c>
      <c r="FZ9" s="491">
        <v>1.143</v>
      </c>
      <c r="GA9" s="396">
        <v>155.1</v>
      </c>
      <c r="GB9" s="731"/>
      <c r="GC9" s="409">
        <v>9.6509999999999999E-2</v>
      </c>
      <c r="GD9" s="397">
        <v>413.6</v>
      </c>
      <c r="GE9" s="415">
        <v>1.7987</v>
      </c>
      <c r="GF9" s="415">
        <v>0.87090000000000001</v>
      </c>
      <c r="GG9" s="415">
        <v>1.1447000000000001</v>
      </c>
      <c r="GH9" s="396">
        <v>154.80000000000001</v>
      </c>
      <c r="GI9" s="240">
        <v>15</v>
      </c>
      <c r="GK9" s="243">
        <v>15</v>
      </c>
      <c r="GL9" s="409">
        <v>9.2240000000000003E-2</v>
      </c>
      <c r="GM9" s="404">
        <v>413.3</v>
      </c>
      <c r="GN9" s="415">
        <v>1.7947</v>
      </c>
      <c r="GO9" s="415">
        <v>0.87380000000000002</v>
      </c>
      <c r="GP9" s="334">
        <v>1.1465000000000001</v>
      </c>
      <c r="GQ9" s="396">
        <v>154.4</v>
      </c>
      <c r="GR9" s="731"/>
      <c r="GS9" s="409">
        <v>9.0230000000000005E-2</v>
      </c>
      <c r="GT9" s="397">
        <v>417.5</v>
      </c>
      <c r="GU9" s="241">
        <v>1.8059000000000001</v>
      </c>
      <c r="GV9" s="170">
        <v>0.88019999999999998</v>
      </c>
      <c r="GW9" s="241">
        <v>1.1435999999999999</v>
      </c>
      <c r="GX9" s="397">
        <v>155.80000000000001</v>
      </c>
      <c r="GY9" s="240">
        <v>20</v>
      </c>
      <c r="HA9" s="243">
        <v>20</v>
      </c>
      <c r="HB9" s="340">
        <v>8.6540000000000006E-2</v>
      </c>
      <c r="HC9" s="396">
        <v>417.3</v>
      </c>
      <c r="HD9" s="334">
        <v>1.8021</v>
      </c>
      <c r="HE9" s="334">
        <v>0.88280000000000003</v>
      </c>
      <c r="HF9" s="334">
        <v>1.1452</v>
      </c>
      <c r="HG9" s="396">
        <v>155.5</v>
      </c>
      <c r="HH9" s="731"/>
      <c r="HI9" s="340">
        <v>8.3129999999999996E-2</v>
      </c>
      <c r="HJ9" s="397">
        <v>417.1</v>
      </c>
      <c r="HK9" s="334">
        <v>1.7985</v>
      </c>
      <c r="HL9" s="334">
        <v>0.88549999999999995</v>
      </c>
      <c r="HM9" s="334">
        <v>1.1469</v>
      </c>
      <c r="HN9" s="396">
        <v>155.19999999999999</v>
      </c>
      <c r="HO9" s="240">
        <v>20</v>
      </c>
      <c r="HQ9" s="243">
        <v>20</v>
      </c>
      <c r="HR9" s="340">
        <v>7.9960000000000003E-2</v>
      </c>
      <c r="HS9" s="396">
        <v>416.9</v>
      </c>
      <c r="HT9" s="334">
        <v>1.7949999999999999</v>
      </c>
      <c r="HU9" s="334">
        <v>0.8881</v>
      </c>
      <c r="HV9" s="334">
        <v>1.1486000000000001</v>
      </c>
      <c r="HW9" s="488">
        <v>154.9</v>
      </c>
      <c r="HX9" s="731"/>
      <c r="HY9" s="340">
        <v>7.7009999999999995E-2</v>
      </c>
      <c r="HZ9" s="397">
        <v>416.6</v>
      </c>
      <c r="IA9" s="491">
        <v>1.7916000000000001</v>
      </c>
      <c r="IB9" s="334">
        <v>0.89090000000000003</v>
      </c>
      <c r="IC9" s="334">
        <v>1.1503000000000001</v>
      </c>
      <c r="ID9" s="488">
        <v>154.6</v>
      </c>
      <c r="IE9" s="240">
        <v>20</v>
      </c>
      <c r="IG9" s="243">
        <v>25</v>
      </c>
      <c r="IH9" s="409">
        <v>7.5870000000000007E-2</v>
      </c>
      <c r="II9" s="396">
        <v>420.9</v>
      </c>
      <c r="IJ9" s="499">
        <v>1.8033999999999999</v>
      </c>
      <c r="IK9" s="415">
        <v>0.89639999999999997</v>
      </c>
      <c r="IL9" s="491">
        <v>1.1469</v>
      </c>
      <c r="IM9" s="396">
        <v>156.1</v>
      </c>
      <c r="IN9" s="731"/>
      <c r="IO9" s="409">
        <v>7.3249999999999996E-2</v>
      </c>
      <c r="IP9" s="397">
        <v>420.7</v>
      </c>
      <c r="IQ9" s="415">
        <v>1.8002</v>
      </c>
      <c r="IR9" s="415">
        <v>0.89890000000000003</v>
      </c>
      <c r="IS9" s="415">
        <v>1.1485000000000001</v>
      </c>
      <c r="IT9" s="396">
        <v>155.80000000000001</v>
      </c>
      <c r="IU9" s="240">
        <v>25</v>
      </c>
      <c r="IW9" s="254">
        <v>25</v>
      </c>
      <c r="IX9" s="512">
        <v>7.0790000000000006E-2</v>
      </c>
      <c r="IY9" s="514">
        <v>420.5</v>
      </c>
      <c r="IZ9" s="523">
        <v>1.7970999999999999</v>
      </c>
      <c r="JA9" s="523">
        <v>0.90149999999999997</v>
      </c>
      <c r="JB9" s="523">
        <v>1.1500999999999999</v>
      </c>
      <c r="JC9" s="526">
        <v>155.5</v>
      </c>
      <c r="JD9" s="731"/>
      <c r="JE9" s="511">
        <v>6.8479999999999999E-2</v>
      </c>
      <c r="JF9" s="528">
        <v>420.3</v>
      </c>
      <c r="JG9" s="522">
        <v>1.7941</v>
      </c>
      <c r="JH9" s="508">
        <v>0.90400000000000003</v>
      </c>
      <c r="JI9" s="523">
        <v>1.1517999999999999</v>
      </c>
      <c r="JJ9" s="528">
        <v>155.19999999999999</v>
      </c>
      <c r="JK9" s="257">
        <v>25</v>
      </c>
      <c r="JM9" s="254">
        <v>25</v>
      </c>
      <c r="JN9" s="509">
        <v>6.6299999999999998E-2</v>
      </c>
      <c r="JO9" s="514">
        <v>420.1</v>
      </c>
      <c r="JP9" s="508">
        <v>1.7910999999999999</v>
      </c>
      <c r="JQ9" s="508">
        <v>0.90659999999999996</v>
      </c>
      <c r="JR9" s="508">
        <v>1.1535</v>
      </c>
      <c r="JS9" s="526">
        <v>154.9</v>
      </c>
      <c r="JT9" s="731"/>
      <c r="JU9" s="537">
        <v>6.5670000000000006E-2</v>
      </c>
      <c r="JV9" s="528">
        <v>424.4</v>
      </c>
      <c r="JW9" s="536">
        <v>1.8033999999999999</v>
      </c>
      <c r="JX9" s="508">
        <v>0.91149999999999998</v>
      </c>
      <c r="JY9" s="508">
        <v>1.1496999999999999</v>
      </c>
      <c r="JZ9" s="526">
        <v>156.4</v>
      </c>
      <c r="KA9" s="194">
        <v>30</v>
      </c>
      <c r="KC9" s="176">
        <v>30</v>
      </c>
      <c r="KD9" s="340">
        <v>6.3700000000000007E-2</v>
      </c>
      <c r="KE9" s="540">
        <v>424.2</v>
      </c>
      <c r="KF9" s="196">
        <v>1.8006</v>
      </c>
      <c r="KG9" s="170">
        <v>0.91390000000000005</v>
      </c>
      <c r="KH9" s="196">
        <v>1.1512</v>
      </c>
      <c r="KI9" s="540">
        <v>156.19999999999999</v>
      </c>
      <c r="KJ9" s="731"/>
      <c r="KK9" s="340">
        <v>6.1839999999999999E-2</v>
      </c>
      <c r="KL9" s="397">
        <v>424</v>
      </c>
      <c r="KM9" s="334">
        <v>1.7979000000000001</v>
      </c>
      <c r="KN9" s="334">
        <v>0.9163</v>
      </c>
      <c r="KO9" s="334">
        <v>1.1528</v>
      </c>
      <c r="KP9" s="540">
        <v>155.9</v>
      </c>
      <c r="KQ9" s="260">
        <v>30</v>
      </c>
      <c r="KS9" s="243">
        <v>30</v>
      </c>
      <c r="KT9" s="409">
        <v>6.0069999999999998E-2</v>
      </c>
      <c r="KU9" s="543">
        <v>423.8</v>
      </c>
      <c r="KV9" s="415">
        <v>1.7951999999999999</v>
      </c>
      <c r="KW9" s="415">
        <v>0.91879999999999995</v>
      </c>
      <c r="KX9" s="541">
        <v>1.1544000000000001</v>
      </c>
      <c r="KY9" s="543">
        <v>155.6</v>
      </c>
      <c r="KZ9" s="731"/>
      <c r="LA9" s="340">
        <v>5.8389999999999997E-2</v>
      </c>
      <c r="LB9" s="397">
        <v>423.6</v>
      </c>
      <c r="LC9" s="415">
        <v>1.7926</v>
      </c>
      <c r="LD9" s="415">
        <v>0.92130000000000001</v>
      </c>
      <c r="LE9" s="415">
        <v>1.1559999999999999</v>
      </c>
      <c r="LF9" s="540">
        <v>155.30000000000001</v>
      </c>
      <c r="LG9" s="240">
        <v>30</v>
      </c>
      <c r="LI9" s="254">
        <v>30</v>
      </c>
      <c r="LJ9" s="512">
        <v>5.6800000000000003E-2</v>
      </c>
      <c r="LK9" s="514">
        <v>423.4</v>
      </c>
      <c r="LL9" s="523">
        <v>1.79</v>
      </c>
      <c r="LM9" s="523">
        <v>0.92379999999999995</v>
      </c>
      <c r="LN9" s="523">
        <v>1.1576</v>
      </c>
      <c r="LO9" s="526">
        <v>155</v>
      </c>
      <c r="LP9" s="731"/>
      <c r="LQ9" s="511">
        <v>5.4339999999999999E-2</v>
      </c>
      <c r="LR9" s="530">
        <v>427.6</v>
      </c>
      <c r="LS9" s="522">
        <v>1.7989999999999999</v>
      </c>
      <c r="LT9" s="508">
        <v>0.93120000000000003</v>
      </c>
      <c r="LU9" s="508">
        <v>1.1556</v>
      </c>
      <c r="LV9" s="514">
        <v>156.19999999999999</v>
      </c>
      <c r="LW9" s="257">
        <v>35</v>
      </c>
      <c r="LY9" s="193">
        <v>35</v>
      </c>
      <c r="LZ9" s="509">
        <v>5.1040000000000002E-2</v>
      </c>
      <c r="MA9" s="562">
        <v>427.1</v>
      </c>
      <c r="MB9" s="508">
        <v>1.7931999999999999</v>
      </c>
      <c r="MC9" s="508">
        <v>0.93720000000000003</v>
      </c>
      <c r="MD9" s="508">
        <v>1.1595</v>
      </c>
      <c r="ME9" s="526">
        <v>155.5</v>
      </c>
      <c r="MF9" s="731"/>
      <c r="MG9" s="537">
        <v>4.8079999999999998E-2</v>
      </c>
      <c r="MH9" s="528">
        <v>426.6</v>
      </c>
      <c r="MI9" s="192">
        <v>1.7876000000000001</v>
      </c>
      <c r="MJ9" s="191">
        <v>0.94330000000000003</v>
      </c>
      <c r="MK9" s="191">
        <v>1.1635</v>
      </c>
      <c r="ML9" s="514">
        <v>154.80000000000001</v>
      </c>
      <c r="MM9" s="194">
        <v>35</v>
      </c>
      <c r="MO9" s="176">
        <v>40</v>
      </c>
      <c r="MP9" s="340">
        <v>4.6460000000000001E-2</v>
      </c>
      <c r="MQ9" s="501">
        <v>430.8</v>
      </c>
      <c r="MR9" s="334">
        <v>1.7975000000000001</v>
      </c>
      <c r="MS9" s="334">
        <v>0.9496</v>
      </c>
      <c r="MT9" s="335">
        <v>1.1609</v>
      </c>
      <c r="MU9" s="396">
        <v>156.1</v>
      </c>
      <c r="MV9" s="731"/>
      <c r="MW9" s="340">
        <v>4.4010000000000001E-2</v>
      </c>
      <c r="MX9" s="397">
        <v>430.4</v>
      </c>
      <c r="MY9" s="334">
        <v>1.7924</v>
      </c>
      <c r="MZ9" s="334">
        <v>0.95540000000000003</v>
      </c>
      <c r="NA9" s="334">
        <v>1.1647000000000001</v>
      </c>
      <c r="NB9" s="397">
        <v>155.4</v>
      </c>
      <c r="NC9" s="260">
        <v>40</v>
      </c>
      <c r="NE9" s="243">
        <v>40</v>
      </c>
      <c r="NF9" s="340">
        <v>4.1779999999999998E-2</v>
      </c>
      <c r="NG9" s="396">
        <v>429.9</v>
      </c>
      <c r="NH9" s="415">
        <v>1.7874000000000001</v>
      </c>
      <c r="NI9" s="415">
        <v>0.96140000000000003</v>
      </c>
      <c r="NJ9" s="335">
        <v>1.1687000000000001</v>
      </c>
      <c r="NK9" s="396">
        <v>154.80000000000001</v>
      </c>
      <c r="NL9" s="731"/>
      <c r="NM9" s="409">
        <v>4.0680000000000001E-2</v>
      </c>
      <c r="NN9" s="397">
        <v>434.3</v>
      </c>
      <c r="NO9" s="568">
        <v>1.798</v>
      </c>
      <c r="NP9" s="334">
        <v>0.96660000000000001</v>
      </c>
      <c r="NQ9" s="415">
        <v>1.1654</v>
      </c>
      <c r="NR9" s="396">
        <v>156.1</v>
      </c>
      <c r="NS9" s="240">
        <v>45</v>
      </c>
      <c r="NU9" s="254">
        <v>45</v>
      </c>
      <c r="NV9" s="511">
        <v>3.8780000000000002E-2</v>
      </c>
      <c r="NW9" s="528">
        <v>433.8</v>
      </c>
      <c r="NX9" s="522">
        <v>1.7934000000000001</v>
      </c>
      <c r="NY9" s="522">
        <v>0.97230000000000005</v>
      </c>
      <c r="NZ9" s="459">
        <v>1.1692</v>
      </c>
      <c r="OA9" s="528">
        <v>155.5</v>
      </c>
      <c r="OB9" s="731"/>
      <c r="OC9" s="511">
        <v>3.703E-2</v>
      </c>
      <c r="OD9" s="528">
        <v>433.3</v>
      </c>
      <c r="OE9" s="575">
        <v>1.7889999999999999</v>
      </c>
      <c r="OF9" s="536">
        <v>0.97809999999999997</v>
      </c>
      <c r="OG9" s="575">
        <v>1.1731</v>
      </c>
      <c r="OH9" s="528">
        <v>154.80000000000001</v>
      </c>
      <c r="OI9" s="257">
        <v>45</v>
      </c>
      <c r="OK9" s="193">
        <v>45</v>
      </c>
      <c r="OL9" s="537">
        <v>3.542E-2</v>
      </c>
      <c r="OM9" s="532">
        <v>432.9</v>
      </c>
      <c r="ON9" s="536">
        <v>1.7847</v>
      </c>
      <c r="OO9" s="536">
        <v>0.98409999999999997</v>
      </c>
      <c r="OP9" s="459">
        <v>1.1772</v>
      </c>
      <c r="OQ9" s="528">
        <v>154.19999999999999</v>
      </c>
      <c r="OR9" s="731"/>
      <c r="OS9" s="537">
        <v>3.474E-2</v>
      </c>
      <c r="OT9" s="528">
        <v>437.4</v>
      </c>
      <c r="OU9" s="536">
        <v>1.7959000000000001</v>
      </c>
      <c r="OV9" s="459">
        <v>0.9879</v>
      </c>
      <c r="OW9" s="459">
        <v>1.173</v>
      </c>
      <c r="OX9" s="476">
        <v>155.6</v>
      </c>
      <c r="OY9" s="194">
        <v>50</v>
      </c>
      <c r="PA9" s="176">
        <v>50</v>
      </c>
      <c r="PB9" s="340">
        <v>3.3329999999999999E-2</v>
      </c>
      <c r="PC9" s="396">
        <v>436.9</v>
      </c>
      <c r="PD9" s="334">
        <v>1.7919</v>
      </c>
      <c r="PE9" s="334">
        <v>0.99350000000000005</v>
      </c>
      <c r="PF9" s="541">
        <v>1.1768000000000001</v>
      </c>
      <c r="PG9" s="396">
        <v>155</v>
      </c>
      <c r="PH9" s="731"/>
      <c r="PI9" s="340">
        <v>3.202E-2</v>
      </c>
      <c r="PJ9" s="397">
        <v>436.5</v>
      </c>
      <c r="PK9" s="334">
        <v>1.788</v>
      </c>
      <c r="PL9" s="334">
        <v>0.99939999999999996</v>
      </c>
      <c r="PM9" s="334">
        <v>1.1807000000000001</v>
      </c>
      <c r="PN9" s="397">
        <v>154.4</v>
      </c>
      <c r="PO9" s="260">
        <v>50</v>
      </c>
      <c r="PQ9" s="243">
        <v>50</v>
      </c>
      <c r="PR9" s="409">
        <v>3.0790000000000001E-2</v>
      </c>
      <c r="PS9" s="396">
        <v>436</v>
      </c>
      <c r="PT9" s="415">
        <v>1.7842</v>
      </c>
      <c r="PU9" s="415">
        <v>1.0053000000000001</v>
      </c>
      <c r="PV9" s="492" t="s">
        <v>134</v>
      </c>
      <c r="PW9" s="396">
        <v>153.69999999999999</v>
      </c>
      <c r="PX9" s="731"/>
      <c r="PY9" s="409">
        <v>2.928E-2</v>
      </c>
      <c r="PZ9" s="397">
        <v>440.2</v>
      </c>
      <c r="QA9" s="415">
        <v>1.7923</v>
      </c>
      <c r="QB9" s="415">
        <v>1.0133000000000001</v>
      </c>
      <c r="QC9" s="415">
        <v>1.1836</v>
      </c>
      <c r="QD9" s="396">
        <v>154.69999999999999</v>
      </c>
      <c r="QE9" s="240">
        <v>55</v>
      </c>
      <c r="QG9" s="254">
        <v>55</v>
      </c>
      <c r="QH9" s="512">
        <v>2.7279999999999999E-2</v>
      </c>
      <c r="QI9" s="514">
        <v>439.3</v>
      </c>
      <c r="QJ9" s="523">
        <v>1.7853000000000001</v>
      </c>
      <c r="QK9" s="523">
        <v>1.0249999999999999</v>
      </c>
      <c r="QL9" s="523">
        <v>1.1916</v>
      </c>
      <c r="QM9" s="526">
        <v>153.4</v>
      </c>
      <c r="QN9" s="731"/>
      <c r="QO9" s="511">
        <v>2.6159999999999999E-2</v>
      </c>
      <c r="QP9" s="532">
        <v>443.5</v>
      </c>
      <c r="QQ9" s="255">
        <v>1.7942</v>
      </c>
      <c r="QR9" s="191">
        <v>1.0316000000000001</v>
      </c>
      <c r="QS9" s="256">
        <v>1.1896</v>
      </c>
      <c r="QT9" s="527">
        <v>154.5</v>
      </c>
      <c r="QU9" s="257">
        <v>60</v>
      </c>
      <c r="QW9" s="193">
        <v>60</v>
      </c>
      <c r="QX9" s="509">
        <v>2.4539999999999999E-2</v>
      </c>
      <c r="QY9" s="517">
        <v>442.7</v>
      </c>
      <c r="QZ9" s="508">
        <v>1.7878000000000001</v>
      </c>
      <c r="RA9" s="508">
        <v>1.0430999999999999</v>
      </c>
      <c r="RB9" s="508">
        <v>1.1976</v>
      </c>
      <c r="RC9" s="526">
        <v>153.30000000000001</v>
      </c>
      <c r="RD9" s="731"/>
      <c r="RE9" s="537">
        <v>2.308E-2</v>
      </c>
      <c r="RF9" s="528">
        <v>441.8</v>
      </c>
      <c r="RG9" s="536">
        <v>1.7816000000000001</v>
      </c>
      <c r="RH9" s="508">
        <v>1.0551999999999999</v>
      </c>
      <c r="RI9" s="508">
        <v>1.2060999999999999</v>
      </c>
      <c r="RJ9" s="514">
        <v>152.1</v>
      </c>
      <c r="RK9" s="194">
        <v>60</v>
      </c>
      <c r="RM9" s="176">
        <v>65</v>
      </c>
      <c r="RN9" s="340">
        <v>2.112E-2</v>
      </c>
      <c r="RO9" s="396">
        <v>445.4</v>
      </c>
      <c r="RP9" s="334">
        <v>1.7856000000000001</v>
      </c>
      <c r="RQ9" s="334">
        <v>1.0716000000000001</v>
      </c>
      <c r="RR9" s="491">
        <v>1.2110000000000001</v>
      </c>
      <c r="RS9" s="396">
        <v>152.1</v>
      </c>
      <c r="RT9" s="731"/>
      <c r="RU9" s="340">
        <v>1.951E-2</v>
      </c>
      <c r="RV9" s="397">
        <v>449.1</v>
      </c>
      <c r="RW9" s="491">
        <v>1.7905</v>
      </c>
      <c r="RX9" s="334">
        <v>1.0864</v>
      </c>
      <c r="RY9" s="334">
        <v>1.2149000000000001</v>
      </c>
      <c r="RZ9" s="488">
        <v>152.30000000000001</v>
      </c>
      <c r="SA9" s="260">
        <v>70</v>
      </c>
      <c r="SC9" s="243">
        <v>70</v>
      </c>
      <c r="SD9" s="409">
        <v>1.7670000000000002E-2</v>
      </c>
      <c r="SE9" s="396">
        <v>447.3</v>
      </c>
      <c r="SF9" s="415">
        <v>1.7801</v>
      </c>
      <c r="SG9" s="415">
        <v>1.1113999999999999</v>
      </c>
      <c r="SH9" s="415">
        <v>1.2330000000000001</v>
      </c>
      <c r="SI9" s="489">
        <v>150</v>
      </c>
      <c r="SJ9" s="731"/>
      <c r="SK9" s="409">
        <v>1.6559999999999998E-2</v>
      </c>
      <c r="SL9" s="176">
        <v>451.2</v>
      </c>
      <c r="SM9" s="415">
        <v>1.7864</v>
      </c>
      <c r="SN9" s="415">
        <v>1.1238999999999999</v>
      </c>
      <c r="SO9" s="499">
        <v>1.2354000000000001</v>
      </c>
      <c r="SP9" s="170">
        <v>150.4</v>
      </c>
      <c r="SQ9" s="240">
        <v>75</v>
      </c>
      <c r="SS9" s="243">
        <v>80</v>
      </c>
      <c r="ST9" s="497">
        <v>1.562E-2</v>
      </c>
      <c r="SU9" s="170">
        <v>455.2</v>
      </c>
      <c r="SV9" s="415">
        <v>1.7931999999999999</v>
      </c>
      <c r="SW9" s="499">
        <v>1.1349</v>
      </c>
      <c r="SX9" s="499">
        <v>1.2367999999999999</v>
      </c>
      <c r="SY9" s="170">
        <v>150.9</v>
      </c>
      <c r="SZ9" s="731"/>
      <c r="TA9" s="409">
        <v>1.4370000000000001E-2</v>
      </c>
      <c r="TB9" s="397">
        <v>453.6</v>
      </c>
      <c r="TC9" s="415">
        <v>1.7842</v>
      </c>
      <c r="TD9" s="334">
        <v>1.1604000000000001</v>
      </c>
      <c r="TE9" s="491">
        <v>1.2556</v>
      </c>
      <c r="TF9" s="397">
        <v>148.69999999999999</v>
      </c>
      <c r="TG9" s="240">
        <v>80</v>
      </c>
      <c r="TI9" s="176">
        <v>85</v>
      </c>
      <c r="TJ9" s="340">
        <v>1.3690000000000001E-2</v>
      </c>
      <c r="TK9" s="396">
        <v>457.7</v>
      </c>
      <c r="TL9" s="334">
        <v>1.792</v>
      </c>
      <c r="TM9" s="491">
        <v>1.1687000000000001</v>
      </c>
      <c r="TN9" s="491">
        <v>1.2551000000000001</v>
      </c>
      <c r="TO9" s="489">
        <v>149.5</v>
      </c>
      <c r="TP9" s="731"/>
      <c r="TQ9" s="340">
        <v>1.269E-2</v>
      </c>
      <c r="TR9" s="397">
        <v>456.1</v>
      </c>
      <c r="TS9" s="334">
        <v>1.7837000000000001</v>
      </c>
      <c r="TT9" s="334">
        <v>1.1957</v>
      </c>
      <c r="TU9" s="491">
        <v>1.2751999999999999</v>
      </c>
      <c r="TV9" s="396">
        <v>147.30000000000001</v>
      </c>
      <c r="TW9" s="260">
        <v>85</v>
      </c>
      <c r="TY9" s="185">
        <v>90</v>
      </c>
      <c r="TZ9" s="474">
        <v>1.2189999999999999E-2</v>
      </c>
      <c r="UA9" s="467">
        <v>460.4</v>
      </c>
      <c r="UB9" s="473">
        <v>1.7923</v>
      </c>
      <c r="UC9" s="473">
        <v>1.2011000000000001</v>
      </c>
      <c r="UD9" s="491">
        <v>1.2725</v>
      </c>
      <c r="UE9" s="467">
        <v>148.30000000000001</v>
      </c>
      <c r="UF9" s="749"/>
      <c r="UG9" s="474">
        <v>1.137E-2</v>
      </c>
      <c r="UH9" s="478">
        <v>458.8</v>
      </c>
      <c r="UI9" s="473">
        <v>1.7845</v>
      </c>
      <c r="UJ9" s="473">
        <v>1.2291000000000001</v>
      </c>
      <c r="UK9" s="491">
        <v>1.2936000000000001</v>
      </c>
      <c r="UL9" s="478">
        <v>146.19999999999999</v>
      </c>
      <c r="UM9" s="310">
        <v>90</v>
      </c>
      <c r="UO9" s="247">
        <v>95</v>
      </c>
      <c r="UP9" s="464">
        <v>1.031E-2</v>
      </c>
      <c r="UQ9" s="467">
        <v>461.6</v>
      </c>
      <c r="UR9" s="471">
        <v>1.7865</v>
      </c>
      <c r="US9" s="471">
        <v>1.2601</v>
      </c>
      <c r="UT9" s="473">
        <v>1.3103</v>
      </c>
      <c r="UU9" s="488">
        <v>145.30000000000001</v>
      </c>
      <c r="UV9" s="749"/>
      <c r="UW9" s="464">
        <v>9.4500000000000001E-3</v>
      </c>
      <c r="UX9" s="478">
        <v>464.7</v>
      </c>
      <c r="UY9" s="471">
        <v>1.7894000000000001</v>
      </c>
      <c r="UZ9" s="622">
        <v>1.2882</v>
      </c>
      <c r="VA9" s="471">
        <v>1.325</v>
      </c>
      <c r="VB9" s="489">
        <v>144.80000000000001</v>
      </c>
      <c r="VC9" s="248">
        <v>100</v>
      </c>
      <c r="VE9" s="264">
        <v>100</v>
      </c>
      <c r="VF9" s="512">
        <v>8.3899999999999999E-3</v>
      </c>
      <c r="VG9" s="514">
        <v>461.3</v>
      </c>
      <c r="VH9" s="523">
        <v>1.7756000000000001</v>
      </c>
      <c r="VI9" s="523">
        <v>1.3571</v>
      </c>
      <c r="VJ9" s="508">
        <v>1.3781000000000001</v>
      </c>
      <c r="VK9" s="527">
        <v>140.69999999999999</v>
      </c>
      <c r="VL9" s="749"/>
      <c r="VM9" s="512">
        <v>7.8200000000000006E-3</v>
      </c>
      <c r="VN9" s="532">
        <v>464.7</v>
      </c>
      <c r="VO9" s="522">
        <v>1.7802</v>
      </c>
      <c r="VP9" s="508">
        <v>1.3812</v>
      </c>
      <c r="VQ9" s="522">
        <v>1.3896999999999999</v>
      </c>
      <c r="VR9" s="526">
        <v>140.69999999999999</v>
      </c>
      <c r="VS9" s="257">
        <v>105</v>
      </c>
      <c r="VU9" s="199">
        <v>110</v>
      </c>
      <c r="VV9" s="509">
        <v>7.3299999999999997E-3</v>
      </c>
      <c r="VW9" s="514">
        <v>468.2</v>
      </c>
      <c r="VX9" s="536">
        <v>1.7855000000000001</v>
      </c>
      <c r="VY9" s="508">
        <v>1.4007000000000001</v>
      </c>
      <c r="VZ9" s="508">
        <v>1.3976999999999999</v>
      </c>
      <c r="WA9" s="526">
        <v>140.9</v>
      </c>
      <c r="WB9" s="749"/>
      <c r="WC9" s="509">
        <v>6.62E-3</v>
      </c>
      <c r="WD9" s="528">
        <v>464.7</v>
      </c>
      <c r="WE9" s="536">
        <v>1.7727999999999999</v>
      </c>
      <c r="WF9" s="508">
        <v>1.4831000000000001</v>
      </c>
      <c r="WG9" s="536">
        <v>1.4619</v>
      </c>
      <c r="WH9" s="526">
        <v>137.19999999999999</v>
      </c>
      <c r="WI9" s="194">
        <v>110</v>
      </c>
      <c r="WK9" s="199">
        <v>115</v>
      </c>
      <c r="WL9" s="509">
        <v>6.2899999999999996E-3</v>
      </c>
      <c r="WM9" s="514">
        <v>468.7</v>
      </c>
      <c r="WN9" s="536">
        <v>1.7796000000000001</v>
      </c>
      <c r="WO9" s="508">
        <v>1.4930000000000001</v>
      </c>
      <c r="WP9" s="492">
        <v>1.4621999999999999</v>
      </c>
      <c r="WQ9" s="526">
        <v>138</v>
      </c>
      <c r="WR9" s="749"/>
      <c r="WS9" s="537">
        <v>6.0099999999999997E-3</v>
      </c>
      <c r="WT9" s="528">
        <v>472.8</v>
      </c>
      <c r="WU9" s="508">
        <v>1.7869999999999999</v>
      </c>
      <c r="WV9" s="536">
        <v>1.4978</v>
      </c>
      <c r="WW9" s="508">
        <v>1.4585999999999999</v>
      </c>
      <c r="WX9" s="530">
        <v>139.1</v>
      </c>
      <c r="WY9" s="194">
        <v>120</v>
      </c>
      <c r="WZ9" s="400"/>
      <c r="XA9" s="254">
        <v>120</v>
      </c>
      <c r="XB9" s="512">
        <v>5.4900000000000001E-3</v>
      </c>
      <c r="XC9" s="514">
        <v>469.4</v>
      </c>
      <c r="XD9" s="522">
        <v>1.7754000000000001</v>
      </c>
      <c r="XE9" s="522">
        <v>1.5848</v>
      </c>
      <c r="XF9" s="536">
        <v>1.5261</v>
      </c>
      <c r="XG9" s="526">
        <v>135.9</v>
      </c>
      <c r="XH9" s="749"/>
      <c r="XI9" s="512">
        <v>5.3E-3</v>
      </c>
      <c r="XJ9" s="528">
        <v>473.8</v>
      </c>
      <c r="XK9" s="522">
        <v>1.784</v>
      </c>
      <c r="XL9" s="523">
        <v>1.5762</v>
      </c>
      <c r="XM9" s="522">
        <v>1.5117</v>
      </c>
      <c r="XN9" s="526">
        <v>137.5</v>
      </c>
      <c r="XO9" s="257">
        <v>125</v>
      </c>
      <c r="XP9" s="175"/>
    </row>
    <row r="10" spans="1:640" ht="15.75" thickBot="1" x14ac:dyDescent="0.3">
      <c r="A10" s="235">
        <v>-40</v>
      </c>
      <c r="B10" s="365">
        <v>1.89036</v>
      </c>
      <c r="C10" s="368">
        <v>376</v>
      </c>
      <c r="D10" s="360">
        <v>1.9039999999999999</v>
      </c>
      <c r="E10" s="360">
        <v>0.71779999999999999</v>
      </c>
      <c r="F10" s="360">
        <v>1.1328</v>
      </c>
      <c r="G10" s="172">
        <v>145.9</v>
      </c>
      <c r="H10" s="266"/>
      <c r="I10" s="365">
        <v>0.98231999999999997</v>
      </c>
      <c r="J10" s="374">
        <v>382.9</v>
      </c>
      <c r="K10" s="372">
        <v>1.877</v>
      </c>
      <c r="L10" s="358">
        <v>0.7409</v>
      </c>
      <c r="M10" s="360">
        <v>1.1311</v>
      </c>
      <c r="N10" s="368">
        <v>148.4</v>
      </c>
      <c r="O10" s="379">
        <v>-30</v>
      </c>
      <c r="P10" s="359"/>
      <c r="Q10" s="235">
        <v>-20</v>
      </c>
      <c r="R10" s="363">
        <v>0.67981000000000003</v>
      </c>
      <c r="S10" s="368">
        <v>390.1</v>
      </c>
      <c r="T10" s="358">
        <v>1.8732</v>
      </c>
      <c r="U10" s="358">
        <v>0.76229999999999998</v>
      </c>
      <c r="V10" s="358">
        <v>1.1289</v>
      </c>
      <c r="W10" s="377">
        <v>150.9</v>
      </c>
      <c r="X10" s="266"/>
      <c r="Y10" s="363">
        <v>0.51866999999999996</v>
      </c>
      <c r="Z10" s="374">
        <v>393.6</v>
      </c>
      <c r="AA10" s="358">
        <v>1.8638999999999999</v>
      </c>
      <c r="AB10" s="358">
        <v>0.77449999999999997</v>
      </c>
      <c r="AC10" s="358">
        <v>1.1288</v>
      </c>
      <c r="AD10" s="377">
        <v>151.9</v>
      </c>
      <c r="AE10" s="237">
        <v>-15</v>
      </c>
      <c r="AF10" s="37"/>
      <c r="AG10" s="239">
        <v>-15</v>
      </c>
      <c r="AH10" s="340">
        <v>0.41338999999999998</v>
      </c>
      <c r="AI10" s="396">
        <v>393.3</v>
      </c>
      <c r="AJ10" s="334">
        <v>1.8449</v>
      </c>
      <c r="AK10" s="334">
        <v>0.77839999999999998</v>
      </c>
      <c r="AL10" s="401">
        <v>1.1311</v>
      </c>
      <c r="AM10" s="404">
        <v>151.5</v>
      </c>
      <c r="AN10" s="731"/>
      <c r="AO10" s="340">
        <v>0.35038999999999998</v>
      </c>
      <c r="AP10" s="397">
        <v>397</v>
      </c>
      <c r="AQ10" s="334">
        <v>1.8443000000000001</v>
      </c>
      <c r="AR10" s="334">
        <v>0.78959999999999997</v>
      </c>
      <c r="AS10" s="401">
        <v>1.1306</v>
      </c>
      <c r="AT10" s="407">
        <v>152.6</v>
      </c>
      <c r="AU10" s="242">
        <v>-10</v>
      </c>
      <c r="AV10" s="179"/>
      <c r="AW10" s="239">
        <v>-5</v>
      </c>
      <c r="AX10" s="409">
        <v>0.30553000000000002</v>
      </c>
      <c r="AY10" s="396">
        <v>400.7</v>
      </c>
      <c r="AZ10" s="415">
        <v>1.8459000000000001</v>
      </c>
      <c r="BA10" s="415">
        <v>0.8004</v>
      </c>
      <c r="BB10" s="416">
        <v>1.1297999999999999</v>
      </c>
      <c r="BC10" s="394">
        <v>153.80000000000001</v>
      </c>
      <c r="BD10" s="731"/>
      <c r="BE10" s="409">
        <v>0.26645000000000002</v>
      </c>
      <c r="BF10" s="397">
        <v>400.4</v>
      </c>
      <c r="BG10" s="415">
        <v>1.8343</v>
      </c>
      <c r="BH10" s="334">
        <v>0.80369999999999997</v>
      </c>
      <c r="BI10" s="417">
        <v>1.1317999999999999</v>
      </c>
      <c r="BJ10" s="394">
        <v>153.4</v>
      </c>
      <c r="BK10" s="242">
        <v>-5</v>
      </c>
      <c r="BM10" s="243">
        <v>0</v>
      </c>
      <c r="BN10" s="409">
        <v>0.24102000000000001</v>
      </c>
      <c r="BO10" s="396">
        <v>404.2</v>
      </c>
      <c r="BP10" s="415">
        <v>1.8389</v>
      </c>
      <c r="BQ10" s="415">
        <v>0.81379999999999997</v>
      </c>
      <c r="BR10" s="426">
        <v>1.1308</v>
      </c>
      <c r="BS10" s="396">
        <v>154.5</v>
      </c>
      <c r="BT10" s="731"/>
      <c r="BU10" s="409">
        <v>0.21626000000000001</v>
      </c>
      <c r="BV10" s="397">
        <v>404</v>
      </c>
      <c r="BW10" s="415">
        <v>1.8297000000000001</v>
      </c>
      <c r="BX10" s="334">
        <v>0.81689999999999996</v>
      </c>
      <c r="BY10" s="415">
        <v>1.1327</v>
      </c>
      <c r="BZ10" s="397">
        <v>154.19999999999999</v>
      </c>
      <c r="CA10" s="240">
        <v>0</v>
      </c>
      <c r="CC10" s="243">
        <v>0</v>
      </c>
      <c r="CD10" s="340">
        <v>0.21335999999999999</v>
      </c>
      <c r="CE10" s="396">
        <v>403.9</v>
      </c>
      <c r="CF10" s="334">
        <v>1.8285</v>
      </c>
      <c r="CG10" s="334">
        <v>0.81730000000000003</v>
      </c>
      <c r="CH10" s="426">
        <v>1.1329</v>
      </c>
      <c r="CI10" s="396">
        <v>154.19999999999999</v>
      </c>
      <c r="CJ10" s="731"/>
      <c r="CK10" s="340">
        <v>0.20004</v>
      </c>
      <c r="CL10" s="397">
        <v>407.8</v>
      </c>
      <c r="CM10" s="334">
        <v>1.8361000000000001</v>
      </c>
      <c r="CN10" s="334">
        <v>0.82640000000000002</v>
      </c>
      <c r="CO10" s="334">
        <v>1.1314</v>
      </c>
      <c r="CP10" s="396">
        <v>155.4</v>
      </c>
      <c r="CQ10" s="240">
        <v>5</v>
      </c>
      <c r="CS10" s="243">
        <v>5</v>
      </c>
      <c r="CT10" s="440">
        <v>0.18285000000000001</v>
      </c>
      <c r="CU10" s="442">
        <v>407.6</v>
      </c>
      <c r="CV10" s="444">
        <v>1.8284</v>
      </c>
      <c r="CW10" s="334">
        <v>0.82940000000000003</v>
      </c>
      <c r="CX10" s="444">
        <v>1.1331</v>
      </c>
      <c r="CY10" s="442">
        <v>155.1</v>
      </c>
      <c r="CZ10" s="731"/>
      <c r="DA10" s="340">
        <v>0.16829</v>
      </c>
      <c r="DB10" s="449">
        <v>407.3</v>
      </c>
      <c r="DC10" s="444">
        <v>1.8211999999999999</v>
      </c>
      <c r="DD10" s="334">
        <v>0.83230000000000004</v>
      </c>
      <c r="DE10" s="444">
        <v>1.1349</v>
      </c>
      <c r="DF10" s="449">
        <v>154.69999999999999</v>
      </c>
      <c r="DG10" s="240">
        <v>5</v>
      </c>
      <c r="DI10" s="278">
        <v>10</v>
      </c>
      <c r="DJ10" s="409">
        <v>0.15906000000000001</v>
      </c>
      <c r="DK10" s="396">
        <v>411.3</v>
      </c>
      <c r="DL10" s="455">
        <v>1.8294999999999999</v>
      </c>
      <c r="DM10" s="415">
        <v>0.84109999999999996</v>
      </c>
      <c r="DN10" s="444">
        <v>1.1333</v>
      </c>
      <c r="DO10" s="442">
        <v>156</v>
      </c>
      <c r="DP10" s="731"/>
      <c r="DQ10" s="409">
        <v>0.14806</v>
      </c>
      <c r="DR10" s="397">
        <v>411.1</v>
      </c>
      <c r="DS10" s="415">
        <v>1.8232999999999999</v>
      </c>
      <c r="DT10" s="415">
        <v>0.84379999999999999</v>
      </c>
      <c r="DU10" s="455">
        <v>1.135</v>
      </c>
      <c r="DV10" s="396">
        <v>155.69999999999999</v>
      </c>
      <c r="DW10" s="240">
        <v>10</v>
      </c>
      <c r="DY10" s="262">
        <v>10</v>
      </c>
      <c r="DZ10" s="463">
        <v>0.13843</v>
      </c>
      <c r="EA10" s="467">
        <v>410.8</v>
      </c>
      <c r="EB10" s="470">
        <v>1.8173999999999999</v>
      </c>
      <c r="EC10" s="470">
        <v>0.84660000000000002</v>
      </c>
      <c r="ED10" s="470">
        <v>1.1367</v>
      </c>
      <c r="EE10" s="465">
        <v>155.30000000000001</v>
      </c>
      <c r="EF10" s="731"/>
      <c r="EG10" s="464">
        <v>0.13263</v>
      </c>
      <c r="EH10" s="476">
        <v>414.9</v>
      </c>
      <c r="EI10" s="471">
        <v>1.8268</v>
      </c>
      <c r="EJ10" s="459">
        <v>0.8548</v>
      </c>
      <c r="EK10" s="459">
        <v>1.1347</v>
      </c>
      <c r="EL10" s="478">
        <v>156.6</v>
      </c>
      <c r="EM10" s="248">
        <v>15</v>
      </c>
      <c r="EO10" s="262">
        <v>15</v>
      </c>
      <c r="EP10" s="460">
        <v>0.12494</v>
      </c>
      <c r="EQ10" s="467">
        <v>414.7</v>
      </c>
      <c r="ER10" s="459">
        <v>1.8216000000000001</v>
      </c>
      <c r="ES10" s="459">
        <v>0.85740000000000005</v>
      </c>
      <c r="ET10" s="459">
        <v>1.1363000000000001</v>
      </c>
      <c r="EU10" s="467">
        <v>156.30000000000001</v>
      </c>
      <c r="EV10" s="731"/>
      <c r="EW10" s="474">
        <v>0.11805</v>
      </c>
      <c r="EX10" s="478">
        <v>414.4</v>
      </c>
      <c r="EY10" s="473">
        <v>1.8166</v>
      </c>
      <c r="EZ10" s="473">
        <v>0.86</v>
      </c>
      <c r="FA10" s="459">
        <v>1.1379999999999999</v>
      </c>
      <c r="FB10" s="467">
        <v>156</v>
      </c>
      <c r="FC10" s="248">
        <v>15</v>
      </c>
      <c r="FE10" s="268">
        <v>15</v>
      </c>
      <c r="FF10" s="340">
        <v>0.11186</v>
      </c>
      <c r="FG10" s="396">
        <v>414.2</v>
      </c>
      <c r="FH10" s="334">
        <v>1.8118000000000001</v>
      </c>
      <c r="FI10" s="334">
        <v>0.86270000000000002</v>
      </c>
      <c r="FJ10" s="491">
        <v>1.1395999999999999</v>
      </c>
      <c r="FK10" s="396">
        <v>155.69999999999999</v>
      </c>
      <c r="FL10" s="731"/>
      <c r="FM10" s="340">
        <v>0.10847</v>
      </c>
      <c r="FN10" s="397">
        <v>418.3</v>
      </c>
      <c r="FO10" s="491">
        <v>1.8222</v>
      </c>
      <c r="FP10" s="334">
        <v>0.87</v>
      </c>
      <c r="FQ10" s="334">
        <v>1.1373</v>
      </c>
      <c r="FR10" s="397">
        <v>157</v>
      </c>
      <c r="FS10" s="240">
        <v>15</v>
      </c>
      <c r="FU10" s="243">
        <v>20</v>
      </c>
      <c r="FV10" s="409">
        <v>0.1033</v>
      </c>
      <c r="FW10" s="396">
        <v>418.1</v>
      </c>
      <c r="FX10" s="372">
        <v>1.8179000000000001</v>
      </c>
      <c r="FY10" s="415">
        <v>0.87250000000000005</v>
      </c>
      <c r="FZ10" s="334">
        <v>1.1388</v>
      </c>
      <c r="GA10" s="489">
        <v>156.69999999999999</v>
      </c>
      <c r="GB10" s="731"/>
      <c r="GC10" s="409">
        <v>9.8559999999999995E-2</v>
      </c>
      <c r="GD10" s="397">
        <v>417.9</v>
      </c>
      <c r="GE10" s="500">
        <v>1.8137000000000001</v>
      </c>
      <c r="GF10" s="415">
        <v>0.87509999999999999</v>
      </c>
      <c r="GG10" s="415">
        <v>1.1404000000000001</v>
      </c>
      <c r="GH10" s="396">
        <v>156.4</v>
      </c>
      <c r="GI10" s="240">
        <v>20</v>
      </c>
      <c r="GK10" s="243">
        <v>20</v>
      </c>
      <c r="GL10" s="409">
        <v>9.4219999999999998E-2</v>
      </c>
      <c r="GM10" s="404">
        <v>417.7</v>
      </c>
      <c r="GN10" s="415">
        <v>1.8097000000000001</v>
      </c>
      <c r="GO10" s="415">
        <v>0.87760000000000005</v>
      </c>
      <c r="GP10" s="334">
        <v>1.1419999999999999</v>
      </c>
      <c r="GQ10" s="396">
        <v>156.1</v>
      </c>
      <c r="GR10" s="731"/>
      <c r="GS10" s="409">
        <v>9.2119999999999994E-2</v>
      </c>
      <c r="GT10" s="397">
        <v>421.9</v>
      </c>
      <c r="GU10" s="241">
        <v>1.8208</v>
      </c>
      <c r="GV10" s="170">
        <v>0.88429999999999997</v>
      </c>
      <c r="GW10" s="241">
        <v>1.1393</v>
      </c>
      <c r="GX10" s="397">
        <v>157.5</v>
      </c>
      <c r="GY10" s="240">
        <v>25</v>
      </c>
      <c r="HA10" s="243">
        <v>25</v>
      </c>
      <c r="HB10" s="340">
        <v>8.8370000000000004E-2</v>
      </c>
      <c r="HC10" s="396">
        <v>421.7</v>
      </c>
      <c r="HD10" s="334">
        <v>1.8170999999999999</v>
      </c>
      <c r="HE10" s="334">
        <v>0.88670000000000004</v>
      </c>
      <c r="HF10" s="334">
        <v>1.1408</v>
      </c>
      <c r="HG10" s="396">
        <v>157.19999999999999</v>
      </c>
      <c r="HH10" s="731"/>
      <c r="HI10" s="340">
        <v>8.4900000000000003E-2</v>
      </c>
      <c r="HJ10" s="397">
        <v>421.5</v>
      </c>
      <c r="HK10" s="334">
        <v>1.8134999999999999</v>
      </c>
      <c r="HL10" s="334">
        <v>0.8891</v>
      </c>
      <c r="HM10" s="334">
        <v>1.1423000000000001</v>
      </c>
      <c r="HN10" s="396">
        <v>156.9</v>
      </c>
      <c r="HO10" s="240">
        <v>25</v>
      </c>
      <c r="HQ10" s="243">
        <v>25</v>
      </c>
      <c r="HR10" s="340">
        <v>8.7679999999999994E-2</v>
      </c>
      <c r="HS10" s="396">
        <v>421.3</v>
      </c>
      <c r="HT10" s="491">
        <v>1.81</v>
      </c>
      <c r="HU10" s="334">
        <v>0.89149999999999996</v>
      </c>
      <c r="HV10" s="491">
        <v>1.1437999999999999</v>
      </c>
      <c r="HW10" s="396">
        <v>156.69999999999999</v>
      </c>
      <c r="HX10" s="731"/>
      <c r="HY10" s="340">
        <v>7.8670000000000004E-2</v>
      </c>
      <c r="HZ10" s="397">
        <v>421.1</v>
      </c>
      <c r="IA10" s="334">
        <v>1.8067</v>
      </c>
      <c r="IB10" s="334">
        <v>0.89390000000000003</v>
      </c>
      <c r="IC10" s="334">
        <v>1.1454</v>
      </c>
      <c r="ID10" s="397">
        <v>156.4</v>
      </c>
      <c r="IE10" s="240">
        <v>25</v>
      </c>
      <c r="IG10" s="243">
        <v>30</v>
      </c>
      <c r="IH10" s="409">
        <v>7.7479999999999993E-2</v>
      </c>
      <c r="II10" s="396">
        <v>425.4</v>
      </c>
      <c r="IJ10" s="499">
        <v>1.8183</v>
      </c>
      <c r="IK10" s="415">
        <v>0.89980000000000004</v>
      </c>
      <c r="IL10" s="491">
        <v>1.1423000000000001</v>
      </c>
      <c r="IM10" s="489">
        <v>157.80000000000001</v>
      </c>
      <c r="IN10" s="731"/>
      <c r="IO10" s="409">
        <v>7.4810000000000001E-2</v>
      </c>
      <c r="IP10" s="397">
        <v>425.2</v>
      </c>
      <c r="IQ10" s="415">
        <v>1.8151999999999999</v>
      </c>
      <c r="IR10" s="415">
        <v>0.90210000000000001</v>
      </c>
      <c r="IS10" s="499">
        <v>1.1437999999999999</v>
      </c>
      <c r="IT10" s="396">
        <v>157.5</v>
      </c>
      <c r="IU10" s="240">
        <v>30</v>
      </c>
      <c r="IW10" s="254">
        <v>30</v>
      </c>
      <c r="IX10" s="512">
        <v>7.2309999999999999E-2</v>
      </c>
      <c r="IY10" s="514">
        <v>425</v>
      </c>
      <c r="IZ10" s="523">
        <v>1.8121</v>
      </c>
      <c r="JA10" s="523">
        <v>0.90439999999999998</v>
      </c>
      <c r="JB10" s="523">
        <v>1.1452</v>
      </c>
      <c r="JC10" s="526">
        <v>157.30000000000001</v>
      </c>
      <c r="JD10" s="731"/>
      <c r="JE10" s="511">
        <v>6.9959999999999994E-2</v>
      </c>
      <c r="JF10" s="528">
        <v>424.8</v>
      </c>
      <c r="JG10" s="522">
        <v>1.8090999999999999</v>
      </c>
      <c r="JH10" s="508">
        <v>0.90669999999999995</v>
      </c>
      <c r="JI10" s="523">
        <v>1.1467000000000001</v>
      </c>
      <c r="JJ10" s="528">
        <v>157</v>
      </c>
      <c r="JK10" s="257">
        <v>30</v>
      </c>
      <c r="JM10" s="254">
        <v>30</v>
      </c>
      <c r="JN10" s="509">
        <v>6.7760000000000001E-2</v>
      </c>
      <c r="JO10" s="514">
        <v>424.6</v>
      </c>
      <c r="JP10" s="508">
        <v>1.8062</v>
      </c>
      <c r="JQ10" s="508">
        <v>0.90910000000000002</v>
      </c>
      <c r="JR10" s="508">
        <v>1.1482000000000001</v>
      </c>
      <c r="JS10" s="526">
        <v>156.69999999999999</v>
      </c>
      <c r="JT10" s="731"/>
      <c r="JU10" s="537">
        <v>6.7059999999999995E-2</v>
      </c>
      <c r="JV10" s="530">
        <v>429</v>
      </c>
      <c r="JW10" s="536">
        <v>1.8183</v>
      </c>
      <c r="JX10" s="508">
        <v>0.9143</v>
      </c>
      <c r="JY10" s="508">
        <v>1.1448</v>
      </c>
      <c r="JZ10" s="514">
        <v>158.19999999999999</v>
      </c>
      <c r="KA10" s="194">
        <v>35</v>
      </c>
      <c r="KC10" s="176">
        <v>35</v>
      </c>
      <c r="KD10" s="340">
        <v>6.5070000000000003E-2</v>
      </c>
      <c r="KE10" s="540">
        <v>428.8</v>
      </c>
      <c r="KF10" s="196">
        <v>1.8156000000000001</v>
      </c>
      <c r="KG10" s="170">
        <v>0.91649999999999998</v>
      </c>
      <c r="KH10" s="196">
        <v>1.1462000000000001</v>
      </c>
      <c r="KI10" s="540">
        <v>157.9</v>
      </c>
      <c r="KJ10" s="731"/>
      <c r="KK10" s="340">
        <v>6.3170000000000004E-2</v>
      </c>
      <c r="KL10" s="397">
        <v>428.6</v>
      </c>
      <c r="KM10" s="334">
        <v>1.8129</v>
      </c>
      <c r="KN10" s="334">
        <v>0.91869999999999996</v>
      </c>
      <c r="KO10" s="334">
        <v>1.1476</v>
      </c>
      <c r="KP10" s="540">
        <v>157.69999999999999</v>
      </c>
      <c r="KQ10" s="260">
        <v>35</v>
      </c>
      <c r="KS10" s="243">
        <v>35</v>
      </c>
      <c r="KT10" s="409">
        <v>6.1379999999999997E-2</v>
      </c>
      <c r="KU10" s="543">
        <v>428.4</v>
      </c>
      <c r="KV10" s="546">
        <v>1.8102</v>
      </c>
      <c r="KW10" s="415">
        <v>0.92090000000000005</v>
      </c>
      <c r="KX10" s="541">
        <v>1.149</v>
      </c>
      <c r="KY10" s="543">
        <v>157.4</v>
      </c>
      <c r="KZ10" s="731"/>
      <c r="LA10" s="340">
        <v>5.9679999999999997E-2</v>
      </c>
      <c r="LB10" s="397">
        <v>428.2</v>
      </c>
      <c r="LC10" s="415">
        <v>1.8077000000000001</v>
      </c>
      <c r="LD10" s="415">
        <v>0.92320000000000002</v>
      </c>
      <c r="LE10" s="415">
        <v>1.1504000000000001</v>
      </c>
      <c r="LF10" s="540">
        <v>157.1</v>
      </c>
      <c r="LG10" s="240">
        <v>35</v>
      </c>
      <c r="LI10" s="254">
        <v>35</v>
      </c>
      <c r="LJ10" s="512">
        <v>5.806E-2</v>
      </c>
      <c r="LK10" s="514">
        <v>428</v>
      </c>
      <c r="LL10" s="523">
        <v>1.8050999999999999</v>
      </c>
      <c r="LM10" s="523">
        <v>0.9254</v>
      </c>
      <c r="LN10" s="523">
        <v>1.1518999999999999</v>
      </c>
      <c r="LO10" s="526">
        <v>156.9</v>
      </c>
      <c r="LP10" s="731"/>
      <c r="LQ10" s="511">
        <v>5.5530000000000003E-2</v>
      </c>
      <c r="LR10" s="528">
        <v>432.2</v>
      </c>
      <c r="LS10" s="522">
        <v>1.8140000000000001</v>
      </c>
      <c r="LT10" s="508">
        <v>0.93310000000000004</v>
      </c>
      <c r="LU10" s="508">
        <v>1.1500999999999999</v>
      </c>
      <c r="LV10" s="526">
        <v>158</v>
      </c>
      <c r="LW10" s="257">
        <v>40</v>
      </c>
      <c r="LY10" s="193">
        <v>40</v>
      </c>
      <c r="LZ10" s="509">
        <v>5.2170000000000001E-2</v>
      </c>
      <c r="MA10" s="538">
        <v>431.8</v>
      </c>
      <c r="MB10" s="508">
        <v>1.8083</v>
      </c>
      <c r="MC10" s="508">
        <v>0.93840000000000001</v>
      </c>
      <c r="MD10" s="508">
        <v>1.1536</v>
      </c>
      <c r="ME10" s="526">
        <v>157.4</v>
      </c>
      <c r="MF10" s="731"/>
      <c r="MG10" s="537">
        <v>4.9169999999999998E-2</v>
      </c>
      <c r="MH10" s="530">
        <v>431.3</v>
      </c>
      <c r="MI10" s="192">
        <v>1.8028</v>
      </c>
      <c r="MJ10" s="191">
        <v>0.94389999999999996</v>
      </c>
      <c r="MK10" s="191">
        <v>1.1572</v>
      </c>
      <c r="ML10" s="514">
        <v>156.69999999999999</v>
      </c>
      <c r="MM10" s="279">
        <v>40</v>
      </c>
      <c r="MO10" s="176">
        <v>45</v>
      </c>
      <c r="MP10" s="340">
        <v>4.7489999999999997E-2</v>
      </c>
      <c r="MQ10" s="563">
        <v>435.6</v>
      </c>
      <c r="MR10" s="334">
        <v>1.8125</v>
      </c>
      <c r="MS10" s="334">
        <v>0.95050000000000001</v>
      </c>
      <c r="MT10" s="334">
        <v>1.1548</v>
      </c>
      <c r="MU10" s="397">
        <v>158</v>
      </c>
      <c r="MV10" s="731"/>
      <c r="MW10" s="340">
        <v>4.5010000000000001E-2</v>
      </c>
      <c r="MX10" s="397">
        <v>435.2</v>
      </c>
      <c r="MY10" s="335">
        <v>1.8075000000000001</v>
      </c>
      <c r="MZ10" s="334">
        <v>0.95579999999999998</v>
      </c>
      <c r="NA10" s="334">
        <v>1.1581999999999999</v>
      </c>
      <c r="NB10" s="397">
        <v>157.30000000000001</v>
      </c>
      <c r="NC10" s="260">
        <v>45</v>
      </c>
      <c r="NE10" s="243">
        <v>45</v>
      </c>
      <c r="NF10" s="409">
        <v>4.274E-2</v>
      </c>
      <c r="NG10" s="396">
        <v>434.7</v>
      </c>
      <c r="NH10" s="415">
        <v>1.8027</v>
      </c>
      <c r="NI10" s="415">
        <v>0.96109999999999995</v>
      </c>
      <c r="NJ10" s="334">
        <v>1.1617</v>
      </c>
      <c r="NK10" s="396">
        <v>156.69999999999999</v>
      </c>
      <c r="NL10" s="731"/>
      <c r="NM10" s="409">
        <v>4.1590000000000002E-2</v>
      </c>
      <c r="NN10" s="397">
        <v>439.1</v>
      </c>
      <c r="NO10" s="415">
        <v>1.8130999999999999</v>
      </c>
      <c r="NP10" s="334">
        <v>0.96679999999999999</v>
      </c>
      <c r="NQ10" s="415">
        <v>1.1588000000000001</v>
      </c>
      <c r="NR10" s="396">
        <v>158</v>
      </c>
      <c r="NS10" s="240">
        <v>50</v>
      </c>
      <c r="NU10" s="254">
        <v>50</v>
      </c>
      <c r="NV10" s="511">
        <v>3.9669999999999997E-2</v>
      </c>
      <c r="NW10" s="528">
        <v>438.7</v>
      </c>
      <c r="NX10" s="470">
        <v>1.8086</v>
      </c>
      <c r="NY10" s="470">
        <v>0.9718</v>
      </c>
      <c r="NZ10" s="459">
        <v>1.1621999999999999</v>
      </c>
      <c r="OA10" s="476">
        <v>157.4</v>
      </c>
      <c r="OB10" s="731"/>
      <c r="OC10" s="511">
        <v>3.7900000000000003E-2</v>
      </c>
      <c r="OD10" s="528">
        <v>438.2</v>
      </c>
      <c r="OE10" s="574">
        <v>1.8042</v>
      </c>
      <c r="OF10" s="459">
        <v>0.97709999999999997</v>
      </c>
      <c r="OG10" s="575">
        <v>1.1657</v>
      </c>
      <c r="OH10" s="476">
        <v>156.80000000000001</v>
      </c>
      <c r="OI10" s="257">
        <v>50</v>
      </c>
      <c r="OK10" s="193">
        <v>50</v>
      </c>
      <c r="OL10" s="537">
        <v>3.6260000000000001E-2</v>
      </c>
      <c r="OM10" s="517">
        <v>437.8</v>
      </c>
      <c r="ON10" s="459">
        <v>1.8</v>
      </c>
      <c r="OO10" s="459">
        <v>0.98240000000000005</v>
      </c>
      <c r="OP10" s="459">
        <v>1.1693</v>
      </c>
      <c r="OQ10" s="476">
        <v>156.19999999999999</v>
      </c>
      <c r="OR10" s="731"/>
      <c r="OS10" s="537">
        <v>3.5549999999999998E-2</v>
      </c>
      <c r="OT10" s="528">
        <v>442.3</v>
      </c>
      <c r="OU10" s="536">
        <v>1.8110999999999999</v>
      </c>
      <c r="OV10" s="459">
        <v>0.98680000000000001</v>
      </c>
      <c r="OW10" s="459">
        <v>1.1656</v>
      </c>
      <c r="OX10" s="476">
        <v>157.6</v>
      </c>
      <c r="OY10" s="194">
        <v>55</v>
      </c>
      <c r="PA10" s="176">
        <v>55</v>
      </c>
      <c r="PB10" s="340">
        <v>3.4119999999999998E-2</v>
      </c>
      <c r="PC10" s="396">
        <v>441.9</v>
      </c>
      <c r="PD10" s="541">
        <v>1.8070999999999999</v>
      </c>
      <c r="PE10" s="334">
        <v>0.99180000000000001</v>
      </c>
      <c r="PF10" s="541">
        <v>1.1689000000000001</v>
      </c>
      <c r="PG10" s="396">
        <v>157</v>
      </c>
      <c r="PH10" s="731"/>
      <c r="PI10" s="340">
        <v>3.2779999999999997E-2</v>
      </c>
      <c r="PJ10" s="397">
        <v>441.4</v>
      </c>
      <c r="PK10" s="334">
        <v>1.8032999999999999</v>
      </c>
      <c r="PL10" s="334">
        <v>0.997</v>
      </c>
      <c r="PM10" s="334">
        <v>1.1724000000000001</v>
      </c>
      <c r="PN10" s="397">
        <v>156.5</v>
      </c>
      <c r="PO10" s="260">
        <v>55</v>
      </c>
      <c r="PQ10" s="243">
        <v>55</v>
      </c>
      <c r="PR10" s="409">
        <v>3.1539999999999999E-2</v>
      </c>
      <c r="PS10" s="396">
        <v>441</v>
      </c>
      <c r="PT10" s="415">
        <v>1.7996000000000001</v>
      </c>
      <c r="PU10" s="415">
        <v>1.0023</v>
      </c>
      <c r="PV10" s="541">
        <v>1.1759999999999999</v>
      </c>
      <c r="PW10" s="396">
        <v>155.9</v>
      </c>
      <c r="PX10" s="731"/>
      <c r="PY10" s="409">
        <v>2.998E-2</v>
      </c>
      <c r="PZ10" s="397">
        <v>445.2</v>
      </c>
      <c r="QA10" s="415">
        <v>1.8076000000000001</v>
      </c>
      <c r="QB10" s="415">
        <v>1.0105</v>
      </c>
      <c r="QC10" s="415">
        <v>1.175</v>
      </c>
      <c r="QD10" s="396">
        <v>156.80000000000001</v>
      </c>
      <c r="QE10" s="240">
        <v>60</v>
      </c>
      <c r="QG10" s="254">
        <v>60</v>
      </c>
      <c r="QH10" s="512">
        <v>2.7959999999999999E-2</v>
      </c>
      <c r="QI10" s="514">
        <v>444.4</v>
      </c>
      <c r="QJ10" s="523">
        <v>1.8008</v>
      </c>
      <c r="QK10" s="523">
        <v>1.0207999999999999</v>
      </c>
      <c r="QL10" s="523">
        <v>1.1819999999999999</v>
      </c>
      <c r="QM10" s="526">
        <v>155.6</v>
      </c>
      <c r="QN10" s="731"/>
      <c r="QO10" s="511">
        <v>2.6800000000000001E-2</v>
      </c>
      <c r="QP10" s="534">
        <v>448.7</v>
      </c>
      <c r="QQ10" s="255">
        <v>1.8095000000000001</v>
      </c>
      <c r="QR10" s="192">
        <v>1.0278</v>
      </c>
      <c r="QS10" s="256">
        <v>1.1802999999999999</v>
      </c>
      <c r="QT10" s="517">
        <v>156.69999999999999</v>
      </c>
      <c r="QU10" s="257">
        <v>65</v>
      </c>
      <c r="QW10" s="193">
        <v>65</v>
      </c>
      <c r="QX10" s="509">
        <v>2.5159999999999998E-2</v>
      </c>
      <c r="QY10" s="527">
        <v>447.9</v>
      </c>
      <c r="QZ10" s="508">
        <v>1.8032999999999999</v>
      </c>
      <c r="RA10" s="508">
        <v>1.0379</v>
      </c>
      <c r="RB10" s="508">
        <v>1.1873</v>
      </c>
      <c r="RC10" s="526">
        <v>155.6</v>
      </c>
      <c r="RD10" s="731"/>
      <c r="RE10" s="537">
        <v>2.368E-2</v>
      </c>
      <c r="RF10" s="530">
        <v>447.1</v>
      </c>
      <c r="RG10" s="536">
        <v>1.7971999999999999</v>
      </c>
      <c r="RH10" s="536">
        <v>1.0485</v>
      </c>
      <c r="RI10" s="508">
        <v>1.1947000000000001</v>
      </c>
      <c r="RJ10" s="514">
        <v>154.4</v>
      </c>
      <c r="RK10" s="194">
        <v>65</v>
      </c>
      <c r="RM10" s="176">
        <v>70</v>
      </c>
      <c r="RN10" s="340">
        <v>2.1680000000000001E-2</v>
      </c>
      <c r="RO10" s="396">
        <v>450.7</v>
      </c>
      <c r="RP10" s="334">
        <v>1.8012999999999999</v>
      </c>
      <c r="RQ10" s="334">
        <v>1.0640000000000001</v>
      </c>
      <c r="RR10" s="334">
        <v>1.1990000000000001</v>
      </c>
      <c r="RS10" s="488">
        <v>154.5</v>
      </c>
      <c r="RT10" s="731"/>
      <c r="RU10" s="340">
        <v>2.0029999999999999E-2</v>
      </c>
      <c r="RV10" s="397">
        <v>454.5</v>
      </c>
      <c r="RW10" s="334">
        <v>1.8062</v>
      </c>
      <c r="RX10" s="334">
        <v>1.0782</v>
      </c>
      <c r="RY10" s="334">
        <v>1.2024999999999999</v>
      </c>
      <c r="RZ10" s="397">
        <v>154.80000000000001</v>
      </c>
      <c r="SA10" s="260">
        <v>75</v>
      </c>
      <c r="SC10" s="243">
        <v>75</v>
      </c>
      <c r="SD10" s="409">
        <v>1.8169999999999999E-2</v>
      </c>
      <c r="SE10" s="396">
        <v>452.9</v>
      </c>
      <c r="SF10" s="415">
        <v>1.7961</v>
      </c>
      <c r="SG10" s="415">
        <v>1.0998000000000001</v>
      </c>
      <c r="SH10" s="499">
        <v>1.2179</v>
      </c>
      <c r="SI10" s="396">
        <v>152.6</v>
      </c>
      <c r="SJ10" s="731"/>
      <c r="SK10" s="409">
        <v>1.703E-2</v>
      </c>
      <c r="SL10" s="176">
        <v>456.8</v>
      </c>
      <c r="SM10" s="415">
        <v>1.8023</v>
      </c>
      <c r="SN10" s="415">
        <v>1.1119000000000001</v>
      </c>
      <c r="SO10" s="499">
        <v>1.2201</v>
      </c>
      <c r="SP10" s="170">
        <v>153</v>
      </c>
      <c r="SQ10" s="240">
        <v>80</v>
      </c>
      <c r="SS10" s="243">
        <v>85</v>
      </c>
      <c r="ST10" s="409">
        <v>1.6060000000000001E-2</v>
      </c>
      <c r="SU10" s="170">
        <v>460.9</v>
      </c>
      <c r="SV10" s="499">
        <v>1.8089999999999999</v>
      </c>
      <c r="SW10" s="499">
        <v>1.1228</v>
      </c>
      <c r="SX10" s="499">
        <v>1.2214</v>
      </c>
      <c r="SY10" s="170">
        <v>153.6</v>
      </c>
      <c r="SZ10" s="731"/>
      <c r="TA10" s="409">
        <v>1.4800000000000001E-2</v>
      </c>
      <c r="TB10" s="397">
        <v>459.3</v>
      </c>
      <c r="TC10" s="415">
        <v>1.8004</v>
      </c>
      <c r="TD10" s="334">
        <v>1.1447000000000001</v>
      </c>
      <c r="TE10" s="334">
        <v>1.2373000000000001</v>
      </c>
      <c r="TF10" s="397">
        <v>151.5</v>
      </c>
      <c r="TG10" s="240">
        <v>85</v>
      </c>
      <c r="TI10" s="176">
        <v>90</v>
      </c>
      <c r="TJ10" s="340">
        <v>1.41E-2</v>
      </c>
      <c r="TK10" s="396">
        <v>463.5</v>
      </c>
      <c r="TL10" s="491">
        <v>1.8081</v>
      </c>
      <c r="TM10" s="491">
        <v>1.1532</v>
      </c>
      <c r="TN10" s="491">
        <v>1.2371000000000001</v>
      </c>
      <c r="TO10" s="396">
        <v>152.30000000000001</v>
      </c>
      <c r="TP10" s="731"/>
      <c r="TQ10" s="340">
        <v>1.3089999999999999E-2</v>
      </c>
      <c r="TR10" s="488">
        <v>462</v>
      </c>
      <c r="TS10" s="334">
        <v>1.8001</v>
      </c>
      <c r="TT10" s="334">
        <v>1.1759999999999999</v>
      </c>
      <c r="TU10" s="491">
        <v>1.2538</v>
      </c>
      <c r="TV10" s="396">
        <v>150.30000000000001</v>
      </c>
      <c r="TW10" s="260">
        <v>90</v>
      </c>
      <c r="TY10" s="185">
        <v>95</v>
      </c>
      <c r="TZ10" s="474">
        <v>1.257E-2</v>
      </c>
      <c r="UA10" s="467">
        <v>466.4</v>
      </c>
      <c r="UB10" s="473">
        <v>1.8086</v>
      </c>
      <c r="UC10" s="473">
        <v>1.1820999999999999</v>
      </c>
      <c r="UD10" s="473">
        <v>1.2518</v>
      </c>
      <c r="UE10" s="488">
        <v>151.30000000000001</v>
      </c>
      <c r="UF10" s="749"/>
      <c r="UG10" s="474">
        <v>1.175E-2</v>
      </c>
      <c r="UH10" s="478">
        <v>464.8</v>
      </c>
      <c r="UI10" s="610">
        <v>1.8010999999999999</v>
      </c>
      <c r="UJ10" s="473">
        <v>1.2055</v>
      </c>
      <c r="UK10" s="473">
        <v>1.2692000000000001</v>
      </c>
      <c r="UL10" s="488">
        <v>149.30000000000001</v>
      </c>
      <c r="UM10" s="310">
        <v>95</v>
      </c>
      <c r="UO10" s="268">
        <v>100</v>
      </c>
      <c r="UP10" s="464">
        <v>1.0670000000000001E-2</v>
      </c>
      <c r="UQ10" s="467">
        <v>467.9</v>
      </c>
      <c r="UR10" s="499">
        <v>1.8032999999999999</v>
      </c>
      <c r="US10" s="499">
        <v>1.2329000000000001</v>
      </c>
      <c r="UT10" s="610">
        <v>1.2830999999999999</v>
      </c>
      <c r="UU10" s="489">
        <v>148.6</v>
      </c>
      <c r="UV10" s="749"/>
      <c r="UW10" s="497">
        <v>9.7800000000000005E-3</v>
      </c>
      <c r="UX10" s="478">
        <v>471.1</v>
      </c>
      <c r="UY10" s="471">
        <v>1.8064</v>
      </c>
      <c r="UZ10" s="622">
        <v>1.2579</v>
      </c>
      <c r="VA10" s="471">
        <v>1.2954000000000001</v>
      </c>
      <c r="VB10" s="489">
        <v>148.19999999999999</v>
      </c>
      <c r="VC10" s="248">
        <v>105</v>
      </c>
      <c r="VE10" s="264">
        <v>105</v>
      </c>
      <c r="VF10" s="512">
        <v>8.7299999999999999E-3</v>
      </c>
      <c r="VG10" s="514">
        <v>468</v>
      </c>
      <c r="VH10" s="523">
        <v>1.7932999999999999</v>
      </c>
      <c r="VI10" s="522">
        <v>1.3130999999999999</v>
      </c>
      <c r="VJ10" s="508">
        <v>1.3372999999999999</v>
      </c>
      <c r="VK10" s="527">
        <v>144.5</v>
      </c>
      <c r="VL10" s="749"/>
      <c r="VM10" s="511">
        <v>8.1399999999999997E-3</v>
      </c>
      <c r="VN10" s="534">
        <v>471.4</v>
      </c>
      <c r="VO10" s="522">
        <v>1.798</v>
      </c>
      <c r="VP10" s="508">
        <v>1.3345</v>
      </c>
      <c r="VQ10" s="522">
        <v>1.3469</v>
      </c>
      <c r="VR10" s="526">
        <v>144.5</v>
      </c>
      <c r="VS10" s="257">
        <v>110</v>
      </c>
      <c r="VU10" s="199">
        <v>115</v>
      </c>
      <c r="VV10" s="509">
        <v>7.6400000000000001E-3</v>
      </c>
      <c r="VW10" s="514">
        <v>475.1</v>
      </c>
      <c r="VX10" s="508">
        <v>1.8033999999999999</v>
      </c>
      <c r="VY10" s="508">
        <v>1.3523000000000001</v>
      </c>
      <c r="VZ10" s="508">
        <v>1.3536999999999999</v>
      </c>
      <c r="WA10" s="526">
        <v>144.80000000000001</v>
      </c>
      <c r="WB10" s="749"/>
      <c r="WC10" s="509">
        <v>6.9199999999999999E-3</v>
      </c>
      <c r="WD10" s="530">
        <v>472</v>
      </c>
      <c r="WE10" s="536">
        <v>1.7916000000000001</v>
      </c>
      <c r="WF10" s="508">
        <v>1.4156</v>
      </c>
      <c r="WG10" s="536">
        <v>1.4021999999999999</v>
      </c>
      <c r="WH10" s="526">
        <v>141.4</v>
      </c>
      <c r="WI10" s="194">
        <v>115</v>
      </c>
      <c r="WK10" s="193">
        <v>120</v>
      </c>
      <c r="WL10" s="509">
        <v>6.5799999999999999E-3</v>
      </c>
      <c r="WM10" s="514">
        <v>475.9</v>
      </c>
      <c r="WN10" s="536">
        <v>1.7983</v>
      </c>
      <c r="WO10" s="536">
        <v>1.4262999999999999</v>
      </c>
      <c r="WP10" s="536">
        <v>1.4035</v>
      </c>
      <c r="WQ10" s="530">
        <v>142.19999999999999</v>
      </c>
      <c r="WR10" s="749"/>
      <c r="WS10" s="509">
        <v>6.28E-3</v>
      </c>
      <c r="WT10" s="528">
        <v>480.1</v>
      </c>
      <c r="WU10" s="536">
        <v>1.8055000000000001</v>
      </c>
      <c r="WV10" s="492">
        <v>1.4333</v>
      </c>
      <c r="WW10" s="536">
        <v>1.4018999999999999</v>
      </c>
      <c r="WX10" s="530">
        <v>143.19999999999999</v>
      </c>
      <c r="WY10" s="194">
        <v>125</v>
      </c>
      <c r="WZ10" s="400"/>
      <c r="XA10" s="264">
        <v>125</v>
      </c>
      <c r="XB10" s="512">
        <v>5.77E-3</v>
      </c>
      <c r="XC10" s="514">
        <v>477.1</v>
      </c>
      <c r="XD10" s="522">
        <v>1.7948</v>
      </c>
      <c r="XE10" s="523">
        <v>1.4985999999999999</v>
      </c>
      <c r="XF10" s="492">
        <v>1.4519</v>
      </c>
      <c r="XG10" s="526">
        <v>140.4</v>
      </c>
      <c r="XH10" s="749"/>
      <c r="XI10" s="512">
        <v>5.5599999999999998E-3</v>
      </c>
      <c r="XJ10" s="528">
        <v>481.5</v>
      </c>
      <c r="XK10" s="522">
        <v>1.8030999999999999</v>
      </c>
      <c r="XL10" s="500">
        <v>1.4963</v>
      </c>
      <c r="XM10" s="522">
        <v>1.4429000000000001</v>
      </c>
      <c r="XN10" s="526">
        <v>141.80000000000001</v>
      </c>
      <c r="XO10" s="257">
        <v>130</v>
      </c>
      <c r="XP10" s="177"/>
    </row>
    <row r="11" spans="1:640" ht="15.75" thickBot="1" x14ac:dyDescent="0.3">
      <c r="A11" s="235">
        <v>-35</v>
      </c>
      <c r="B11" s="365">
        <v>1.9305000000000001</v>
      </c>
      <c r="C11" s="368">
        <v>379.6</v>
      </c>
      <c r="D11" s="360">
        <v>1.9193</v>
      </c>
      <c r="E11" s="360">
        <v>0.72689999999999999</v>
      </c>
      <c r="F11" s="360">
        <v>1.1304000000000001</v>
      </c>
      <c r="G11" s="172">
        <v>147.4</v>
      </c>
      <c r="H11" s="266"/>
      <c r="I11" s="365">
        <v>1.00301</v>
      </c>
      <c r="J11" s="374">
        <v>386.6</v>
      </c>
      <c r="K11" s="360">
        <v>1.8920999999999999</v>
      </c>
      <c r="L11" s="358">
        <v>0.74950000000000006</v>
      </c>
      <c r="M11" s="360">
        <v>1.1288</v>
      </c>
      <c r="N11" s="378">
        <v>149.80000000000001</v>
      </c>
      <c r="O11" s="379">
        <v>-25</v>
      </c>
      <c r="P11" s="359"/>
      <c r="Q11" s="235">
        <v>-15</v>
      </c>
      <c r="R11" s="363">
        <v>0.69396000000000002</v>
      </c>
      <c r="S11" s="368">
        <v>393.9</v>
      </c>
      <c r="T11" s="358">
        <v>1.8882000000000001</v>
      </c>
      <c r="U11" s="358">
        <v>0.77070000000000005</v>
      </c>
      <c r="V11" s="358">
        <v>1.1266</v>
      </c>
      <c r="W11" s="368">
        <v>152.30000000000001</v>
      </c>
      <c r="X11" s="266"/>
      <c r="Y11" s="363">
        <v>0.52910000000000001</v>
      </c>
      <c r="Z11" s="374">
        <v>397.5</v>
      </c>
      <c r="AA11" s="358">
        <v>1.8789</v>
      </c>
      <c r="AB11" s="358">
        <v>0.78249999999999997</v>
      </c>
      <c r="AC11" s="358">
        <v>1.1264000000000001</v>
      </c>
      <c r="AD11" s="377">
        <v>153.4</v>
      </c>
      <c r="AE11" s="237">
        <v>-10</v>
      </c>
      <c r="AF11" s="37"/>
      <c r="AG11" s="239">
        <v>-10</v>
      </c>
      <c r="AH11" s="340">
        <v>0.42193999999999998</v>
      </c>
      <c r="AI11" s="396">
        <v>397.3</v>
      </c>
      <c r="AJ11" s="401">
        <v>1.8599000000000001</v>
      </c>
      <c r="AK11" s="334">
        <v>0.78600000000000003</v>
      </c>
      <c r="AL11" s="401">
        <v>1.1284000000000001</v>
      </c>
      <c r="AM11" s="404">
        <v>153</v>
      </c>
      <c r="AN11" s="731"/>
      <c r="AO11" s="340">
        <v>0.35753000000000001</v>
      </c>
      <c r="AP11" s="397">
        <v>400.9</v>
      </c>
      <c r="AQ11" s="334">
        <v>1.8592</v>
      </c>
      <c r="AR11" s="334">
        <v>0.79710000000000003</v>
      </c>
      <c r="AS11" s="334">
        <v>1.1278999999999999</v>
      </c>
      <c r="AT11" s="407">
        <v>154.1</v>
      </c>
      <c r="AU11" s="242">
        <v>-5</v>
      </c>
      <c r="AV11" s="37"/>
      <c r="AW11" s="243">
        <v>0</v>
      </c>
      <c r="AX11" s="409">
        <v>0.31172</v>
      </c>
      <c r="AY11" s="396">
        <v>404.7</v>
      </c>
      <c r="AZ11" s="416">
        <v>1.8608</v>
      </c>
      <c r="BA11" s="415">
        <v>0.80769999999999997</v>
      </c>
      <c r="BB11" s="415">
        <v>1.1271</v>
      </c>
      <c r="BC11" s="394">
        <v>155.19999999999999</v>
      </c>
      <c r="BD11" s="731"/>
      <c r="BE11" s="409">
        <v>0.27195999999999998</v>
      </c>
      <c r="BF11" s="397">
        <v>404.5</v>
      </c>
      <c r="BG11" s="415">
        <v>1.8492</v>
      </c>
      <c r="BH11" s="334">
        <v>0.81069999999999998</v>
      </c>
      <c r="BI11" s="416">
        <v>1.129</v>
      </c>
      <c r="BJ11" s="396">
        <v>154.9</v>
      </c>
      <c r="BK11" s="240">
        <v>0</v>
      </c>
      <c r="BL11" s="175"/>
      <c r="BM11" s="243">
        <v>5</v>
      </c>
      <c r="BN11" s="409">
        <v>0.24587999999999999</v>
      </c>
      <c r="BO11" s="396">
        <v>408.3</v>
      </c>
      <c r="BP11" s="415">
        <v>1.8537999999999999</v>
      </c>
      <c r="BQ11" s="415">
        <v>0.82069999999999999</v>
      </c>
      <c r="BR11" s="426">
        <v>1.1278999999999999</v>
      </c>
      <c r="BS11" s="396">
        <v>156</v>
      </c>
      <c r="BT11" s="731"/>
      <c r="BU11" s="409">
        <v>0.22065000000000001</v>
      </c>
      <c r="BV11" s="397">
        <v>408.1</v>
      </c>
      <c r="BW11" s="415">
        <v>1.8445</v>
      </c>
      <c r="BX11" s="334">
        <v>0.82350000000000001</v>
      </c>
      <c r="BY11" s="415">
        <v>1.1295999999999999</v>
      </c>
      <c r="BZ11" s="397">
        <v>155.69999999999999</v>
      </c>
      <c r="CA11" s="240">
        <v>5</v>
      </c>
      <c r="CC11" s="243">
        <v>5</v>
      </c>
      <c r="CD11" s="340">
        <v>0.21768000000000001</v>
      </c>
      <c r="CE11" s="396">
        <v>408</v>
      </c>
      <c r="CF11" s="334">
        <v>1.8433999999999999</v>
      </c>
      <c r="CG11" s="334">
        <v>0.82389999999999997</v>
      </c>
      <c r="CH11" s="426">
        <v>1.1298999999999999</v>
      </c>
      <c r="CI11" s="396">
        <v>155.69999999999999</v>
      </c>
      <c r="CJ11" s="731"/>
      <c r="CK11" s="340">
        <v>0.20404</v>
      </c>
      <c r="CL11" s="397">
        <v>412</v>
      </c>
      <c r="CM11" s="334">
        <v>1.8509</v>
      </c>
      <c r="CN11" s="334">
        <v>0.83299999999999996</v>
      </c>
      <c r="CO11" s="334">
        <v>1.1284000000000001</v>
      </c>
      <c r="CP11" s="396">
        <v>156.9</v>
      </c>
      <c r="CQ11" s="240">
        <v>10</v>
      </c>
      <c r="CS11" s="278">
        <v>10</v>
      </c>
      <c r="CT11" s="340">
        <v>0.18657000000000001</v>
      </c>
      <c r="CU11" s="442">
        <v>411.7</v>
      </c>
      <c r="CV11" s="444">
        <v>1.8431999999999999</v>
      </c>
      <c r="CW11" s="334">
        <v>0.83560000000000001</v>
      </c>
      <c r="CX11" s="444">
        <v>1.1299999999999999</v>
      </c>
      <c r="CY11" s="442">
        <v>156.6</v>
      </c>
      <c r="CZ11" s="731"/>
      <c r="DA11" s="440">
        <v>0.17172999999999999</v>
      </c>
      <c r="DB11" s="449">
        <v>411.5</v>
      </c>
      <c r="DC11" s="334">
        <v>1.8361000000000001</v>
      </c>
      <c r="DD11" s="334">
        <v>0.83830000000000005</v>
      </c>
      <c r="DE11" s="444">
        <v>1.1315999999999999</v>
      </c>
      <c r="DF11" s="397">
        <v>156.30000000000001</v>
      </c>
      <c r="DG11" s="240">
        <v>10</v>
      </c>
      <c r="DI11" s="278">
        <v>15</v>
      </c>
      <c r="DJ11" s="409">
        <v>0.16225999999999999</v>
      </c>
      <c r="DK11" s="396">
        <v>415.5</v>
      </c>
      <c r="DL11" s="455">
        <v>1.8443000000000001</v>
      </c>
      <c r="DM11" s="415">
        <v>0.84709999999999996</v>
      </c>
      <c r="DN11" s="444">
        <v>1.1301000000000001</v>
      </c>
      <c r="DO11" s="396">
        <v>157.5</v>
      </c>
      <c r="DP11" s="731"/>
      <c r="DQ11" s="453">
        <v>0.15106</v>
      </c>
      <c r="DR11" s="397">
        <v>415.3</v>
      </c>
      <c r="DS11" s="415">
        <v>1.8381000000000001</v>
      </c>
      <c r="DT11" s="415">
        <v>0.84960000000000002</v>
      </c>
      <c r="DU11" s="455">
        <v>1.1315999999999999</v>
      </c>
      <c r="DV11" s="396">
        <v>157.19999999999999</v>
      </c>
      <c r="DW11" s="240">
        <v>15</v>
      </c>
      <c r="DY11" s="262">
        <v>15</v>
      </c>
      <c r="DZ11" s="464">
        <v>0.14126</v>
      </c>
      <c r="EA11" s="467">
        <v>415.1</v>
      </c>
      <c r="EB11" s="470">
        <v>1.8323</v>
      </c>
      <c r="EC11" s="470">
        <v>0.85219999999999996</v>
      </c>
      <c r="ED11" s="470">
        <v>1.1332</v>
      </c>
      <c r="EE11" s="465">
        <v>156.9</v>
      </c>
      <c r="EF11" s="731"/>
      <c r="EG11" s="464">
        <v>0.13528000000000001</v>
      </c>
      <c r="EH11" s="478">
        <v>419.2</v>
      </c>
      <c r="EI11" s="470">
        <v>1.8414999999999999</v>
      </c>
      <c r="EJ11" s="473">
        <v>0.86040000000000005</v>
      </c>
      <c r="EK11" s="459">
        <v>1.1314</v>
      </c>
      <c r="EL11" s="476">
        <v>158.19999999999999</v>
      </c>
      <c r="EM11" s="248">
        <v>20</v>
      </c>
      <c r="EO11" s="247">
        <v>20</v>
      </c>
      <c r="EP11" s="474">
        <v>0.12747</v>
      </c>
      <c r="EQ11" s="467">
        <v>419</v>
      </c>
      <c r="ER11" s="459">
        <v>1.8364</v>
      </c>
      <c r="ES11" s="473">
        <v>0.86280000000000001</v>
      </c>
      <c r="ET11" s="473">
        <v>1.1328</v>
      </c>
      <c r="EU11" s="467">
        <v>157.9</v>
      </c>
      <c r="EV11" s="731"/>
      <c r="EW11" s="474">
        <v>0.12046999999999999</v>
      </c>
      <c r="EX11" s="478">
        <v>418.7</v>
      </c>
      <c r="EY11" s="459">
        <v>1.8313999999999999</v>
      </c>
      <c r="EZ11" s="473">
        <v>0.86519999999999997</v>
      </c>
      <c r="FA11" s="459">
        <v>1.1343000000000001</v>
      </c>
      <c r="FB11" s="465">
        <v>157.6</v>
      </c>
      <c r="FC11" s="248">
        <v>20</v>
      </c>
      <c r="FE11" s="243">
        <v>20</v>
      </c>
      <c r="FF11" s="340">
        <v>0.11416999999999999</v>
      </c>
      <c r="FG11" s="396">
        <v>418.5</v>
      </c>
      <c r="FH11" s="334">
        <v>1.8267</v>
      </c>
      <c r="FI11" s="334">
        <v>0.86760000000000004</v>
      </c>
      <c r="FJ11" s="334">
        <v>1.1357999999999999</v>
      </c>
      <c r="FK11" s="397">
        <v>157.30000000000001</v>
      </c>
      <c r="FL11" s="731"/>
      <c r="FM11" s="340">
        <v>0.11067</v>
      </c>
      <c r="FN11" s="397">
        <v>422.7</v>
      </c>
      <c r="FO11" s="334">
        <v>1.837</v>
      </c>
      <c r="FP11" s="334">
        <v>0.87509999999999999</v>
      </c>
      <c r="FQ11" s="334">
        <v>1.1335999999999999</v>
      </c>
      <c r="FR11" s="397">
        <v>158.6</v>
      </c>
      <c r="FS11" s="240">
        <v>20</v>
      </c>
      <c r="FU11" s="243">
        <v>25</v>
      </c>
      <c r="FV11" s="409">
        <v>0.10539999999999999</v>
      </c>
      <c r="FW11" s="396">
        <v>422.5</v>
      </c>
      <c r="FX11" s="499">
        <v>1.8327</v>
      </c>
      <c r="FY11" s="415">
        <v>0.87739999999999996</v>
      </c>
      <c r="FZ11" s="491">
        <v>1.135</v>
      </c>
      <c r="GA11" s="396">
        <v>158.30000000000001</v>
      </c>
      <c r="GB11" s="731"/>
      <c r="GC11" s="409">
        <v>0.10059</v>
      </c>
      <c r="GD11" s="397">
        <v>422.3</v>
      </c>
      <c r="GE11" s="415">
        <v>1.8286</v>
      </c>
      <c r="GF11" s="415">
        <v>0.87960000000000005</v>
      </c>
      <c r="GG11" s="415">
        <v>1.1364000000000001</v>
      </c>
      <c r="GH11" s="396">
        <v>158.1</v>
      </c>
      <c r="GI11" s="240">
        <v>25</v>
      </c>
      <c r="GK11" s="243">
        <v>25</v>
      </c>
      <c r="GL11" s="409">
        <v>9.6180000000000002E-2</v>
      </c>
      <c r="GM11" s="396">
        <v>422.1</v>
      </c>
      <c r="GN11" s="415">
        <v>1.8246</v>
      </c>
      <c r="GO11" s="415">
        <v>0.88200000000000001</v>
      </c>
      <c r="GP11" s="334">
        <v>1.1378999999999999</v>
      </c>
      <c r="GQ11" s="396">
        <v>157.80000000000001</v>
      </c>
      <c r="GR11" s="731"/>
      <c r="GS11" s="409">
        <v>9.3990000000000004E-2</v>
      </c>
      <c r="GT11" s="397">
        <v>426.3</v>
      </c>
      <c r="GU11" s="241">
        <v>1.8354999999999999</v>
      </c>
      <c r="GV11" s="170">
        <v>0.88890000000000002</v>
      </c>
      <c r="GW11" s="241">
        <v>1.1355</v>
      </c>
      <c r="GX11" s="397">
        <v>159.1</v>
      </c>
      <c r="GY11" s="240">
        <v>30</v>
      </c>
      <c r="HA11" s="243">
        <v>30</v>
      </c>
      <c r="HB11" s="340">
        <v>9.0179999999999996E-2</v>
      </c>
      <c r="HC11" s="396">
        <v>426.1</v>
      </c>
      <c r="HD11" s="334">
        <v>1.8319000000000001</v>
      </c>
      <c r="HE11" s="334">
        <v>0.89100000000000001</v>
      </c>
      <c r="HF11" s="334">
        <v>1.1368</v>
      </c>
      <c r="HG11" s="396">
        <v>158.9</v>
      </c>
      <c r="HH11" s="731"/>
      <c r="HI11" s="340">
        <v>8.6660000000000001E-2</v>
      </c>
      <c r="HJ11" s="397">
        <v>426</v>
      </c>
      <c r="HK11" s="334">
        <v>1.8283</v>
      </c>
      <c r="HL11" s="334">
        <v>0.89319999999999999</v>
      </c>
      <c r="HM11" s="334">
        <v>1.1380999999999999</v>
      </c>
      <c r="HN11" s="396">
        <v>158.6</v>
      </c>
      <c r="HO11" s="240">
        <v>30</v>
      </c>
      <c r="HQ11" s="243">
        <v>30</v>
      </c>
      <c r="HR11" s="340">
        <v>8.3379999999999996E-2</v>
      </c>
      <c r="HS11" s="396">
        <v>425.8</v>
      </c>
      <c r="HT11" s="491">
        <v>1.8249</v>
      </c>
      <c r="HU11" s="334">
        <v>0.89539999999999997</v>
      </c>
      <c r="HV11" s="491">
        <v>1.1395</v>
      </c>
      <c r="HW11" s="396">
        <v>158.30000000000001</v>
      </c>
      <c r="HX11" s="731"/>
      <c r="HY11" s="340">
        <v>8.0329999999999999E-2</v>
      </c>
      <c r="HZ11" s="397">
        <v>425.6</v>
      </c>
      <c r="IA11" s="334">
        <v>1.8216000000000001</v>
      </c>
      <c r="IB11" s="334">
        <v>0.89759999999999995</v>
      </c>
      <c r="IC11" s="334">
        <v>1.1409</v>
      </c>
      <c r="ID11" s="397">
        <v>158.1</v>
      </c>
      <c r="IE11" s="240">
        <v>30</v>
      </c>
      <c r="IG11" s="243">
        <v>35</v>
      </c>
      <c r="IH11" s="409">
        <v>7.9060000000000005E-2</v>
      </c>
      <c r="II11" s="396">
        <v>429.9</v>
      </c>
      <c r="IJ11" s="499">
        <v>1.8331</v>
      </c>
      <c r="IK11" s="415">
        <v>0.90380000000000005</v>
      </c>
      <c r="IL11" s="491">
        <v>1.1380999999999999</v>
      </c>
      <c r="IM11" s="396">
        <v>159.5</v>
      </c>
      <c r="IN11" s="731"/>
      <c r="IO11" s="497">
        <v>7.6350000000000001E-2</v>
      </c>
      <c r="IP11" s="397">
        <v>429.7</v>
      </c>
      <c r="IQ11" s="415">
        <v>1.83</v>
      </c>
      <c r="IR11" s="415">
        <v>0.90590000000000004</v>
      </c>
      <c r="IS11" s="415">
        <v>1.1394</v>
      </c>
      <c r="IT11" s="396">
        <v>159.19999999999999</v>
      </c>
      <c r="IU11" s="240">
        <v>35</v>
      </c>
      <c r="IW11" s="254">
        <v>35</v>
      </c>
      <c r="IX11" s="512">
        <v>7.3819999999999997E-2</v>
      </c>
      <c r="IY11" s="514">
        <v>429.5</v>
      </c>
      <c r="IZ11" s="523">
        <v>1.8269</v>
      </c>
      <c r="JA11" s="523">
        <v>0.90800000000000003</v>
      </c>
      <c r="JB11" s="523">
        <v>1.1407</v>
      </c>
      <c r="JC11" s="526">
        <v>159</v>
      </c>
      <c r="JD11" s="731"/>
      <c r="JE11" s="511">
        <v>7.1429999999999993E-2</v>
      </c>
      <c r="JF11" s="528">
        <v>429.3</v>
      </c>
      <c r="JG11" s="522">
        <v>1.8240000000000001</v>
      </c>
      <c r="JH11" s="508">
        <v>0.91010000000000002</v>
      </c>
      <c r="JI11" s="523">
        <v>1.1420999999999999</v>
      </c>
      <c r="JJ11" s="528">
        <v>158.69999999999999</v>
      </c>
      <c r="JK11" s="257">
        <v>35</v>
      </c>
      <c r="JM11" s="254">
        <v>35</v>
      </c>
      <c r="JN11" s="509">
        <v>6.9190000000000002E-2</v>
      </c>
      <c r="JO11" s="526">
        <v>429.2</v>
      </c>
      <c r="JP11" s="508">
        <v>1.8210999999999999</v>
      </c>
      <c r="JQ11" s="508">
        <v>0.91220000000000001</v>
      </c>
      <c r="JR11" s="508">
        <v>1.1434</v>
      </c>
      <c r="JS11" s="526">
        <v>158.4</v>
      </c>
      <c r="JT11" s="731"/>
      <c r="JU11" s="537">
        <v>6.8449999999999997E-2</v>
      </c>
      <c r="JV11" s="530">
        <v>433.6</v>
      </c>
      <c r="JW11" s="536">
        <v>1.833</v>
      </c>
      <c r="JX11" s="508">
        <v>0.91779999999999995</v>
      </c>
      <c r="JY11" s="508">
        <v>1.1403000000000001</v>
      </c>
      <c r="JZ11" s="514">
        <v>159.9</v>
      </c>
      <c r="KA11" s="279">
        <v>40</v>
      </c>
      <c r="KC11" s="176">
        <v>40</v>
      </c>
      <c r="KD11" s="340">
        <v>6.6409999999999997E-2</v>
      </c>
      <c r="KE11" s="540">
        <v>433.4</v>
      </c>
      <c r="KF11" s="196">
        <v>1.8303</v>
      </c>
      <c r="KG11" s="170">
        <v>0.91979999999999995</v>
      </c>
      <c r="KH11" s="196">
        <v>1.1415999999999999</v>
      </c>
      <c r="KI11" s="540">
        <v>159.6</v>
      </c>
      <c r="KJ11" s="731"/>
      <c r="KK11" s="340">
        <v>6.4490000000000006E-2</v>
      </c>
      <c r="KL11" s="397">
        <v>433.2</v>
      </c>
      <c r="KM11" s="334">
        <v>1.8277000000000001</v>
      </c>
      <c r="KN11" s="334">
        <v>0.92169999999999996</v>
      </c>
      <c r="KO11" s="334">
        <v>1.1429</v>
      </c>
      <c r="KP11" s="540">
        <v>159.4</v>
      </c>
      <c r="KQ11" s="260">
        <v>40</v>
      </c>
      <c r="KS11" s="243">
        <v>40</v>
      </c>
      <c r="KT11" s="409">
        <v>6.2670000000000003E-2</v>
      </c>
      <c r="KU11" s="543">
        <v>433</v>
      </c>
      <c r="KV11" s="546">
        <v>1.8250999999999999</v>
      </c>
      <c r="KW11" s="415">
        <v>0.92379999999999995</v>
      </c>
      <c r="KX11" s="541">
        <v>1.1440999999999999</v>
      </c>
      <c r="KY11" s="543">
        <v>159.1</v>
      </c>
      <c r="KZ11" s="731"/>
      <c r="LA11" s="340">
        <v>6.0940000000000001E-2</v>
      </c>
      <c r="LB11" s="397">
        <v>432.8</v>
      </c>
      <c r="LC11" s="415">
        <v>1.8225</v>
      </c>
      <c r="LD11" s="415">
        <v>0.92579999999999996</v>
      </c>
      <c r="LE11" s="415">
        <v>1.1454</v>
      </c>
      <c r="LF11" s="540">
        <v>158.9</v>
      </c>
      <c r="LG11" s="240">
        <v>40</v>
      </c>
      <c r="LI11" s="254">
        <v>40</v>
      </c>
      <c r="LJ11" s="512">
        <v>5.9299999999999999E-2</v>
      </c>
      <c r="LK11" s="514">
        <v>432.7</v>
      </c>
      <c r="LL11" s="523">
        <v>1.8201000000000001</v>
      </c>
      <c r="LM11" s="523">
        <v>0.92779999999999996</v>
      </c>
      <c r="LN11" s="523">
        <v>1.1467000000000001</v>
      </c>
      <c r="LO11" s="526">
        <v>158.6</v>
      </c>
      <c r="LP11" s="731"/>
      <c r="LQ11" s="511">
        <v>5.6689999999999997E-2</v>
      </c>
      <c r="LR11" s="530">
        <v>436.9</v>
      </c>
      <c r="LS11" s="523">
        <v>1.8288</v>
      </c>
      <c r="LT11" s="536">
        <v>0.93559999999999999</v>
      </c>
      <c r="LU11" s="508">
        <v>1.1451</v>
      </c>
      <c r="LV11" s="526">
        <v>159.80000000000001</v>
      </c>
      <c r="LW11" s="265">
        <v>45</v>
      </c>
      <c r="LY11" s="199">
        <v>45</v>
      </c>
      <c r="LZ11" s="537">
        <v>5.3289999999999997E-2</v>
      </c>
      <c r="MA11" s="390">
        <v>436.5</v>
      </c>
      <c r="MB11" s="508">
        <v>1.8231999999999999</v>
      </c>
      <c r="MC11" s="536">
        <v>0.9405</v>
      </c>
      <c r="MD11" s="508">
        <v>1.1482000000000001</v>
      </c>
      <c r="ME11" s="526">
        <v>159.19999999999999</v>
      </c>
      <c r="MF11" s="731"/>
      <c r="MG11" s="537">
        <v>5.024E-2</v>
      </c>
      <c r="MH11" s="530">
        <v>436</v>
      </c>
      <c r="MI11" s="191">
        <v>1.8177000000000001</v>
      </c>
      <c r="MJ11" s="192">
        <v>0.94540000000000002</v>
      </c>
      <c r="MK11" s="191">
        <v>1.1515</v>
      </c>
      <c r="ML11" s="526">
        <v>158.6</v>
      </c>
      <c r="MM11" s="279">
        <v>45</v>
      </c>
      <c r="MO11" s="176">
        <v>50</v>
      </c>
      <c r="MP11" s="340">
        <v>4.8509999999999998E-2</v>
      </c>
      <c r="MQ11" s="396">
        <v>440.4</v>
      </c>
      <c r="MR11" s="334">
        <v>1.8273999999999999</v>
      </c>
      <c r="MS11" s="334">
        <v>0.95230000000000004</v>
      </c>
      <c r="MT11" s="335">
        <v>1.1493</v>
      </c>
      <c r="MU11" s="396">
        <v>159.80000000000001</v>
      </c>
      <c r="MV11" s="731"/>
      <c r="MW11" s="340">
        <v>4.5990000000000003E-2</v>
      </c>
      <c r="MX11" s="397">
        <v>439.9</v>
      </c>
      <c r="MY11" s="334">
        <v>1.8224</v>
      </c>
      <c r="MZ11" s="334">
        <v>0.95699999999999996</v>
      </c>
      <c r="NA11" s="334">
        <v>1.1524000000000001</v>
      </c>
      <c r="NB11" s="397">
        <v>159.19999999999999</v>
      </c>
      <c r="NC11" s="260">
        <v>50</v>
      </c>
      <c r="NE11" s="243">
        <v>50</v>
      </c>
      <c r="NF11" s="409">
        <v>4.369E-2</v>
      </c>
      <c r="NG11" s="396">
        <v>439.5</v>
      </c>
      <c r="NH11" s="415">
        <v>1.8177000000000001</v>
      </c>
      <c r="NI11" s="415">
        <v>0.96179999999999999</v>
      </c>
      <c r="NJ11" s="335">
        <v>1.1556</v>
      </c>
      <c r="NK11" s="396">
        <v>158.6</v>
      </c>
      <c r="NL11" s="731"/>
      <c r="NM11" s="409">
        <v>4.249E-2</v>
      </c>
      <c r="NN11" s="397">
        <v>443.9</v>
      </c>
      <c r="NO11" s="415">
        <v>1.8279000000000001</v>
      </c>
      <c r="NP11" s="334">
        <v>0.96779999999999999</v>
      </c>
      <c r="NQ11" s="415">
        <v>1.153</v>
      </c>
      <c r="NR11" s="396">
        <v>159.9</v>
      </c>
      <c r="NS11" s="240">
        <v>55</v>
      </c>
      <c r="NU11" s="254">
        <v>55</v>
      </c>
      <c r="NV11" s="463">
        <v>4.054E-2</v>
      </c>
      <c r="NW11" s="528">
        <v>443.5</v>
      </c>
      <c r="NX11" s="470">
        <v>1.8234999999999999</v>
      </c>
      <c r="NY11" s="470">
        <v>0.97240000000000004</v>
      </c>
      <c r="NZ11" s="459">
        <v>1.1559999999999999</v>
      </c>
      <c r="OA11" s="476">
        <v>159.30000000000001</v>
      </c>
      <c r="OB11" s="731"/>
      <c r="OC11" s="511">
        <v>3.8739999999999997E-2</v>
      </c>
      <c r="OD11" s="528">
        <v>443.1</v>
      </c>
      <c r="OE11" s="574">
        <v>1.8191999999999999</v>
      </c>
      <c r="OF11" s="459">
        <v>0.97709999999999997</v>
      </c>
      <c r="OG11" s="575">
        <v>1.1591</v>
      </c>
      <c r="OH11" s="476">
        <v>158.80000000000001</v>
      </c>
      <c r="OI11" s="257">
        <v>55</v>
      </c>
      <c r="OK11" s="193">
        <v>55</v>
      </c>
      <c r="OL11" s="537">
        <v>3.7080000000000002E-2</v>
      </c>
      <c r="OM11" s="517">
        <v>442.7</v>
      </c>
      <c r="ON11" s="459">
        <v>1.8150999999999999</v>
      </c>
      <c r="OO11" s="459">
        <v>0.9819</v>
      </c>
      <c r="OP11" s="459">
        <v>1.1623000000000001</v>
      </c>
      <c r="OQ11" s="476">
        <v>158.19999999999999</v>
      </c>
      <c r="OR11" s="731"/>
      <c r="OS11" s="537">
        <v>3.6330000000000001E-2</v>
      </c>
      <c r="OT11" s="528">
        <v>447.2</v>
      </c>
      <c r="OU11" s="536">
        <v>1.8260000000000001</v>
      </c>
      <c r="OV11" s="459">
        <v>0.98670000000000002</v>
      </c>
      <c r="OW11" s="459">
        <v>1.159</v>
      </c>
      <c r="OX11" s="476">
        <v>159.6</v>
      </c>
      <c r="OY11" s="194">
        <v>60</v>
      </c>
      <c r="PA11" s="176">
        <v>60</v>
      </c>
      <c r="PB11" s="340">
        <v>3.4880000000000001E-2</v>
      </c>
      <c r="PC11" s="396">
        <v>446.8</v>
      </c>
      <c r="PD11" s="541">
        <v>1.8221000000000001</v>
      </c>
      <c r="PE11" s="334">
        <v>0.99129999999999996</v>
      </c>
      <c r="PF11" s="541">
        <v>1.1619999999999999</v>
      </c>
      <c r="PG11" s="396">
        <v>159</v>
      </c>
      <c r="PH11" s="731"/>
      <c r="PI11" s="340">
        <v>3.3529999999999997E-2</v>
      </c>
      <c r="PJ11" s="397">
        <v>446.4</v>
      </c>
      <c r="PK11" s="334">
        <v>1.8184</v>
      </c>
      <c r="PL11" s="334">
        <v>0.99590000000000001</v>
      </c>
      <c r="PM11" s="334">
        <v>1.1651</v>
      </c>
      <c r="PN11" s="397">
        <v>158.5</v>
      </c>
      <c r="PO11" s="260">
        <v>60</v>
      </c>
      <c r="PQ11" s="243">
        <v>60</v>
      </c>
      <c r="PR11" s="409">
        <v>3.227E-2</v>
      </c>
      <c r="PS11" s="396">
        <v>446</v>
      </c>
      <c r="PT11" s="415">
        <v>1.8147</v>
      </c>
      <c r="PU11" s="415">
        <v>1.0005999999999999</v>
      </c>
      <c r="PV11" s="541">
        <v>1.1682999999999999</v>
      </c>
      <c r="PW11" s="396">
        <v>157.9</v>
      </c>
      <c r="PX11" s="731"/>
      <c r="PY11" s="409">
        <v>3.0669999999999999E-2</v>
      </c>
      <c r="PZ11" s="397">
        <v>450.3</v>
      </c>
      <c r="QA11" s="415">
        <v>1.8226</v>
      </c>
      <c r="QB11" s="415">
        <v>1.0088999999999999</v>
      </c>
      <c r="QC11" s="415">
        <v>1.1674</v>
      </c>
      <c r="QD11" s="396">
        <v>158.80000000000001</v>
      </c>
      <c r="QE11" s="240">
        <v>65</v>
      </c>
      <c r="QG11" s="254">
        <v>65</v>
      </c>
      <c r="QH11" s="512">
        <v>2.862E-2</v>
      </c>
      <c r="QI11" s="514">
        <v>449.5</v>
      </c>
      <c r="QJ11" s="523">
        <v>1.8159000000000001</v>
      </c>
      <c r="QK11" s="523">
        <v>1.0181</v>
      </c>
      <c r="QL11" s="523">
        <v>1.1737</v>
      </c>
      <c r="QM11" s="526">
        <v>157.80000000000001</v>
      </c>
      <c r="QN11" s="731"/>
      <c r="QO11" s="511">
        <v>2.743E-2</v>
      </c>
      <c r="QP11" s="532">
        <v>453.8</v>
      </c>
      <c r="QQ11" s="256">
        <v>1.8246</v>
      </c>
      <c r="QR11" s="191">
        <v>1.0253000000000001</v>
      </c>
      <c r="QS11" s="256">
        <v>1.1721999999999999</v>
      </c>
      <c r="QT11" s="527">
        <v>158.80000000000001</v>
      </c>
      <c r="QU11" s="257">
        <v>70</v>
      </c>
      <c r="QW11" s="193">
        <v>70</v>
      </c>
      <c r="QX11" s="537">
        <v>2.5770000000000001E-2</v>
      </c>
      <c r="QY11" s="517">
        <v>453.1</v>
      </c>
      <c r="QZ11" s="536">
        <v>1.8185</v>
      </c>
      <c r="RA11" s="536">
        <v>1.0344</v>
      </c>
      <c r="RB11" s="508">
        <v>1.1782999999999999</v>
      </c>
      <c r="RC11" s="526">
        <v>157.80000000000001</v>
      </c>
      <c r="RD11" s="731"/>
      <c r="RE11" s="537">
        <v>2.427E-2</v>
      </c>
      <c r="RF11" s="530">
        <v>452.3</v>
      </c>
      <c r="RG11" s="508">
        <v>1.8126</v>
      </c>
      <c r="RH11" s="508">
        <v>1.0438000000000001</v>
      </c>
      <c r="RI11" s="508">
        <v>1.1848000000000001</v>
      </c>
      <c r="RJ11" s="526">
        <v>156.69999999999999</v>
      </c>
      <c r="RK11" s="279">
        <v>70</v>
      </c>
      <c r="RM11" s="176">
        <v>75</v>
      </c>
      <c r="RN11" s="340">
        <v>2.223E-2</v>
      </c>
      <c r="RO11" s="396">
        <v>456</v>
      </c>
      <c r="RP11" s="491">
        <v>1.8166</v>
      </c>
      <c r="RQ11" s="334">
        <v>1.0586</v>
      </c>
      <c r="RR11" s="491">
        <v>1.1887000000000001</v>
      </c>
      <c r="RS11" s="396">
        <v>156.80000000000001</v>
      </c>
      <c r="RT11" s="731"/>
      <c r="RU11" s="490">
        <v>2.0539999999999999E-2</v>
      </c>
      <c r="RV11" s="397">
        <v>459.8</v>
      </c>
      <c r="RW11" s="334">
        <v>1.8214999999999999</v>
      </c>
      <c r="RX11" s="334">
        <v>1.0722</v>
      </c>
      <c r="RY11" s="334">
        <v>1.1918</v>
      </c>
      <c r="RZ11" s="397">
        <v>157.1</v>
      </c>
      <c r="SA11" s="260">
        <v>80</v>
      </c>
      <c r="SC11" s="243">
        <v>80</v>
      </c>
      <c r="SD11" s="409">
        <v>1.865E-2</v>
      </c>
      <c r="SE11" s="396">
        <v>458.4</v>
      </c>
      <c r="SF11" s="499">
        <v>1.8117000000000001</v>
      </c>
      <c r="SG11" s="415">
        <v>1.0911</v>
      </c>
      <c r="SH11" s="499">
        <v>1.2052</v>
      </c>
      <c r="SI11" s="396">
        <v>155.1</v>
      </c>
      <c r="SJ11" s="731"/>
      <c r="SK11" s="409">
        <v>1.7489999999999999E-2</v>
      </c>
      <c r="SL11" s="176">
        <v>462.3</v>
      </c>
      <c r="SM11" s="415">
        <v>1.8179000000000001</v>
      </c>
      <c r="SN11" s="415">
        <v>1.1029</v>
      </c>
      <c r="SO11" s="415">
        <v>1.2071000000000001</v>
      </c>
      <c r="SP11" s="170">
        <v>155.6</v>
      </c>
      <c r="SQ11" s="240">
        <v>85</v>
      </c>
      <c r="SS11" s="243">
        <v>90</v>
      </c>
      <c r="ST11" s="409">
        <v>1.6490000000000001E-2</v>
      </c>
      <c r="SU11" s="170">
        <v>466.4</v>
      </c>
      <c r="SV11" s="499">
        <v>1.8245</v>
      </c>
      <c r="SW11" s="499">
        <v>1.1135999999999999</v>
      </c>
      <c r="SX11" s="499">
        <v>1.2083999999999999</v>
      </c>
      <c r="SY11" s="170">
        <v>156.1</v>
      </c>
      <c r="SZ11" s="731"/>
      <c r="TA11" s="409">
        <v>1.5219999999999999E-2</v>
      </c>
      <c r="TB11" s="397">
        <v>465</v>
      </c>
      <c r="TC11" s="415">
        <v>1.8162</v>
      </c>
      <c r="TD11" s="334">
        <v>1.1325000000000001</v>
      </c>
      <c r="TE11" s="491">
        <v>1.222</v>
      </c>
      <c r="TF11" s="397">
        <v>154.19999999999999</v>
      </c>
      <c r="TG11" s="240">
        <v>90</v>
      </c>
      <c r="TI11" s="176">
        <v>95</v>
      </c>
      <c r="TJ11" s="340">
        <v>1.4489999999999999E-2</v>
      </c>
      <c r="TK11" s="396">
        <v>469.3</v>
      </c>
      <c r="TL11" s="334">
        <v>1.8238000000000001</v>
      </c>
      <c r="TM11" s="334">
        <v>1.1412</v>
      </c>
      <c r="TN11" s="491">
        <v>1.2219</v>
      </c>
      <c r="TO11" s="489">
        <v>155</v>
      </c>
      <c r="TP11" s="731"/>
      <c r="TQ11" s="340">
        <v>1.3480000000000001E-2</v>
      </c>
      <c r="TR11" s="488">
        <v>467.8</v>
      </c>
      <c r="TS11" s="491">
        <v>1.8161</v>
      </c>
      <c r="TT11" s="491">
        <v>1.1607000000000001</v>
      </c>
      <c r="TU11" s="491">
        <v>1.2361</v>
      </c>
      <c r="TV11" s="489">
        <v>153.19999999999999</v>
      </c>
      <c r="TW11" s="260">
        <v>95</v>
      </c>
      <c r="TY11" s="270">
        <v>100</v>
      </c>
      <c r="TZ11" s="474">
        <v>1.294E-2</v>
      </c>
      <c r="UA11" s="467">
        <v>472.2</v>
      </c>
      <c r="UB11" s="491">
        <v>1.8244</v>
      </c>
      <c r="UC11" s="473">
        <v>1.1674</v>
      </c>
      <c r="UD11" s="610">
        <v>1.2345999999999999</v>
      </c>
      <c r="UE11" s="489">
        <v>154.1</v>
      </c>
      <c r="UF11" s="749"/>
      <c r="UG11" s="474">
        <v>1.2109999999999999E-2</v>
      </c>
      <c r="UH11" s="478">
        <v>470.8</v>
      </c>
      <c r="UI11" s="473">
        <v>1.8172999999999999</v>
      </c>
      <c r="UJ11" s="491">
        <v>1.1874</v>
      </c>
      <c r="UK11" s="473">
        <v>1.2493000000000001</v>
      </c>
      <c r="UL11" s="488">
        <v>152.30000000000001</v>
      </c>
      <c r="UM11" s="310">
        <v>100</v>
      </c>
      <c r="UO11" s="268">
        <v>105</v>
      </c>
      <c r="UP11" s="464">
        <v>1.0999999999999999E-2</v>
      </c>
      <c r="UQ11" s="467">
        <v>474</v>
      </c>
      <c r="UR11" s="499">
        <v>1.8194999999999999</v>
      </c>
      <c r="US11" s="471">
        <v>1.2121</v>
      </c>
      <c r="UT11" s="610">
        <v>1.2612000000000001</v>
      </c>
      <c r="UU11" s="489">
        <v>151.69999999999999</v>
      </c>
      <c r="UV11" s="749"/>
      <c r="UW11" s="464">
        <v>1.01E-2</v>
      </c>
      <c r="UX11" s="478">
        <v>477.3</v>
      </c>
      <c r="UY11" s="471">
        <v>1.8227</v>
      </c>
      <c r="UZ11" s="622">
        <v>1.2345999999999999</v>
      </c>
      <c r="VA11" s="471">
        <v>1.2715000000000001</v>
      </c>
      <c r="VB11" s="489">
        <v>151.30000000000001</v>
      </c>
      <c r="VC11" s="248">
        <v>110</v>
      </c>
      <c r="VE11" s="264">
        <v>110</v>
      </c>
      <c r="VF11" s="512">
        <v>9.0500000000000008E-3</v>
      </c>
      <c r="VG11" s="514">
        <v>474.5</v>
      </c>
      <c r="VH11" s="523">
        <v>1.8103</v>
      </c>
      <c r="VI11" s="523">
        <v>1.2801</v>
      </c>
      <c r="VJ11" s="508">
        <v>1.3056000000000001</v>
      </c>
      <c r="VK11" s="527">
        <v>148</v>
      </c>
      <c r="VL11" s="749"/>
      <c r="VM11" s="512">
        <v>8.4399999999999996E-3</v>
      </c>
      <c r="VN11" s="534">
        <v>478</v>
      </c>
      <c r="VO11" s="522">
        <v>1.8149999999999999</v>
      </c>
      <c r="VP11" s="391">
        <v>1.2996000000000001</v>
      </c>
      <c r="VQ11" s="522">
        <v>1.3137000000000001</v>
      </c>
      <c r="VR11" s="526">
        <v>148.1</v>
      </c>
      <c r="VS11" s="257">
        <v>115</v>
      </c>
      <c r="VU11" s="193">
        <v>120</v>
      </c>
      <c r="VV11" s="509">
        <v>7.92E-3</v>
      </c>
      <c r="VW11" s="514">
        <v>481.8</v>
      </c>
      <c r="VX11" s="508">
        <v>1.8204</v>
      </c>
      <c r="VY11" s="508">
        <v>1.3161</v>
      </c>
      <c r="VZ11" s="536">
        <v>1.3197000000000001</v>
      </c>
      <c r="WA11" s="526">
        <v>148.4</v>
      </c>
      <c r="WB11" s="749"/>
      <c r="WC11" s="509">
        <v>7.2100000000000003E-3</v>
      </c>
      <c r="WD11" s="530">
        <v>478.9</v>
      </c>
      <c r="WE11" s="536">
        <v>1.8093999999999999</v>
      </c>
      <c r="WF11" s="536">
        <v>1.3667</v>
      </c>
      <c r="WG11" s="536">
        <v>1.3579000000000001</v>
      </c>
      <c r="WH11" s="526">
        <v>145.30000000000001</v>
      </c>
      <c r="WI11" s="279">
        <v>120</v>
      </c>
      <c r="WK11" s="199">
        <v>125</v>
      </c>
      <c r="WL11" s="509">
        <v>6.8500000000000002E-3</v>
      </c>
      <c r="WM11" s="514">
        <v>482.9</v>
      </c>
      <c r="WN11" s="508">
        <v>1.8160000000000001</v>
      </c>
      <c r="WO11" s="508">
        <v>1.3776999999999999</v>
      </c>
      <c r="WP11" s="508">
        <v>1.3595999999999999</v>
      </c>
      <c r="WQ11" s="526">
        <v>146.1</v>
      </c>
      <c r="WR11" s="749"/>
      <c r="WS11" s="509">
        <v>6.5399999999999998E-3</v>
      </c>
      <c r="WT11" s="528">
        <v>487.1</v>
      </c>
      <c r="WU11" s="536">
        <v>1.823</v>
      </c>
      <c r="WV11" s="508">
        <v>1.3858999999999999</v>
      </c>
      <c r="WW11" s="536">
        <v>1.3592</v>
      </c>
      <c r="WX11" s="530">
        <v>147</v>
      </c>
      <c r="WY11" s="194">
        <v>130</v>
      </c>
      <c r="WZ11" s="400"/>
      <c r="XA11" s="264">
        <v>130</v>
      </c>
      <c r="XB11" s="512">
        <v>6.0200000000000002E-3</v>
      </c>
      <c r="XC11" s="526">
        <v>484.4</v>
      </c>
      <c r="XD11" s="523">
        <v>1.8130999999999999</v>
      </c>
      <c r="XE11" s="523">
        <v>1.4371</v>
      </c>
      <c r="XF11" s="508">
        <v>1.3978999999999999</v>
      </c>
      <c r="XG11" s="526">
        <v>144.4</v>
      </c>
      <c r="XH11" s="749"/>
      <c r="XI11" s="512">
        <v>5.7999999999999996E-3</v>
      </c>
      <c r="XJ11" s="528">
        <v>488.8</v>
      </c>
      <c r="XK11" s="522">
        <v>1.8211999999999999</v>
      </c>
      <c r="XL11" s="523">
        <v>1.4383999999999999</v>
      </c>
      <c r="XM11" s="522">
        <v>1.3920999999999999</v>
      </c>
      <c r="XN11" s="526">
        <v>145.80000000000001</v>
      </c>
      <c r="XO11" s="257">
        <v>135</v>
      </c>
      <c r="XP11" s="178"/>
    </row>
    <row r="12" spans="1:640" ht="15.75" thickBot="1" x14ac:dyDescent="0.3">
      <c r="A12" s="246">
        <v>-30</v>
      </c>
      <c r="B12" s="365">
        <v>1.9723900000000001</v>
      </c>
      <c r="C12" s="368">
        <v>383.3</v>
      </c>
      <c r="D12" s="360">
        <v>1.9345000000000001</v>
      </c>
      <c r="E12" s="360">
        <v>0.73599999999999999</v>
      </c>
      <c r="F12" s="360">
        <v>1.1283000000000001</v>
      </c>
      <c r="G12" s="172">
        <v>148.9</v>
      </c>
      <c r="H12" s="266"/>
      <c r="I12" s="365">
        <v>1.0235399999999999</v>
      </c>
      <c r="J12" s="374">
        <v>390.4</v>
      </c>
      <c r="K12" s="360">
        <v>1.9072</v>
      </c>
      <c r="L12" s="358">
        <v>0.75819999999999999</v>
      </c>
      <c r="M12" s="360">
        <v>1.1265000000000001</v>
      </c>
      <c r="N12" s="378">
        <v>151.30000000000001</v>
      </c>
      <c r="O12" s="379">
        <v>-20</v>
      </c>
      <c r="P12" s="238"/>
      <c r="Q12" s="235">
        <v>-10</v>
      </c>
      <c r="R12" s="363">
        <v>0.70770999999999995</v>
      </c>
      <c r="S12" s="368">
        <v>397.8</v>
      </c>
      <c r="T12" s="358">
        <v>1.9031</v>
      </c>
      <c r="U12" s="358">
        <v>0.77900000000000003</v>
      </c>
      <c r="V12" s="358">
        <v>1.1244000000000001</v>
      </c>
      <c r="W12" s="368">
        <v>153.80000000000001</v>
      </c>
      <c r="X12" s="266"/>
      <c r="Y12" s="363">
        <v>0.53966999999999998</v>
      </c>
      <c r="Z12" s="374">
        <v>401.5</v>
      </c>
      <c r="AA12" s="358">
        <v>1.8936999999999999</v>
      </c>
      <c r="AB12" s="358">
        <v>0.79059999999999997</v>
      </c>
      <c r="AC12" s="358">
        <v>1.1241000000000001</v>
      </c>
      <c r="AD12" s="368">
        <v>154.80000000000001</v>
      </c>
      <c r="AE12" s="275">
        <v>-5</v>
      </c>
      <c r="AF12" s="37"/>
      <c r="AG12" s="239">
        <v>-5</v>
      </c>
      <c r="AH12" s="340">
        <v>0.43047999999999997</v>
      </c>
      <c r="AI12" s="396">
        <v>401.2</v>
      </c>
      <c r="AJ12" s="334">
        <v>1.8748</v>
      </c>
      <c r="AK12" s="334">
        <v>0.79379999999999995</v>
      </c>
      <c r="AL12" s="334">
        <v>1.1259999999999999</v>
      </c>
      <c r="AM12" s="406">
        <v>154.5</v>
      </c>
      <c r="AN12" s="731"/>
      <c r="AO12" s="340">
        <v>0.36470000000000002</v>
      </c>
      <c r="AP12" s="397">
        <v>404.9</v>
      </c>
      <c r="AQ12" s="334">
        <v>1.8740000000000001</v>
      </c>
      <c r="AR12" s="334">
        <v>0.80469999999999997</v>
      </c>
      <c r="AS12" s="401">
        <v>1.1254</v>
      </c>
      <c r="AT12" s="407">
        <v>155.6</v>
      </c>
      <c r="AU12" s="240">
        <v>0</v>
      </c>
      <c r="AV12" s="37"/>
      <c r="AW12" s="243">
        <v>5</v>
      </c>
      <c r="AX12" s="409">
        <v>0.31785999999999998</v>
      </c>
      <c r="AY12" s="396">
        <v>408.8</v>
      </c>
      <c r="AZ12" s="416">
        <v>1.8754999999999999</v>
      </c>
      <c r="BA12" s="415">
        <v>0.81510000000000005</v>
      </c>
      <c r="BB12" s="416">
        <v>1.1246</v>
      </c>
      <c r="BC12" s="394">
        <v>156.69999999999999</v>
      </c>
      <c r="BD12" s="731"/>
      <c r="BE12" s="409">
        <v>0.27732000000000001</v>
      </c>
      <c r="BF12" s="397">
        <v>408.5</v>
      </c>
      <c r="BG12" s="415">
        <v>1.8640000000000001</v>
      </c>
      <c r="BH12" s="334">
        <v>0.81789999999999996</v>
      </c>
      <c r="BI12" s="416">
        <v>1.1263000000000001</v>
      </c>
      <c r="BJ12" s="396">
        <v>156.4</v>
      </c>
      <c r="BK12" s="240">
        <v>5</v>
      </c>
      <c r="BL12" s="177"/>
      <c r="BM12" s="243">
        <v>10</v>
      </c>
      <c r="BN12" s="409">
        <v>0.25069000000000002</v>
      </c>
      <c r="BO12" s="396">
        <v>412.4</v>
      </c>
      <c r="BP12" s="415">
        <v>1.8684000000000001</v>
      </c>
      <c r="BQ12" s="415">
        <v>0.82779999999999998</v>
      </c>
      <c r="BR12" s="334">
        <v>1.1253</v>
      </c>
      <c r="BS12" s="396">
        <v>157.5</v>
      </c>
      <c r="BT12" s="731"/>
      <c r="BU12" s="409">
        <v>0.22502</v>
      </c>
      <c r="BV12" s="397">
        <v>412.2</v>
      </c>
      <c r="BW12" s="415">
        <v>1.8593</v>
      </c>
      <c r="BX12" s="334">
        <v>0.83040000000000003</v>
      </c>
      <c r="BY12" s="415">
        <v>1.1269</v>
      </c>
      <c r="BZ12" s="397">
        <v>157.19999999999999</v>
      </c>
      <c r="CA12" s="240">
        <v>10</v>
      </c>
      <c r="CC12" s="243">
        <v>10</v>
      </c>
      <c r="CD12" s="340">
        <v>0.22202</v>
      </c>
      <c r="CE12" s="396">
        <v>412.2</v>
      </c>
      <c r="CF12" s="334">
        <v>1.8581000000000001</v>
      </c>
      <c r="CG12" s="334">
        <v>0.83069999999999999</v>
      </c>
      <c r="CH12" s="334">
        <v>1.1271</v>
      </c>
      <c r="CI12" s="396">
        <v>157.19999999999999</v>
      </c>
      <c r="CJ12" s="731"/>
      <c r="CK12" s="340">
        <v>0.20802999999999999</v>
      </c>
      <c r="CL12" s="397">
        <v>416.2</v>
      </c>
      <c r="CM12" s="334">
        <v>1.8655999999999999</v>
      </c>
      <c r="CN12" s="334">
        <v>0.8397</v>
      </c>
      <c r="CO12" s="334">
        <v>1.1256999999999999</v>
      </c>
      <c r="CP12" s="396">
        <v>158.4</v>
      </c>
      <c r="CQ12" s="240">
        <v>15</v>
      </c>
      <c r="CS12" s="278">
        <v>15</v>
      </c>
      <c r="CT12" s="340">
        <v>0.19022</v>
      </c>
      <c r="CU12" s="396">
        <v>415.9</v>
      </c>
      <c r="CV12" s="444">
        <v>1.8579000000000001</v>
      </c>
      <c r="CW12" s="334">
        <v>0.84219999999999995</v>
      </c>
      <c r="CX12" s="444">
        <v>1.1271</v>
      </c>
      <c r="CY12" s="442">
        <v>158.1</v>
      </c>
      <c r="CZ12" s="731"/>
      <c r="DA12" s="440">
        <v>0.17516000000000001</v>
      </c>
      <c r="DB12" s="449">
        <v>415.7</v>
      </c>
      <c r="DC12" s="334">
        <v>1.8509</v>
      </c>
      <c r="DD12" s="334">
        <v>0.84460000000000002</v>
      </c>
      <c r="DE12" s="444">
        <v>1.1286</v>
      </c>
      <c r="DF12" s="397">
        <v>157.80000000000001</v>
      </c>
      <c r="DG12" s="240">
        <v>15</v>
      </c>
      <c r="DI12" s="243">
        <v>20</v>
      </c>
      <c r="DJ12" s="409">
        <v>0.16542999999999999</v>
      </c>
      <c r="DK12" s="396">
        <v>419.8</v>
      </c>
      <c r="DL12" s="417">
        <v>1.8589</v>
      </c>
      <c r="DM12" s="415">
        <v>0.85340000000000005</v>
      </c>
      <c r="DN12" s="456">
        <v>1.1272</v>
      </c>
      <c r="DO12" s="442">
        <v>159</v>
      </c>
      <c r="DP12" s="731"/>
      <c r="DQ12" s="409">
        <v>0.15404000000000001</v>
      </c>
      <c r="DR12" s="397">
        <v>419.6</v>
      </c>
      <c r="DS12" s="387">
        <v>1.8528</v>
      </c>
      <c r="DT12" s="415">
        <v>0.85570000000000002</v>
      </c>
      <c r="DU12" s="415">
        <v>1.1285000000000001</v>
      </c>
      <c r="DV12" s="442">
        <v>158.69999999999999</v>
      </c>
      <c r="DW12" s="240">
        <v>20</v>
      </c>
      <c r="DY12" s="247">
        <v>20</v>
      </c>
      <c r="DZ12" s="464">
        <v>0.14407</v>
      </c>
      <c r="EA12" s="467">
        <v>419.4</v>
      </c>
      <c r="EB12" s="470">
        <v>1.847</v>
      </c>
      <c r="EC12" s="471">
        <v>0.85799999999999998</v>
      </c>
      <c r="ED12" s="471">
        <v>1.1298999999999999</v>
      </c>
      <c r="EE12" s="465">
        <v>158.5</v>
      </c>
      <c r="EF12" s="731"/>
      <c r="EG12" s="464">
        <v>0.13793</v>
      </c>
      <c r="EH12" s="478">
        <v>423.5</v>
      </c>
      <c r="EI12" s="471">
        <v>1.8561000000000001</v>
      </c>
      <c r="EJ12" s="459">
        <v>0.86629999999999996</v>
      </c>
      <c r="EK12" s="459">
        <v>1.1283000000000001</v>
      </c>
      <c r="EL12" s="478">
        <v>159.69999999999999</v>
      </c>
      <c r="EM12" s="248">
        <v>25</v>
      </c>
      <c r="EO12" s="247">
        <v>25</v>
      </c>
      <c r="EP12" s="474">
        <v>0.12998999999999999</v>
      </c>
      <c r="EQ12" s="467">
        <v>423.3</v>
      </c>
      <c r="ER12" s="459">
        <v>1.851</v>
      </c>
      <c r="ES12" s="473">
        <v>0.86850000000000005</v>
      </c>
      <c r="ET12" s="459">
        <v>1.1295999999999999</v>
      </c>
      <c r="EU12" s="467">
        <v>159.4</v>
      </c>
      <c r="EV12" s="731"/>
      <c r="EW12" s="474">
        <v>0.12286999999999999</v>
      </c>
      <c r="EX12" s="478">
        <v>423.1</v>
      </c>
      <c r="EY12" s="473">
        <v>1.8461000000000001</v>
      </c>
      <c r="EZ12" s="473">
        <v>0.87060000000000004</v>
      </c>
      <c r="FA12" s="459">
        <v>1.1309</v>
      </c>
      <c r="FB12" s="467">
        <v>159.19999999999999</v>
      </c>
      <c r="FC12" s="248">
        <v>25</v>
      </c>
      <c r="FE12" s="243">
        <v>25</v>
      </c>
      <c r="FF12" s="340">
        <v>0.11647</v>
      </c>
      <c r="FG12" s="396">
        <v>422.9</v>
      </c>
      <c r="FH12" s="334">
        <v>1.8413999999999999</v>
      </c>
      <c r="FI12" s="334">
        <v>0.87290000000000001</v>
      </c>
      <c r="FJ12" s="491">
        <v>1.1323000000000001</v>
      </c>
      <c r="FK12" s="396">
        <v>158.9</v>
      </c>
      <c r="FL12" s="731"/>
      <c r="FM12" s="340">
        <v>0.11284</v>
      </c>
      <c r="FN12" s="397">
        <v>427.1</v>
      </c>
      <c r="FO12" s="334">
        <v>1.8515999999999999</v>
      </c>
      <c r="FP12" s="334">
        <v>0.88049999999999995</v>
      </c>
      <c r="FQ12" s="334">
        <v>1.1303000000000001</v>
      </c>
      <c r="FR12" s="397">
        <v>160.19999999999999</v>
      </c>
      <c r="FS12" s="240">
        <v>25</v>
      </c>
      <c r="FU12" s="243">
        <v>30</v>
      </c>
      <c r="FV12" s="409">
        <v>0.10749</v>
      </c>
      <c r="FW12" s="396">
        <v>426.9</v>
      </c>
      <c r="FX12" s="499">
        <v>1.8472999999999999</v>
      </c>
      <c r="FY12" s="415">
        <v>0.88249999999999995</v>
      </c>
      <c r="FZ12" s="491">
        <v>1.1315999999999999</v>
      </c>
      <c r="GA12" s="396">
        <v>159.9</v>
      </c>
      <c r="GB12" s="731"/>
      <c r="GC12" s="409">
        <v>0.1026</v>
      </c>
      <c r="GD12" s="397">
        <v>426.7</v>
      </c>
      <c r="GE12" s="415">
        <v>1.8432999999999999</v>
      </c>
      <c r="GF12" s="415">
        <v>0.88460000000000005</v>
      </c>
      <c r="GG12" s="415">
        <v>1.1329</v>
      </c>
      <c r="GH12" s="396">
        <v>159.69999999999999</v>
      </c>
      <c r="GI12" s="240">
        <v>30</v>
      </c>
      <c r="GK12" s="243">
        <v>30</v>
      </c>
      <c r="GL12" s="409">
        <v>9.8119999999999999E-2</v>
      </c>
      <c r="GM12" s="404">
        <v>426.5</v>
      </c>
      <c r="GN12" s="415">
        <v>1.8392999999999999</v>
      </c>
      <c r="GO12" s="415">
        <v>0.88670000000000004</v>
      </c>
      <c r="GP12" s="334">
        <v>1.1341000000000001</v>
      </c>
      <c r="GQ12" s="396">
        <v>159.4</v>
      </c>
      <c r="GR12" s="731"/>
      <c r="GS12" s="409">
        <v>9.5839999999999995E-2</v>
      </c>
      <c r="GT12" s="397">
        <v>430.8</v>
      </c>
      <c r="GU12" s="241">
        <v>1.8501000000000001</v>
      </c>
      <c r="GV12" s="170">
        <v>0.89380000000000004</v>
      </c>
      <c r="GW12" s="241">
        <v>1.1318999999999999</v>
      </c>
      <c r="GX12" s="397">
        <v>160.69999999999999</v>
      </c>
      <c r="GY12" s="240">
        <v>35</v>
      </c>
      <c r="HA12" s="243">
        <v>35</v>
      </c>
      <c r="HB12" s="340">
        <v>9.1969999999999996E-2</v>
      </c>
      <c r="HC12" s="396">
        <v>430.6</v>
      </c>
      <c r="HD12" s="334">
        <v>1.8465</v>
      </c>
      <c r="HE12" s="334">
        <v>0.89580000000000004</v>
      </c>
      <c r="HF12" s="334">
        <v>1.1331</v>
      </c>
      <c r="HG12" s="396">
        <v>160.5</v>
      </c>
      <c r="HH12" s="731"/>
      <c r="HI12" s="340">
        <v>8.8389999999999996E-2</v>
      </c>
      <c r="HJ12" s="397">
        <v>430.4</v>
      </c>
      <c r="HK12" s="334">
        <v>1.843</v>
      </c>
      <c r="HL12" s="334">
        <v>0.89780000000000004</v>
      </c>
      <c r="HM12" s="334">
        <v>1.1344000000000001</v>
      </c>
      <c r="HN12" s="396">
        <v>160.19999999999999</v>
      </c>
      <c r="HO12" s="240">
        <v>35</v>
      </c>
      <c r="HQ12" s="243">
        <v>35</v>
      </c>
      <c r="HR12" s="340">
        <v>8.5059999999999997E-2</v>
      </c>
      <c r="HS12" s="396">
        <v>430.3</v>
      </c>
      <c r="HT12" s="491">
        <v>1.8395999999999999</v>
      </c>
      <c r="HU12" s="334">
        <v>0.89980000000000004</v>
      </c>
      <c r="HV12" s="491">
        <v>1.1355999999999999</v>
      </c>
      <c r="HW12" s="396">
        <v>160</v>
      </c>
      <c r="HX12" s="731"/>
      <c r="HY12" s="340">
        <v>8.7959999999999997E-2</v>
      </c>
      <c r="HZ12" s="397">
        <v>430.1</v>
      </c>
      <c r="IA12" s="334">
        <v>1.8363</v>
      </c>
      <c r="IB12" s="334">
        <v>0.90180000000000005</v>
      </c>
      <c r="IC12" s="334">
        <v>1.1369</v>
      </c>
      <c r="ID12" s="397">
        <v>159.69999999999999</v>
      </c>
      <c r="IE12" s="240">
        <v>35</v>
      </c>
      <c r="IG12" s="243">
        <v>40</v>
      </c>
      <c r="IH12" s="409">
        <v>8.0629999999999993E-2</v>
      </c>
      <c r="II12" s="396">
        <v>434.4</v>
      </c>
      <c r="IJ12" s="499">
        <v>1.8476999999999999</v>
      </c>
      <c r="IK12" s="415">
        <v>0.90820000000000001</v>
      </c>
      <c r="IL12" s="491">
        <v>1.1343000000000001</v>
      </c>
      <c r="IM12" s="396">
        <v>161.1</v>
      </c>
      <c r="IN12" s="731"/>
      <c r="IO12" s="409">
        <v>7.7880000000000005E-2</v>
      </c>
      <c r="IP12" s="397">
        <v>434.3</v>
      </c>
      <c r="IQ12" s="415">
        <v>1.8446</v>
      </c>
      <c r="IR12" s="415">
        <v>0.91010000000000002</v>
      </c>
      <c r="IS12" s="415">
        <v>1.1355</v>
      </c>
      <c r="IT12" s="396">
        <v>160.80000000000001</v>
      </c>
      <c r="IU12" s="240">
        <v>40</v>
      </c>
      <c r="IW12" s="254">
        <v>40</v>
      </c>
      <c r="IX12" s="512">
        <v>7.5300000000000006E-2</v>
      </c>
      <c r="IY12" s="514">
        <v>434.1</v>
      </c>
      <c r="IZ12" s="523">
        <v>1.8415999999999999</v>
      </c>
      <c r="JA12" s="523">
        <v>0.91200000000000003</v>
      </c>
      <c r="JB12" s="523">
        <v>1.1367</v>
      </c>
      <c r="JC12" s="526">
        <v>160.6</v>
      </c>
      <c r="JD12" s="731"/>
      <c r="JE12" s="511">
        <v>7.288E-2</v>
      </c>
      <c r="JF12" s="528">
        <v>433.9</v>
      </c>
      <c r="JG12" s="522">
        <v>1.8387</v>
      </c>
      <c r="JH12" s="508">
        <v>0.91390000000000005</v>
      </c>
      <c r="JI12" s="523">
        <v>1.1378999999999999</v>
      </c>
      <c r="JJ12" s="528">
        <v>160.4</v>
      </c>
      <c r="JK12" s="257">
        <v>40</v>
      </c>
      <c r="JM12" s="264">
        <v>40</v>
      </c>
      <c r="JN12" s="509">
        <v>7.0599999999999996E-2</v>
      </c>
      <c r="JO12" s="514">
        <v>433.7</v>
      </c>
      <c r="JP12" s="508">
        <v>1.8358000000000001</v>
      </c>
      <c r="JQ12" s="508">
        <v>0.91579999999999995</v>
      </c>
      <c r="JR12" s="508">
        <v>1.1391</v>
      </c>
      <c r="JS12" s="526">
        <v>160.1</v>
      </c>
      <c r="JT12" s="731"/>
      <c r="JU12" s="537">
        <v>6.9870000000000002E-2</v>
      </c>
      <c r="JV12" s="530">
        <v>438.2</v>
      </c>
      <c r="JW12" s="508">
        <v>1.8475999999999999</v>
      </c>
      <c r="JX12" s="536">
        <v>0.92169999999999996</v>
      </c>
      <c r="JY12" s="508">
        <v>1.1363000000000001</v>
      </c>
      <c r="JZ12" s="526">
        <v>161.5</v>
      </c>
      <c r="KA12" s="279">
        <v>45</v>
      </c>
      <c r="KC12" s="176">
        <v>45</v>
      </c>
      <c r="KD12" s="340">
        <v>6.7750000000000005E-2</v>
      </c>
      <c r="KE12" s="396">
        <v>438</v>
      </c>
      <c r="KF12" s="170">
        <v>1.8449</v>
      </c>
      <c r="KG12" s="196">
        <v>0.92349999999999999</v>
      </c>
      <c r="KH12" s="170">
        <v>1.1375</v>
      </c>
      <c r="KI12" s="396">
        <v>161.30000000000001</v>
      </c>
      <c r="KJ12" s="731"/>
      <c r="KK12" s="340">
        <v>6.5799999999999997E-2</v>
      </c>
      <c r="KL12" s="433">
        <v>437.8</v>
      </c>
      <c r="KM12" s="334">
        <v>1.8423</v>
      </c>
      <c r="KN12" s="334">
        <v>0.92530000000000001</v>
      </c>
      <c r="KO12" s="541">
        <v>1.1386000000000001</v>
      </c>
      <c r="KP12" s="396">
        <v>161.1</v>
      </c>
      <c r="KQ12" s="280">
        <v>45</v>
      </c>
      <c r="KS12" s="243">
        <v>45</v>
      </c>
      <c r="KT12" s="409">
        <v>6.3950000000000007E-2</v>
      </c>
      <c r="KU12" s="404">
        <v>437.7</v>
      </c>
      <c r="KV12" s="415">
        <v>1.8396999999999999</v>
      </c>
      <c r="KW12" s="546">
        <v>0.92720000000000002</v>
      </c>
      <c r="KX12" s="334">
        <v>1.1397999999999999</v>
      </c>
      <c r="KY12" s="544">
        <v>160.80000000000001</v>
      </c>
      <c r="KZ12" s="731"/>
      <c r="LA12" s="340">
        <v>6.2190000000000002E-2</v>
      </c>
      <c r="LB12" s="542">
        <v>437.5</v>
      </c>
      <c r="LC12" s="415">
        <v>1.8371999999999999</v>
      </c>
      <c r="LD12" s="415">
        <v>0.92900000000000005</v>
      </c>
      <c r="LE12" s="415">
        <v>1.1409</v>
      </c>
      <c r="LF12" s="396">
        <v>160.6</v>
      </c>
      <c r="LG12" s="240">
        <v>45</v>
      </c>
      <c r="LI12" s="264">
        <v>45</v>
      </c>
      <c r="LJ12" s="511">
        <v>6.0519999999999997E-2</v>
      </c>
      <c r="LK12" s="514">
        <v>437.3</v>
      </c>
      <c r="LL12" s="523">
        <v>1.8348</v>
      </c>
      <c r="LM12" s="522">
        <v>0.93089999999999995</v>
      </c>
      <c r="LN12" s="523">
        <v>1.1420999999999999</v>
      </c>
      <c r="LO12" s="526">
        <v>160.4</v>
      </c>
      <c r="LP12" s="731"/>
      <c r="LQ12" s="511">
        <v>5.7849999999999999E-2</v>
      </c>
      <c r="LR12" s="528">
        <v>441.6</v>
      </c>
      <c r="LS12" s="523">
        <v>1.8433999999999999</v>
      </c>
      <c r="LT12" s="508">
        <v>0.93879999999999997</v>
      </c>
      <c r="LU12" s="508">
        <v>1.1407</v>
      </c>
      <c r="LV12" s="526">
        <v>161.5</v>
      </c>
      <c r="LW12" s="257">
        <v>50</v>
      </c>
      <c r="LY12" s="193">
        <v>50</v>
      </c>
      <c r="LZ12" s="509">
        <v>5.4390000000000001E-2</v>
      </c>
      <c r="MA12" s="514">
        <v>441.2</v>
      </c>
      <c r="MB12" s="508">
        <v>1.8379000000000001</v>
      </c>
      <c r="MC12" s="508">
        <v>0.94320000000000004</v>
      </c>
      <c r="MD12" s="508">
        <v>1.1435</v>
      </c>
      <c r="ME12" s="526">
        <v>160.9</v>
      </c>
      <c r="MF12" s="731"/>
      <c r="MG12" s="537">
        <v>5.1299999999999998E-2</v>
      </c>
      <c r="MH12" s="528">
        <v>440.8</v>
      </c>
      <c r="MI12" s="192">
        <v>1.8325</v>
      </c>
      <c r="MJ12" s="191">
        <v>0.94769999999999999</v>
      </c>
      <c r="MK12" s="191">
        <v>1.1464000000000001</v>
      </c>
      <c r="ML12" s="526">
        <v>160.4</v>
      </c>
      <c r="MM12" s="194">
        <v>50</v>
      </c>
      <c r="MO12" s="176">
        <v>55</v>
      </c>
      <c r="MP12" s="340">
        <v>4.9509999999999998E-2</v>
      </c>
      <c r="MQ12" s="564">
        <v>445.1</v>
      </c>
      <c r="MR12" s="334">
        <v>1.8420000000000001</v>
      </c>
      <c r="MS12" s="334">
        <v>0.95469999999999999</v>
      </c>
      <c r="MT12" s="335">
        <v>1.1444000000000001</v>
      </c>
      <c r="MU12" s="396">
        <v>161.5</v>
      </c>
      <c r="MV12" s="731"/>
      <c r="MW12" s="340">
        <v>4.6949999999999999E-2</v>
      </c>
      <c r="MX12" s="397">
        <v>444.7</v>
      </c>
      <c r="MY12" s="334">
        <v>1.8371</v>
      </c>
      <c r="MZ12" s="334">
        <v>0.95899999999999996</v>
      </c>
      <c r="NA12" s="334">
        <v>1.1472</v>
      </c>
      <c r="NB12" s="397">
        <v>161</v>
      </c>
      <c r="NC12" s="260">
        <v>55</v>
      </c>
      <c r="NE12" s="243">
        <v>55</v>
      </c>
      <c r="NF12" s="409">
        <v>4.462E-2</v>
      </c>
      <c r="NG12" s="396">
        <v>444.3</v>
      </c>
      <c r="NH12" s="415">
        <v>1.8324</v>
      </c>
      <c r="NI12" s="415">
        <v>0.96330000000000005</v>
      </c>
      <c r="NJ12" s="335">
        <v>1.1507000000000001</v>
      </c>
      <c r="NK12" s="396">
        <v>160.5</v>
      </c>
      <c r="NL12" s="731"/>
      <c r="NM12" s="409">
        <v>4.3380000000000002E-2</v>
      </c>
      <c r="NN12" s="397">
        <v>448.8</v>
      </c>
      <c r="NO12" s="415">
        <v>1.8426</v>
      </c>
      <c r="NP12" s="334">
        <v>0.96960000000000002</v>
      </c>
      <c r="NQ12" s="415">
        <v>1.1476999999999999</v>
      </c>
      <c r="NR12" s="396">
        <v>161.69999999999999</v>
      </c>
      <c r="NS12" s="240">
        <v>60</v>
      </c>
      <c r="NU12" s="254">
        <v>60</v>
      </c>
      <c r="NV12" s="463">
        <v>4.1399999999999999E-2</v>
      </c>
      <c r="NW12" s="528">
        <v>448.4</v>
      </c>
      <c r="NX12" s="470">
        <v>1.8382000000000001</v>
      </c>
      <c r="NY12" s="470">
        <v>0.9738</v>
      </c>
      <c r="NZ12" s="459">
        <v>1.1505000000000001</v>
      </c>
      <c r="OA12" s="476">
        <v>161.19999999999999</v>
      </c>
      <c r="OB12" s="731"/>
      <c r="OC12" s="511">
        <v>3.9570000000000001E-2</v>
      </c>
      <c r="OD12" s="528">
        <v>448</v>
      </c>
      <c r="OE12" s="574">
        <v>1.8340000000000001</v>
      </c>
      <c r="OF12" s="459">
        <v>0.97799999999999998</v>
      </c>
      <c r="OG12" s="575">
        <v>1.1532</v>
      </c>
      <c r="OH12" s="476">
        <v>160.6</v>
      </c>
      <c r="OI12" s="257">
        <v>60</v>
      </c>
      <c r="OK12" s="193">
        <v>60</v>
      </c>
      <c r="OL12" s="537">
        <v>3.789E-2</v>
      </c>
      <c r="OM12" s="517">
        <v>447.6</v>
      </c>
      <c r="ON12" s="459">
        <v>1.83</v>
      </c>
      <c r="OO12" s="459">
        <v>0.98229999999999995</v>
      </c>
      <c r="OP12" s="459">
        <v>1.1560999999999999</v>
      </c>
      <c r="OQ12" s="476">
        <v>160.1</v>
      </c>
      <c r="OR12" s="731"/>
      <c r="OS12" s="537">
        <v>3.7109999999999997E-2</v>
      </c>
      <c r="OT12" s="528">
        <v>452.2</v>
      </c>
      <c r="OU12" s="536">
        <v>1.8407</v>
      </c>
      <c r="OV12" s="459">
        <v>0.98760000000000003</v>
      </c>
      <c r="OW12" s="459">
        <v>1.1532</v>
      </c>
      <c r="OX12" s="476">
        <v>161.5</v>
      </c>
      <c r="OY12" s="194">
        <v>65</v>
      </c>
      <c r="PA12" s="176">
        <v>65</v>
      </c>
      <c r="PB12" s="340">
        <v>3.5639999999999998E-2</v>
      </c>
      <c r="PC12" s="396">
        <v>451.8</v>
      </c>
      <c r="PD12" s="541">
        <v>1.8369</v>
      </c>
      <c r="PE12" s="334">
        <v>0.99170000000000003</v>
      </c>
      <c r="PF12" s="541">
        <v>1.1558999999999999</v>
      </c>
      <c r="PG12" s="396">
        <v>160.9</v>
      </c>
      <c r="PH12" s="731"/>
      <c r="PI12" s="340">
        <v>3.4270000000000002E-2</v>
      </c>
      <c r="PJ12" s="397">
        <v>451.4</v>
      </c>
      <c r="PK12" s="334">
        <v>1.8331999999999999</v>
      </c>
      <c r="PL12" s="334">
        <v>0.99590000000000001</v>
      </c>
      <c r="PM12" s="334">
        <v>1.1587000000000001</v>
      </c>
      <c r="PN12" s="397">
        <v>160.4</v>
      </c>
      <c r="PO12" s="260">
        <v>65</v>
      </c>
      <c r="PQ12" s="243">
        <v>65</v>
      </c>
      <c r="PR12" s="409">
        <v>3.2989999999999998E-2</v>
      </c>
      <c r="PS12" s="396">
        <v>451</v>
      </c>
      <c r="PT12" s="546">
        <v>1.8295999999999999</v>
      </c>
      <c r="PU12" s="415">
        <v>1.0001</v>
      </c>
      <c r="PV12" s="541">
        <v>1.1615</v>
      </c>
      <c r="PW12" s="396">
        <v>159.9</v>
      </c>
      <c r="PX12" s="731"/>
      <c r="PY12" s="409">
        <v>3.1350000000000003E-2</v>
      </c>
      <c r="PZ12" s="397">
        <v>455.3</v>
      </c>
      <c r="QA12" s="500">
        <v>1.8373999999999999</v>
      </c>
      <c r="QB12" s="415">
        <v>1.0085</v>
      </c>
      <c r="QC12" s="415">
        <v>1.1607000000000001</v>
      </c>
      <c r="QD12" s="540">
        <v>160.80000000000001</v>
      </c>
      <c r="QE12" s="240">
        <v>70</v>
      </c>
      <c r="QG12" s="254">
        <v>70</v>
      </c>
      <c r="QH12" s="511">
        <v>2.9270000000000001E-2</v>
      </c>
      <c r="QI12" s="514">
        <v>454.6</v>
      </c>
      <c r="QJ12" s="523">
        <v>1.8309</v>
      </c>
      <c r="QK12" s="523">
        <v>1.0166999999999999</v>
      </c>
      <c r="QL12" s="522">
        <v>1.1662999999999999</v>
      </c>
      <c r="QM12" s="526">
        <v>159.80000000000001</v>
      </c>
      <c r="QN12" s="731"/>
      <c r="QO12" s="511">
        <v>2.8029999999999999E-2</v>
      </c>
      <c r="QP12" s="532">
        <v>458.9</v>
      </c>
      <c r="QQ12" s="255">
        <v>1.8393999999999999</v>
      </c>
      <c r="QR12" s="191">
        <v>1.0242</v>
      </c>
      <c r="QS12" s="256">
        <v>1.165</v>
      </c>
      <c r="QT12" s="527">
        <v>160.80000000000001</v>
      </c>
      <c r="QU12" s="257">
        <v>75</v>
      </c>
      <c r="QW12" s="193">
        <v>75</v>
      </c>
      <c r="QX12" s="509">
        <v>2.6360000000000001E-2</v>
      </c>
      <c r="QY12" s="517">
        <v>458.2</v>
      </c>
      <c r="QZ12" s="508">
        <v>1.8333999999999999</v>
      </c>
      <c r="RA12" s="508">
        <v>1.0323</v>
      </c>
      <c r="RB12" s="508">
        <v>1.1705000000000001</v>
      </c>
      <c r="RC12" s="526">
        <v>159.9</v>
      </c>
      <c r="RD12" s="731"/>
      <c r="RE12" s="537">
        <v>2.4850000000000001E-2</v>
      </c>
      <c r="RF12" s="528">
        <v>457.5</v>
      </c>
      <c r="RG12" s="508">
        <v>1.8277000000000001</v>
      </c>
      <c r="RH12" s="508">
        <v>1.0406</v>
      </c>
      <c r="RI12" s="508">
        <v>1.1761999999999999</v>
      </c>
      <c r="RJ12" s="514">
        <v>158.9</v>
      </c>
      <c r="RK12" s="194">
        <v>75</v>
      </c>
      <c r="RM12" s="176">
        <v>80</v>
      </c>
      <c r="RN12" s="340">
        <v>2.2749999999999999E-2</v>
      </c>
      <c r="RO12" s="396">
        <v>461.3</v>
      </c>
      <c r="RP12" s="491">
        <v>1.8317000000000001</v>
      </c>
      <c r="RQ12" s="334">
        <v>1.0548</v>
      </c>
      <c r="RR12" s="491">
        <v>1.1797</v>
      </c>
      <c r="RS12" s="396">
        <v>159.1</v>
      </c>
      <c r="RT12" s="731"/>
      <c r="RU12" s="340">
        <v>2.103E-2</v>
      </c>
      <c r="RV12" s="397">
        <v>465.2</v>
      </c>
      <c r="RW12" s="334">
        <v>1.8365</v>
      </c>
      <c r="RX12" s="334">
        <v>1.0679000000000001</v>
      </c>
      <c r="RY12" s="491">
        <v>1.1825000000000001</v>
      </c>
      <c r="RZ12" s="397">
        <v>159.30000000000001</v>
      </c>
      <c r="SA12" s="260">
        <v>85</v>
      </c>
      <c r="SC12" s="243">
        <v>85</v>
      </c>
      <c r="SD12" s="409">
        <v>1.9120000000000002E-2</v>
      </c>
      <c r="SE12" s="396">
        <v>463.8</v>
      </c>
      <c r="SF12" s="499">
        <v>1.827</v>
      </c>
      <c r="SG12" s="415">
        <v>1.0847</v>
      </c>
      <c r="SH12" s="500">
        <v>1.1941999999999999</v>
      </c>
      <c r="SI12" s="396">
        <v>157.5</v>
      </c>
      <c r="SJ12" s="731"/>
      <c r="SK12" s="409">
        <v>1.7930000000000001E-2</v>
      </c>
      <c r="SL12" s="176">
        <v>467.8</v>
      </c>
      <c r="SM12" s="415">
        <v>1.8331</v>
      </c>
      <c r="SN12" s="415">
        <v>1.0962000000000001</v>
      </c>
      <c r="SO12" s="415">
        <v>1.196</v>
      </c>
      <c r="SP12" s="170">
        <v>158</v>
      </c>
      <c r="SQ12" s="240">
        <v>90</v>
      </c>
      <c r="SS12" s="243">
        <v>95</v>
      </c>
      <c r="ST12" s="409">
        <v>1.6899999999999998E-2</v>
      </c>
      <c r="SU12" s="170">
        <v>472</v>
      </c>
      <c r="SV12" s="415">
        <v>1.8396999999999999</v>
      </c>
      <c r="SW12" s="415">
        <v>1.1067</v>
      </c>
      <c r="SX12" s="415">
        <v>1.1972</v>
      </c>
      <c r="SY12" s="190">
        <v>158.5</v>
      </c>
      <c r="SZ12" s="731"/>
      <c r="TA12" s="409">
        <v>1.562E-2</v>
      </c>
      <c r="TB12" s="488">
        <v>470.6</v>
      </c>
      <c r="TC12" s="499">
        <v>1.8315999999999999</v>
      </c>
      <c r="TD12" s="491">
        <v>1.1233</v>
      </c>
      <c r="TE12" s="491">
        <v>1.2090000000000001</v>
      </c>
      <c r="TF12" s="488">
        <v>156.80000000000001</v>
      </c>
      <c r="TG12" s="240">
        <v>95</v>
      </c>
      <c r="TI12" s="270">
        <v>100</v>
      </c>
      <c r="TJ12" s="340">
        <v>1.487E-2</v>
      </c>
      <c r="TK12" s="396">
        <v>474.9</v>
      </c>
      <c r="TL12" s="491">
        <v>1.8391</v>
      </c>
      <c r="TM12" s="491">
        <v>1.1321000000000001</v>
      </c>
      <c r="TN12" s="491">
        <v>1.2091000000000001</v>
      </c>
      <c r="TO12" s="489">
        <v>157.5</v>
      </c>
      <c r="TP12" s="731"/>
      <c r="TQ12" s="340">
        <v>1.3860000000000001E-2</v>
      </c>
      <c r="TR12" s="397">
        <v>473.6</v>
      </c>
      <c r="TS12" s="334">
        <v>1.8317000000000001</v>
      </c>
      <c r="TT12" s="491">
        <v>1.1491</v>
      </c>
      <c r="TU12" s="334">
        <v>1.2213000000000001</v>
      </c>
      <c r="TV12" s="489">
        <v>155.80000000000001</v>
      </c>
      <c r="TW12" s="260">
        <v>100</v>
      </c>
      <c r="TY12" s="270">
        <v>105</v>
      </c>
      <c r="TZ12" s="474">
        <v>1.329E-2</v>
      </c>
      <c r="UA12" s="467">
        <v>478</v>
      </c>
      <c r="UB12" s="491">
        <v>1.8399000000000001</v>
      </c>
      <c r="UC12" s="473">
        <v>1.1560999999999999</v>
      </c>
      <c r="UD12" s="610">
        <v>1.2202</v>
      </c>
      <c r="UE12" s="489">
        <v>156.69999999999999</v>
      </c>
      <c r="UF12" s="749"/>
      <c r="UG12" s="490">
        <v>1.2460000000000001E-2</v>
      </c>
      <c r="UH12" s="478">
        <v>476.7</v>
      </c>
      <c r="UI12" s="473">
        <v>1.833</v>
      </c>
      <c r="UJ12" s="491">
        <v>1.1733</v>
      </c>
      <c r="UK12" s="473">
        <v>1.2326999999999999</v>
      </c>
      <c r="UL12" s="488">
        <v>155.1</v>
      </c>
      <c r="UM12" s="310">
        <v>105</v>
      </c>
      <c r="UO12" s="268">
        <v>110</v>
      </c>
      <c r="UP12" s="464">
        <v>1.133E-2</v>
      </c>
      <c r="UQ12" s="489">
        <v>480</v>
      </c>
      <c r="UR12" s="499">
        <v>1.8353999999999999</v>
      </c>
      <c r="US12" s="499">
        <v>1.1959</v>
      </c>
      <c r="UT12" s="610">
        <v>1.2428999999999999</v>
      </c>
      <c r="UU12" s="489">
        <v>154.6</v>
      </c>
      <c r="UV12" s="749"/>
      <c r="UW12" s="464">
        <v>1.0410000000000001E-2</v>
      </c>
      <c r="UX12" s="478">
        <v>483.4</v>
      </c>
      <c r="UY12" s="471">
        <v>1.8386</v>
      </c>
      <c r="UZ12" s="622">
        <v>1.2165999999999999</v>
      </c>
      <c r="VA12" s="471">
        <v>1.2519</v>
      </c>
      <c r="VB12" s="489">
        <v>154.30000000000001</v>
      </c>
      <c r="VC12" s="248">
        <v>115</v>
      </c>
      <c r="VE12" s="254">
        <v>115</v>
      </c>
      <c r="VF12" s="512">
        <v>9.3500000000000007E-3</v>
      </c>
      <c r="VG12" s="514">
        <v>480.8</v>
      </c>
      <c r="VH12" s="523">
        <v>1.8268</v>
      </c>
      <c r="VI12" s="523">
        <v>1.2548999999999999</v>
      </c>
      <c r="VJ12" s="508">
        <v>1.2803</v>
      </c>
      <c r="VK12" s="527">
        <v>151.19999999999999</v>
      </c>
      <c r="VL12" s="749"/>
      <c r="VM12" s="512">
        <v>8.7200000000000003E-3</v>
      </c>
      <c r="VN12" s="532">
        <v>484.5</v>
      </c>
      <c r="VO12" s="522">
        <v>1.8314999999999999</v>
      </c>
      <c r="VP12" s="508">
        <v>1.2728999999999999</v>
      </c>
      <c r="VQ12" s="523">
        <v>1.2873000000000001</v>
      </c>
      <c r="VR12" s="526">
        <v>151.30000000000001</v>
      </c>
      <c r="VS12" s="265">
        <v>120</v>
      </c>
      <c r="VU12" s="199">
        <v>125</v>
      </c>
      <c r="VV12" s="537">
        <v>8.1899999999999994E-3</v>
      </c>
      <c r="VW12" s="514">
        <v>488.3</v>
      </c>
      <c r="VX12" s="508">
        <v>1.8369</v>
      </c>
      <c r="VY12" s="508">
        <v>1.2884</v>
      </c>
      <c r="VZ12" s="339">
        <v>1.2926</v>
      </c>
      <c r="WA12" s="526">
        <v>151.69999999999999</v>
      </c>
      <c r="WB12" s="749"/>
      <c r="WC12" s="509">
        <v>7.4799999999999997E-3</v>
      </c>
      <c r="WD12" s="528">
        <v>485.7</v>
      </c>
      <c r="WE12" s="536">
        <v>1.8264</v>
      </c>
      <c r="WF12" s="508">
        <v>1.3299000000000001</v>
      </c>
      <c r="WG12" s="536">
        <v>1.3236000000000001</v>
      </c>
      <c r="WH12" s="526">
        <v>148.9</v>
      </c>
      <c r="WI12" s="194">
        <v>125</v>
      </c>
      <c r="WK12" s="199">
        <v>130</v>
      </c>
      <c r="WL12" s="509">
        <v>7.1000000000000004E-3</v>
      </c>
      <c r="WM12" s="514">
        <v>489.7</v>
      </c>
      <c r="WN12" s="508">
        <v>1.8329</v>
      </c>
      <c r="WO12" s="536">
        <v>1.3411</v>
      </c>
      <c r="WP12" s="508">
        <v>1.3254999999999999</v>
      </c>
      <c r="WQ12" s="526">
        <v>149.6</v>
      </c>
      <c r="WR12" s="749"/>
      <c r="WS12" s="509">
        <v>6.7799999999999996E-3</v>
      </c>
      <c r="WT12" s="528">
        <v>494</v>
      </c>
      <c r="WU12" s="536">
        <v>1.8399000000000001</v>
      </c>
      <c r="WV12" s="508">
        <v>1.3499000000000001</v>
      </c>
      <c r="WW12" s="536">
        <v>1.3258000000000001</v>
      </c>
      <c r="WX12" s="530">
        <v>150.5</v>
      </c>
      <c r="WY12" s="194">
        <v>135</v>
      </c>
      <c r="WZ12" s="400"/>
      <c r="XA12" s="264">
        <v>135</v>
      </c>
      <c r="XB12" s="512">
        <v>6.2599999999999999E-3</v>
      </c>
      <c r="XC12" s="514">
        <v>491.4</v>
      </c>
      <c r="XD12" s="523">
        <v>1.8306</v>
      </c>
      <c r="XE12" s="522">
        <v>1.3915</v>
      </c>
      <c r="XF12" s="508">
        <v>1.3569</v>
      </c>
      <c r="XG12" s="526">
        <v>148.1</v>
      </c>
      <c r="XH12" s="749"/>
      <c r="XI12" s="512">
        <v>6.0299999999999998E-3</v>
      </c>
      <c r="XJ12" s="528">
        <v>495.9</v>
      </c>
      <c r="XK12" s="522">
        <v>1.8385</v>
      </c>
      <c r="XL12" s="523">
        <v>1.395</v>
      </c>
      <c r="XM12" s="522">
        <v>1.353</v>
      </c>
      <c r="XN12" s="526">
        <v>149.4</v>
      </c>
      <c r="XO12" s="257">
        <v>140</v>
      </c>
      <c r="XP12" s="179"/>
    </row>
    <row r="13" spans="1:640" ht="15.75" thickBot="1" x14ac:dyDescent="0.3">
      <c r="A13" s="235">
        <v>-25</v>
      </c>
      <c r="B13" s="365">
        <v>2.01207</v>
      </c>
      <c r="C13" s="368">
        <v>387</v>
      </c>
      <c r="D13" s="360">
        <v>1.9496</v>
      </c>
      <c r="E13" s="360">
        <v>0.74509999999999998</v>
      </c>
      <c r="F13" s="360">
        <v>1.1262000000000001</v>
      </c>
      <c r="G13" s="172">
        <v>150.30000000000001</v>
      </c>
      <c r="H13" s="266"/>
      <c r="I13" s="365">
        <v>1.0449299999999999</v>
      </c>
      <c r="J13" s="374">
        <v>394.2</v>
      </c>
      <c r="K13" s="360">
        <v>1.9220999999999999</v>
      </c>
      <c r="L13" s="358">
        <v>0.76690000000000003</v>
      </c>
      <c r="M13" s="360">
        <v>1.1244000000000001</v>
      </c>
      <c r="N13" s="378">
        <v>152.69999999999999</v>
      </c>
      <c r="O13" s="379">
        <v>-15</v>
      </c>
      <c r="P13" s="238"/>
      <c r="Q13" s="246">
        <v>-5</v>
      </c>
      <c r="R13" s="363">
        <v>0.72202</v>
      </c>
      <c r="S13" s="368">
        <v>401.7</v>
      </c>
      <c r="T13" s="358">
        <v>1.9177999999999999</v>
      </c>
      <c r="U13" s="358">
        <v>0.78739999999999999</v>
      </c>
      <c r="V13" s="339">
        <v>1.1223000000000001</v>
      </c>
      <c r="W13" s="368">
        <v>155.19999999999999</v>
      </c>
      <c r="X13" s="266"/>
      <c r="Y13" s="384">
        <v>0.55035999999999996</v>
      </c>
      <c r="Z13" s="374">
        <v>405.4</v>
      </c>
      <c r="AA13" s="358">
        <v>1.9083000000000001</v>
      </c>
      <c r="AB13" s="358">
        <v>0.79879999999999995</v>
      </c>
      <c r="AC13" s="358">
        <v>1.1218999999999999</v>
      </c>
      <c r="AD13" s="368">
        <v>156.19999999999999</v>
      </c>
      <c r="AE13" s="283">
        <v>0</v>
      </c>
      <c r="AF13" s="37"/>
      <c r="AG13" s="243">
        <v>0</v>
      </c>
      <c r="AH13" s="393">
        <v>0.43897999999999998</v>
      </c>
      <c r="AI13" s="396">
        <v>405.2</v>
      </c>
      <c r="AJ13" s="401">
        <v>1.8895</v>
      </c>
      <c r="AK13" s="334">
        <v>0.80169999999999997</v>
      </c>
      <c r="AL13" s="401">
        <v>1.1235999999999999</v>
      </c>
      <c r="AM13" s="406">
        <v>155.9</v>
      </c>
      <c r="AN13" s="731"/>
      <c r="AO13" s="340">
        <v>0.37189</v>
      </c>
      <c r="AP13" s="397">
        <v>409</v>
      </c>
      <c r="AQ13" s="334">
        <v>1.8887</v>
      </c>
      <c r="AR13" s="334">
        <v>0.81240000000000001</v>
      </c>
      <c r="AS13" s="401">
        <v>1.123</v>
      </c>
      <c r="AT13" s="407">
        <v>157</v>
      </c>
      <c r="AU13" s="240">
        <v>5</v>
      </c>
      <c r="AV13" s="37"/>
      <c r="AW13" s="281">
        <v>10</v>
      </c>
      <c r="AX13" s="409">
        <v>0.32394000000000001</v>
      </c>
      <c r="AY13" s="396">
        <v>412.9</v>
      </c>
      <c r="AZ13" s="416">
        <v>1.8900999999999999</v>
      </c>
      <c r="BA13" s="415">
        <v>0.82269999999999999</v>
      </c>
      <c r="BB13" s="419">
        <v>1.1223000000000001</v>
      </c>
      <c r="BC13" s="394">
        <v>158.1</v>
      </c>
      <c r="BD13" s="731"/>
      <c r="BE13" s="409">
        <v>0.28272999999999998</v>
      </c>
      <c r="BF13" s="397">
        <v>412.6</v>
      </c>
      <c r="BG13" s="415">
        <v>1.8786</v>
      </c>
      <c r="BH13" s="334">
        <v>0.82520000000000004</v>
      </c>
      <c r="BI13" s="416">
        <v>1.1237999999999999</v>
      </c>
      <c r="BJ13" s="396">
        <v>157.80000000000001</v>
      </c>
      <c r="BK13" s="240">
        <v>10</v>
      </c>
      <c r="BL13" s="37"/>
      <c r="BM13" s="243">
        <v>15</v>
      </c>
      <c r="BN13" s="409">
        <v>0.25548999999999999</v>
      </c>
      <c r="BO13" s="396">
        <v>416.6</v>
      </c>
      <c r="BP13" s="424">
        <v>1.883</v>
      </c>
      <c r="BQ13" s="415">
        <v>0.83499999999999996</v>
      </c>
      <c r="BR13" s="334">
        <v>1.1229</v>
      </c>
      <c r="BS13" s="396">
        <v>159</v>
      </c>
      <c r="BT13" s="731"/>
      <c r="BU13" s="409">
        <v>0.22941</v>
      </c>
      <c r="BV13" s="397">
        <v>416.4</v>
      </c>
      <c r="BW13" s="415">
        <v>1.8738999999999999</v>
      </c>
      <c r="BX13" s="334">
        <v>0.83730000000000004</v>
      </c>
      <c r="BY13" s="415">
        <v>1.1243000000000001</v>
      </c>
      <c r="BZ13" s="397">
        <v>158.69999999999999</v>
      </c>
      <c r="CA13" s="240">
        <v>15</v>
      </c>
      <c r="CC13" s="243">
        <v>15</v>
      </c>
      <c r="CD13" s="340">
        <v>0.2263</v>
      </c>
      <c r="CE13" s="396">
        <v>416.3</v>
      </c>
      <c r="CF13" s="426">
        <v>1.8727</v>
      </c>
      <c r="CG13" s="334">
        <v>0.8377</v>
      </c>
      <c r="CH13" s="426">
        <v>1.1244000000000001</v>
      </c>
      <c r="CI13" s="396">
        <v>158.6</v>
      </c>
      <c r="CJ13" s="731"/>
      <c r="CK13" s="340">
        <v>0.21199999999999999</v>
      </c>
      <c r="CL13" s="397">
        <v>420.4</v>
      </c>
      <c r="CM13" s="334">
        <v>1.8801000000000001</v>
      </c>
      <c r="CN13" s="334">
        <v>0.84670000000000001</v>
      </c>
      <c r="CO13" s="334">
        <v>1.1231</v>
      </c>
      <c r="CP13" s="396">
        <v>159.9</v>
      </c>
      <c r="CQ13" s="240">
        <v>20</v>
      </c>
      <c r="CS13" s="243">
        <v>20</v>
      </c>
      <c r="CT13" s="340">
        <v>0.19386999999999999</v>
      </c>
      <c r="CU13" s="396">
        <v>420.2</v>
      </c>
      <c r="CV13" s="422">
        <v>1.8725000000000001</v>
      </c>
      <c r="CW13" s="334">
        <v>0.84889999999999999</v>
      </c>
      <c r="CX13" s="334">
        <v>1.1245000000000001</v>
      </c>
      <c r="CY13" s="449">
        <v>159.6</v>
      </c>
      <c r="CZ13" s="731"/>
      <c r="DA13" s="340">
        <v>0.17857000000000001</v>
      </c>
      <c r="DB13" s="397">
        <v>420</v>
      </c>
      <c r="DC13" s="339">
        <v>1.8653999999999999</v>
      </c>
      <c r="DD13" s="334">
        <v>0.85109999999999997</v>
      </c>
      <c r="DE13" s="444">
        <v>1.1257999999999999</v>
      </c>
      <c r="DF13" s="449">
        <v>159.30000000000001</v>
      </c>
      <c r="DG13" s="240">
        <v>20</v>
      </c>
      <c r="DI13" s="243">
        <v>25</v>
      </c>
      <c r="DJ13" s="409">
        <v>0.16858000000000001</v>
      </c>
      <c r="DK13" s="396">
        <v>424.1</v>
      </c>
      <c r="DL13" s="455">
        <v>1.8734</v>
      </c>
      <c r="DM13" s="415">
        <v>0.8599</v>
      </c>
      <c r="DN13" s="444">
        <v>1.1245000000000001</v>
      </c>
      <c r="DO13" s="396">
        <v>160.5</v>
      </c>
      <c r="DP13" s="731"/>
      <c r="DQ13" s="453">
        <v>0.15701000000000001</v>
      </c>
      <c r="DR13" s="397">
        <v>423.9</v>
      </c>
      <c r="DS13" s="415">
        <v>1.8673</v>
      </c>
      <c r="DT13" s="415">
        <v>0.86199999999999999</v>
      </c>
      <c r="DU13" s="455">
        <v>1.1256999999999999</v>
      </c>
      <c r="DV13" s="396">
        <v>160.19999999999999</v>
      </c>
      <c r="DW13" s="240">
        <v>25</v>
      </c>
      <c r="DY13" s="247">
        <v>25</v>
      </c>
      <c r="DZ13" s="463">
        <v>0.14685999999999999</v>
      </c>
      <c r="EA13" s="467">
        <v>423.7</v>
      </c>
      <c r="EB13" s="470">
        <v>1.8615999999999999</v>
      </c>
      <c r="EC13" s="470">
        <v>0.86409999999999998</v>
      </c>
      <c r="ED13" s="470">
        <v>1.127</v>
      </c>
      <c r="EE13" s="465">
        <v>160</v>
      </c>
      <c r="EF13" s="731"/>
      <c r="EG13" s="464">
        <v>0.14055000000000001</v>
      </c>
      <c r="EH13" s="476">
        <v>427.8</v>
      </c>
      <c r="EI13" s="471">
        <v>1.8706</v>
      </c>
      <c r="EJ13" s="473">
        <v>0.87239999999999995</v>
      </c>
      <c r="EK13" s="459">
        <v>1.1254</v>
      </c>
      <c r="EL13" s="478">
        <v>161.19999999999999</v>
      </c>
      <c r="EM13" s="248">
        <v>30</v>
      </c>
      <c r="EO13" s="247">
        <v>30</v>
      </c>
      <c r="EP13" s="460">
        <v>0.13247</v>
      </c>
      <c r="EQ13" s="467">
        <v>427.6</v>
      </c>
      <c r="ER13" s="459">
        <v>1.8654999999999999</v>
      </c>
      <c r="ES13" s="459">
        <v>0.87439999999999996</v>
      </c>
      <c r="ET13" s="459">
        <v>1.1266</v>
      </c>
      <c r="EU13" s="467">
        <v>160.9</v>
      </c>
      <c r="EV13" s="731"/>
      <c r="EW13" s="474">
        <v>0.12525</v>
      </c>
      <c r="EX13" s="478">
        <v>427.5</v>
      </c>
      <c r="EY13" s="473">
        <v>1.8606</v>
      </c>
      <c r="EZ13" s="473">
        <v>0.87639999999999996</v>
      </c>
      <c r="FA13" s="473">
        <v>1.1277999999999999</v>
      </c>
      <c r="FB13" s="467">
        <v>160.69999999999999</v>
      </c>
      <c r="FC13" s="248">
        <v>30</v>
      </c>
      <c r="FE13" s="243">
        <v>30</v>
      </c>
      <c r="FF13" s="340">
        <v>0.11874</v>
      </c>
      <c r="FG13" s="396">
        <v>427.3</v>
      </c>
      <c r="FH13" s="334">
        <v>1.8560000000000001</v>
      </c>
      <c r="FI13" s="334">
        <v>0.87839999999999996</v>
      </c>
      <c r="FJ13" s="491">
        <v>1.1291</v>
      </c>
      <c r="FK13" s="396">
        <v>160.4</v>
      </c>
      <c r="FL13" s="731"/>
      <c r="FM13" s="340">
        <v>0.11501</v>
      </c>
      <c r="FN13" s="397">
        <v>431.5</v>
      </c>
      <c r="FO13" s="334">
        <v>1.8660000000000001</v>
      </c>
      <c r="FP13" s="334">
        <v>0.88619999999999999</v>
      </c>
      <c r="FQ13" s="334">
        <v>1.1272</v>
      </c>
      <c r="FR13" s="397">
        <v>161.69999999999999</v>
      </c>
      <c r="FS13" s="240">
        <v>30</v>
      </c>
      <c r="FU13" s="243">
        <v>35</v>
      </c>
      <c r="FV13" s="409">
        <v>0.10957</v>
      </c>
      <c r="FW13" s="396">
        <v>431.3</v>
      </c>
      <c r="FX13" s="499">
        <v>1.8617999999999999</v>
      </c>
      <c r="FY13" s="415">
        <v>0.88800000000000001</v>
      </c>
      <c r="FZ13" s="492">
        <v>1.1284000000000001</v>
      </c>
      <c r="GA13" s="396">
        <v>161.5</v>
      </c>
      <c r="GB13" s="731"/>
      <c r="GC13" s="409">
        <v>0.10459</v>
      </c>
      <c r="GD13" s="397">
        <v>431.2</v>
      </c>
      <c r="GE13" s="415">
        <v>1.8577999999999999</v>
      </c>
      <c r="GF13" s="415">
        <v>0.89</v>
      </c>
      <c r="GG13" s="415">
        <v>1.1295999999999999</v>
      </c>
      <c r="GH13" s="396">
        <v>161.19999999999999</v>
      </c>
      <c r="GI13" s="240">
        <v>35</v>
      </c>
      <c r="GK13" s="243">
        <v>35</v>
      </c>
      <c r="GL13" s="409">
        <v>0.10004</v>
      </c>
      <c r="GM13" s="404">
        <v>431</v>
      </c>
      <c r="GN13" s="415">
        <v>1.8539000000000001</v>
      </c>
      <c r="GO13" s="415">
        <v>0.89190000000000003</v>
      </c>
      <c r="GP13" s="334">
        <v>1.1307</v>
      </c>
      <c r="GQ13" s="396">
        <v>161</v>
      </c>
      <c r="GR13" s="731"/>
      <c r="GS13" s="409">
        <v>9.7680000000000003E-2</v>
      </c>
      <c r="GT13" s="397">
        <v>435.3</v>
      </c>
      <c r="GU13" s="241">
        <v>1.8645</v>
      </c>
      <c r="GV13" s="170">
        <v>0.89910000000000001</v>
      </c>
      <c r="GW13" s="241">
        <v>1.1287</v>
      </c>
      <c r="GX13" s="397">
        <v>162.30000000000001</v>
      </c>
      <c r="GY13" s="240">
        <v>40</v>
      </c>
      <c r="HA13" s="243">
        <v>40</v>
      </c>
      <c r="HB13" s="340">
        <v>9.375E-2</v>
      </c>
      <c r="HC13" s="501">
        <v>435.1</v>
      </c>
      <c r="HD13" s="334">
        <v>1.861</v>
      </c>
      <c r="HE13" s="334">
        <v>0.90090000000000003</v>
      </c>
      <c r="HF13" s="334">
        <v>1.1297999999999999</v>
      </c>
      <c r="HG13" s="396">
        <v>162</v>
      </c>
      <c r="HH13" s="731"/>
      <c r="HI13" s="340">
        <v>9.0109999999999996E-2</v>
      </c>
      <c r="HJ13" s="397">
        <v>434.9</v>
      </c>
      <c r="HK13" s="334">
        <v>1.8574999999999999</v>
      </c>
      <c r="HL13" s="334">
        <v>0.90269999999999995</v>
      </c>
      <c r="HM13" s="334">
        <v>1.1309</v>
      </c>
      <c r="HN13" s="396">
        <v>161.80000000000001</v>
      </c>
      <c r="HO13" s="240">
        <v>40</v>
      </c>
      <c r="HQ13" s="243">
        <v>40</v>
      </c>
      <c r="HR13" s="340">
        <v>8.6720000000000005E-2</v>
      </c>
      <c r="HS13" s="396">
        <v>434.8</v>
      </c>
      <c r="HT13" s="491">
        <v>1.8541000000000001</v>
      </c>
      <c r="HU13" s="334">
        <v>0.90449999999999997</v>
      </c>
      <c r="HV13" s="491">
        <v>1.1319999999999999</v>
      </c>
      <c r="HW13" s="396">
        <v>161.6</v>
      </c>
      <c r="HX13" s="731"/>
      <c r="HY13" s="340">
        <v>8.3580000000000002E-2</v>
      </c>
      <c r="HZ13" s="397">
        <v>434.6</v>
      </c>
      <c r="IA13" s="334">
        <v>1.8508</v>
      </c>
      <c r="IB13" s="334">
        <v>0.90639999999999998</v>
      </c>
      <c r="IC13" s="334">
        <v>1.1332</v>
      </c>
      <c r="ID13" s="397">
        <v>161.30000000000001</v>
      </c>
      <c r="IE13" s="240">
        <v>40</v>
      </c>
      <c r="IG13" s="243">
        <v>45</v>
      </c>
      <c r="IH13" s="409">
        <v>8.2189999999999999E-2</v>
      </c>
      <c r="II13" s="396">
        <v>439</v>
      </c>
      <c r="IJ13" s="415">
        <v>1.8621000000000001</v>
      </c>
      <c r="IK13" s="415">
        <v>0.91300000000000003</v>
      </c>
      <c r="IL13" s="334">
        <v>1.1309</v>
      </c>
      <c r="IM13" s="489">
        <v>162.69999999999999</v>
      </c>
      <c r="IN13" s="731"/>
      <c r="IO13" s="409">
        <v>7.9390000000000002E-2</v>
      </c>
      <c r="IP13" s="397">
        <v>438.8</v>
      </c>
      <c r="IQ13" s="500">
        <v>1.859</v>
      </c>
      <c r="IR13" s="415">
        <v>0.91469999999999996</v>
      </c>
      <c r="IS13" s="415">
        <v>1.1318999999999999</v>
      </c>
      <c r="IT13" s="489">
        <v>162.4</v>
      </c>
      <c r="IU13" s="240">
        <v>45</v>
      </c>
      <c r="IW13" s="254">
        <v>45</v>
      </c>
      <c r="IX13" s="511">
        <v>7.6780000000000001E-2</v>
      </c>
      <c r="IY13" s="514">
        <v>438.7</v>
      </c>
      <c r="IZ13" s="523">
        <v>1.8561000000000001</v>
      </c>
      <c r="JA13" s="522">
        <v>0.91649999999999998</v>
      </c>
      <c r="JB13" s="522">
        <v>1.133</v>
      </c>
      <c r="JC13" s="526">
        <v>162.19999999999999</v>
      </c>
      <c r="JD13" s="731"/>
      <c r="JE13" s="511">
        <v>7.4319999999999997E-2</v>
      </c>
      <c r="JF13" s="528">
        <v>438.5</v>
      </c>
      <c r="JG13" s="523">
        <v>1.8532</v>
      </c>
      <c r="JH13" s="536">
        <v>0.91820000000000002</v>
      </c>
      <c r="JI13" s="523">
        <v>1.1341000000000001</v>
      </c>
      <c r="JJ13" s="530">
        <v>162</v>
      </c>
      <c r="JK13" s="265">
        <v>45</v>
      </c>
      <c r="JM13" s="264">
        <v>45</v>
      </c>
      <c r="JN13" s="537">
        <v>7.1999999999999995E-2</v>
      </c>
      <c r="JO13" s="514">
        <v>438.3</v>
      </c>
      <c r="JP13" s="536">
        <v>1.8504</v>
      </c>
      <c r="JQ13" s="536">
        <v>0.92</v>
      </c>
      <c r="JR13" s="508">
        <v>1.1352</v>
      </c>
      <c r="JS13" s="526">
        <v>161.80000000000001</v>
      </c>
      <c r="JT13" s="731"/>
      <c r="JU13" s="537">
        <v>7.1160000000000001E-2</v>
      </c>
      <c r="JV13" s="528">
        <v>442.8</v>
      </c>
      <c r="JW13" s="536">
        <v>1.8620000000000001</v>
      </c>
      <c r="JX13" s="508">
        <v>0.92610000000000003</v>
      </c>
      <c r="JY13" s="508">
        <v>1.1327</v>
      </c>
      <c r="JZ13" s="526">
        <v>163.1</v>
      </c>
      <c r="KA13" s="194">
        <v>50</v>
      </c>
      <c r="KC13" s="176">
        <v>50</v>
      </c>
      <c r="KD13" s="340">
        <v>6.9070000000000006E-2</v>
      </c>
      <c r="KE13" s="540">
        <v>442.6</v>
      </c>
      <c r="KF13" s="196">
        <v>1.8593999999999999</v>
      </c>
      <c r="KG13" s="170">
        <v>0.92779999999999996</v>
      </c>
      <c r="KH13" s="196">
        <v>1.1336999999999999</v>
      </c>
      <c r="KI13" s="540">
        <v>162.9</v>
      </c>
      <c r="KJ13" s="731"/>
      <c r="KK13" s="340">
        <v>6.7080000000000001E-2</v>
      </c>
      <c r="KL13" s="397">
        <v>442.5</v>
      </c>
      <c r="KM13" s="334">
        <v>1.8568</v>
      </c>
      <c r="KN13" s="334">
        <v>0.9294</v>
      </c>
      <c r="KO13" s="541">
        <v>1.1347</v>
      </c>
      <c r="KP13" s="540">
        <v>162.69999999999999</v>
      </c>
      <c r="KQ13" s="260">
        <v>50</v>
      </c>
      <c r="KS13" s="243">
        <v>50</v>
      </c>
      <c r="KT13" s="409">
        <v>6.5210000000000004E-2</v>
      </c>
      <c r="KU13" s="543">
        <v>442.3</v>
      </c>
      <c r="KV13" s="546">
        <v>1.8542000000000001</v>
      </c>
      <c r="KW13" s="415">
        <v>0.93110000000000004</v>
      </c>
      <c r="KX13" s="541">
        <v>1.1357999999999999</v>
      </c>
      <c r="KY13" s="543">
        <v>162.5</v>
      </c>
      <c r="KZ13" s="731"/>
      <c r="LA13" s="340">
        <v>6.3420000000000004E-2</v>
      </c>
      <c r="LB13" s="397">
        <v>442.1</v>
      </c>
      <c r="LC13" s="415">
        <v>1.8516999999999999</v>
      </c>
      <c r="LD13" s="415">
        <v>0.93279999999999996</v>
      </c>
      <c r="LE13" s="415">
        <v>1.1368</v>
      </c>
      <c r="LF13" s="540">
        <v>162.30000000000001</v>
      </c>
      <c r="LG13" s="240">
        <v>50</v>
      </c>
      <c r="LI13" s="254">
        <v>50</v>
      </c>
      <c r="LJ13" s="512">
        <v>6.1719999999999997E-2</v>
      </c>
      <c r="LK13" s="514">
        <v>442</v>
      </c>
      <c r="LL13" s="523">
        <v>1.8492999999999999</v>
      </c>
      <c r="LM13" s="523">
        <v>0.9345</v>
      </c>
      <c r="LN13" s="523">
        <v>1.1378999999999999</v>
      </c>
      <c r="LO13" s="526">
        <v>162</v>
      </c>
      <c r="LP13" s="731"/>
      <c r="LQ13" s="511">
        <v>5.8990000000000001E-2</v>
      </c>
      <c r="LR13" s="528">
        <v>446.3</v>
      </c>
      <c r="LS13" s="522">
        <v>1.8579000000000001</v>
      </c>
      <c r="LT13" s="508">
        <v>0.94240000000000002</v>
      </c>
      <c r="LU13" s="508">
        <v>1.1366000000000001</v>
      </c>
      <c r="LV13" s="526">
        <v>163.19999999999999</v>
      </c>
      <c r="LW13" s="257">
        <v>55</v>
      </c>
      <c r="LY13" s="193">
        <v>55</v>
      </c>
      <c r="LZ13" s="509">
        <v>5.5480000000000002E-2</v>
      </c>
      <c r="MA13" s="514">
        <v>445.9</v>
      </c>
      <c r="MB13" s="508">
        <v>1.8524</v>
      </c>
      <c r="MC13" s="508">
        <v>0.94640000000000002</v>
      </c>
      <c r="MD13" s="508">
        <v>1.1391</v>
      </c>
      <c r="ME13" s="526">
        <v>162.6</v>
      </c>
      <c r="MF13" s="731"/>
      <c r="MG13" s="537">
        <v>5.2339999999999998E-2</v>
      </c>
      <c r="MH13" s="528">
        <v>445.5</v>
      </c>
      <c r="MI13" s="192">
        <v>1.8471</v>
      </c>
      <c r="MJ13" s="191">
        <v>0.95050000000000001</v>
      </c>
      <c r="MK13" s="191">
        <v>1.1417999999999999</v>
      </c>
      <c r="ML13" s="514">
        <v>162.1</v>
      </c>
      <c r="MM13" s="194">
        <v>55</v>
      </c>
      <c r="MO13" s="176">
        <v>60</v>
      </c>
      <c r="MP13" s="340">
        <v>5.0500000000000003E-2</v>
      </c>
      <c r="MQ13" s="563">
        <v>449.9</v>
      </c>
      <c r="MR13" s="334">
        <v>1.8565</v>
      </c>
      <c r="MS13" s="334">
        <v>0.9577</v>
      </c>
      <c r="MT13" s="335">
        <v>1.1399999999999999</v>
      </c>
      <c r="MU13" s="396">
        <v>163.30000000000001</v>
      </c>
      <c r="MV13" s="731"/>
      <c r="MW13" s="340">
        <v>4.7899999999999998E-2</v>
      </c>
      <c r="MX13" s="397">
        <v>449.5</v>
      </c>
      <c r="MY13" s="334">
        <v>1.8516999999999999</v>
      </c>
      <c r="MZ13" s="334">
        <v>0.96160000000000001</v>
      </c>
      <c r="NA13" s="334">
        <v>1.1425000000000001</v>
      </c>
      <c r="NB13" s="397">
        <v>162.69999999999999</v>
      </c>
      <c r="NC13" s="260">
        <v>60</v>
      </c>
      <c r="NE13" s="243">
        <v>60</v>
      </c>
      <c r="NF13" s="409">
        <v>4.5539999999999997E-2</v>
      </c>
      <c r="NG13" s="396">
        <v>449.2</v>
      </c>
      <c r="NH13" s="415">
        <v>1.847</v>
      </c>
      <c r="NI13" s="415">
        <v>0.96560000000000001</v>
      </c>
      <c r="NJ13" s="335">
        <v>1.1451</v>
      </c>
      <c r="NK13" s="396">
        <v>162.19999999999999</v>
      </c>
      <c r="NL13" s="731"/>
      <c r="NM13" s="409">
        <v>4.4249999999999998E-2</v>
      </c>
      <c r="NN13" s="397">
        <v>453.6</v>
      </c>
      <c r="NO13" s="415">
        <v>1.857</v>
      </c>
      <c r="NP13" s="334">
        <v>0.97209999999999996</v>
      </c>
      <c r="NQ13" s="415">
        <v>1.143</v>
      </c>
      <c r="NR13" s="396">
        <v>163.5</v>
      </c>
      <c r="NS13" s="240">
        <v>65</v>
      </c>
      <c r="NU13" s="254">
        <v>65</v>
      </c>
      <c r="NV13" s="511">
        <v>4.224E-2</v>
      </c>
      <c r="NW13" s="476">
        <v>453.3</v>
      </c>
      <c r="NX13" s="470">
        <v>1.8527</v>
      </c>
      <c r="NY13" s="470">
        <v>0.97589999999999999</v>
      </c>
      <c r="NZ13" s="459">
        <v>1.1455</v>
      </c>
      <c r="OA13" s="476">
        <v>163</v>
      </c>
      <c r="OB13" s="731"/>
      <c r="OC13" s="511">
        <v>4.0399999999999998E-2</v>
      </c>
      <c r="OD13" s="528">
        <v>452.9</v>
      </c>
      <c r="OE13" s="574">
        <v>1.8486</v>
      </c>
      <c r="OF13" s="459">
        <v>0.97970000000000002</v>
      </c>
      <c r="OG13" s="575">
        <v>1.1479999999999999</v>
      </c>
      <c r="OH13" s="476">
        <v>162.5</v>
      </c>
      <c r="OI13" s="257">
        <v>65</v>
      </c>
      <c r="OK13" s="193">
        <v>65</v>
      </c>
      <c r="OL13" s="537">
        <v>3.8690000000000002E-2</v>
      </c>
      <c r="OM13" s="468">
        <v>452.5</v>
      </c>
      <c r="ON13" s="459">
        <v>1.8446</v>
      </c>
      <c r="OO13" s="536">
        <v>0.98360000000000003</v>
      </c>
      <c r="OP13" s="459">
        <v>1.1505000000000001</v>
      </c>
      <c r="OQ13" s="476">
        <v>162</v>
      </c>
      <c r="OR13" s="731"/>
      <c r="OS13" s="537">
        <v>3.7870000000000001E-2</v>
      </c>
      <c r="OT13" s="528">
        <v>457.1</v>
      </c>
      <c r="OU13" s="459">
        <v>1.8552</v>
      </c>
      <c r="OV13" s="536">
        <v>0.98919999999999997</v>
      </c>
      <c r="OW13" s="459">
        <v>1.1478999999999999</v>
      </c>
      <c r="OX13" s="528">
        <v>163.30000000000001</v>
      </c>
      <c r="OY13" s="258">
        <v>70</v>
      </c>
      <c r="PA13" s="176">
        <v>70</v>
      </c>
      <c r="PB13" s="340">
        <v>3.6380000000000003E-2</v>
      </c>
      <c r="PC13" s="396">
        <v>456.7</v>
      </c>
      <c r="PD13" s="334">
        <v>1.8514999999999999</v>
      </c>
      <c r="PE13" s="334">
        <v>0.9929</v>
      </c>
      <c r="PF13" s="334">
        <v>1.1504000000000001</v>
      </c>
      <c r="PG13" s="542">
        <v>162.80000000000001</v>
      </c>
      <c r="PH13" s="731"/>
      <c r="PI13" s="340">
        <v>3.5000000000000003E-2</v>
      </c>
      <c r="PJ13" s="397">
        <v>456.4</v>
      </c>
      <c r="PK13" s="541">
        <v>1.8478000000000001</v>
      </c>
      <c r="PL13" s="334">
        <v>0.99670000000000003</v>
      </c>
      <c r="PM13" s="334">
        <v>1.1529</v>
      </c>
      <c r="PN13" s="542">
        <v>162.30000000000001</v>
      </c>
      <c r="PO13" s="260">
        <v>70</v>
      </c>
      <c r="PQ13" s="243">
        <v>70</v>
      </c>
      <c r="PR13" s="409">
        <v>3.3700000000000001E-2</v>
      </c>
      <c r="PS13" s="396">
        <v>456</v>
      </c>
      <c r="PT13" s="429">
        <v>1.8443000000000001</v>
      </c>
      <c r="PU13" s="415">
        <v>1.0004999999999999</v>
      </c>
      <c r="PV13" s="334">
        <v>1.1554</v>
      </c>
      <c r="PW13" s="540">
        <v>161.80000000000001</v>
      </c>
      <c r="PX13" s="731"/>
      <c r="PY13" s="409">
        <v>3.202E-2</v>
      </c>
      <c r="PZ13" s="397">
        <v>460.4</v>
      </c>
      <c r="QA13" s="415">
        <v>1.8520000000000001</v>
      </c>
      <c r="QB13" s="415">
        <v>1.0089999999999999</v>
      </c>
      <c r="QC13" s="415">
        <v>1.1548</v>
      </c>
      <c r="QD13" s="396">
        <v>162.69999999999999</v>
      </c>
      <c r="QE13" s="240">
        <v>75</v>
      </c>
      <c r="QG13" s="254">
        <v>75</v>
      </c>
      <c r="QH13" s="512">
        <v>2.9909999999999999E-2</v>
      </c>
      <c r="QI13" s="514">
        <v>459.7</v>
      </c>
      <c r="QJ13" s="523">
        <v>1.8455999999999999</v>
      </c>
      <c r="QK13" s="523">
        <v>1.0164</v>
      </c>
      <c r="QL13" s="523">
        <v>1.1597999999999999</v>
      </c>
      <c r="QM13" s="526">
        <v>161.80000000000001</v>
      </c>
      <c r="QN13" s="731"/>
      <c r="QO13" s="511">
        <v>2.8639999999999999E-2</v>
      </c>
      <c r="QP13" s="534">
        <v>464.1</v>
      </c>
      <c r="QQ13" s="255">
        <v>1.8540000000000001</v>
      </c>
      <c r="QR13" s="191">
        <v>1.024</v>
      </c>
      <c r="QS13" s="256">
        <v>1.1586000000000001</v>
      </c>
      <c r="QT13" s="517">
        <v>162.80000000000001</v>
      </c>
      <c r="QU13" s="257">
        <v>80</v>
      </c>
      <c r="QW13" s="193">
        <v>80</v>
      </c>
      <c r="QX13" s="509">
        <v>2.6939999999999999E-2</v>
      </c>
      <c r="QY13" s="517">
        <v>463.4</v>
      </c>
      <c r="QZ13" s="508">
        <v>1.8481000000000001</v>
      </c>
      <c r="RA13" s="508">
        <v>1.0313000000000001</v>
      </c>
      <c r="RB13" s="508">
        <v>1.1635</v>
      </c>
      <c r="RC13" s="526">
        <v>161.9</v>
      </c>
      <c r="RD13" s="731"/>
      <c r="RE13" s="537">
        <v>2.5409999999999999E-2</v>
      </c>
      <c r="RF13" s="530">
        <v>462.7</v>
      </c>
      <c r="RG13" s="536">
        <v>1.8425</v>
      </c>
      <c r="RH13" s="536">
        <v>1.0387999999999999</v>
      </c>
      <c r="RI13" s="508">
        <v>1.1687000000000001</v>
      </c>
      <c r="RJ13" s="514">
        <v>160.9</v>
      </c>
      <c r="RK13" s="194">
        <v>80</v>
      </c>
      <c r="RM13" s="176">
        <v>85</v>
      </c>
      <c r="RN13" s="340">
        <v>2.3269999999999999E-2</v>
      </c>
      <c r="RO13" s="396">
        <v>466.6</v>
      </c>
      <c r="RP13" s="491">
        <v>1.8465</v>
      </c>
      <c r="RQ13" s="334">
        <v>1.0525</v>
      </c>
      <c r="RR13" s="491">
        <v>1.1718</v>
      </c>
      <c r="RS13" s="489">
        <v>161.19999999999999</v>
      </c>
      <c r="RT13" s="731"/>
      <c r="RU13" s="490">
        <v>2.1510000000000001E-2</v>
      </c>
      <c r="RV13" s="397">
        <v>470.5</v>
      </c>
      <c r="RW13" s="334">
        <v>1.8512999999999999</v>
      </c>
      <c r="RX13" s="334">
        <v>1.0651999999999999</v>
      </c>
      <c r="RY13" s="334">
        <v>1.1742999999999999</v>
      </c>
      <c r="RZ13" s="397">
        <v>161.5</v>
      </c>
      <c r="SA13" s="260">
        <v>90</v>
      </c>
      <c r="SC13" s="243">
        <v>90</v>
      </c>
      <c r="SD13" s="409">
        <v>1.959E-2</v>
      </c>
      <c r="SE13" s="396">
        <v>469.2</v>
      </c>
      <c r="SF13" s="499">
        <v>1.8420000000000001</v>
      </c>
      <c r="SG13" s="415">
        <v>1.0801000000000001</v>
      </c>
      <c r="SH13" s="500">
        <v>1.1847000000000001</v>
      </c>
      <c r="SI13" s="396">
        <v>159.80000000000001</v>
      </c>
      <c r="SJ13" s="731"/>
      <c r="SK13" s="409">
        <v>1.8360000000000001E-2</v>
      </c>
      <c r="SL13" s="176">
        <v>473.3</v>
      </c>
      <c r="SM13" s="500">
        <v>1.8481000000000001</v>
      </c>
      <c r="SN13" s="415">
        <v>1.0912999999999999</v>
      </c>
      <c r="SO13" s="415">
        <v>1.1862999999999999</v>
      </c>
      <c r="SP13" s="190">
        <v>160.19999999999999</v>
      </c>
      <c r="SQ13" s="240">
        <v>95</v>
      </c>
      <c r="SS13" s="268">
        <v>100</v>
      </c>
      <c r="ST13" s="409">
        <v>1.7309999999999999E-2</v>
      </c>
      <c r="SU13" s="170">
        <v>477.5</v>
      </c>
      <c r="SV13" s="499">
        <v>1.8546</v>
      </c>
      <c r="SW13" s="499">
        <v>1.1015999999999999</v>
      </c>
      <c r="SX13" s="499">
        <v>1.1875</v>
      </c>
      <c r="SY13" s="190">
        <v>160.80000000000001</v>
      </c>
      <c r="SZ13" s="731"/>
      <c r="TA13" s="409">
        <v>1.602E-2</v>
      </c>
      <c r="TB13" s="397">
        <v>476.2</v>
      </c>
      <c r="TC13" s="415">
        <v>1.8467</v>
      </c>
      <c r="TD13" s="491">
        <v>1.1163000000000001</v>
      </c>
      <c r="TE13" s="334">
        <v>1.1978</v>
      </c>
      <c r="TF13" s="488">
        <v>159.19999999999999</v>
      </c>
      <c r="TG13" s="240">
        <v>100</v>
      </c>
      <c r="TI13" s="270">
        <v>105</v>
      </c>
      <c r="TJ13" s="340">
        <v>1.525E-2</v>
      </c>
      <c r="TK13" s="396">
        <v>480.6</v>
      </c>
      <c r="TL13" s="491">
        <v>1.8541000000000001</v>
      </c>
      <c r="TM13" s="491">
        <v>1.1252</v>
      </c>
      <c r="TN13" s="491">
        <v>1.198</v>
      </c>
      <c r="TO13" s="489">
        <v>159.9</v>
      </c>
      <c r="TP13" s="731"/>
      <c r="TQ13" s="340">
        <v>1.422E-2</v>
      </c>
      <c r="TR13" s="397">
        <v>479.3</v>
      </c>
      <c r="TS13" s="334">
        <v>1.8469</v>
      </c>
      <c r="TT13" s="491">
        <v>1.1400999999999999</v>
      </c>
      <c r="TU13" s="334">
        <v>1.2087000000000001</v>
      </c>
      <c r="TV13" s="489">
        <v>158.4</v>
      </c>
      <c r="TW13" s="260">
        <v>105</v>
      </c>
      <c r="TY13" s="270">
        <v>110</v>
      </c>
      <c r="TZ13" s="474">
        <v>1.3639999999999999E-2</v>
      </c>
      <c r="UA13" s="467">
        <v>483.8</v>
      </c>
      <c r="UB13" s="491">
        <v>1.855</v>
      </c>
      <c r="UC13" s="473">
        <v>1.1475</v>
      </c>
      <c r="UD13" s="610">
        <v>1.2078</v>
      </c>
      <c r="UE13" s="489">
        <v>159.30000000000001</v>
      </c>
      <c r="UF13" s="749"/>
      <c r="UG13" s="474">
        <v>1.2789999999999999E-2</v>
      </c>
      <c r="UH13" s="478">
        <v>482.6</v>
      </c>
      <c r="UI13" s="473">
        <v>1.8483000000000001</v>
      </c>
      <c r="UJ13" s="610">
        <v>1.1625000000000001</v>
      </c>
      <c r="UK13" s="473">
        <v>1.2185999999999999</v>
      </c>
      <c r="UL13" s="488">
        <v>157.69999999999999</v>
      </c>
      <c r="UM13" s="310">
        <v>110</v>
      </c>
      <c r="UO13" s="247">
        <v>115</v>
      </c>
      <c r="UP13" s="464">
        <v>1.1639999999999999E-2</v>
      </c>
      <c r="UQ13" s="467">
        <v>485.9</v>
      </c>
      <c r="UR13" s="499">
        <v>1.8508</v>
      </c>
      <c r="US13" s="499">
        <v>1.1834</v>
      </c>
      <c r="UT13" s="491">
        <v>1.2276</v>
      </c>
      <c r="UU13" s="489">
        <v>157.30000000000001</v>
      </c>
      <c r="UV13" s="749"/>
      <c r="UW13" s="464">
        <v>1.0699999999999999E-2</v>
      </c>
      <c r="UX13" s="478">
        <v>489.5</v>
      </c>
      <c r="UY13" s="499">
        <v>1.8541000000000001</v>
      </c>
      <c r="UZ13" s="471">
        <v>1.2025999999999999</v>
      </c>
      <c r="VA13" s="471">
        <v>1.2355</v>
      </c>
      <c r="VB13" s="489">
        <v>157.1</v>
      </c>
      <c r="VC13" s="248">
        <v>120</v>
      </c>
      <c r="VE13" s="254">
        <v>120</v>
      </c>
      <c r="VF13" s="511">
        <v>9.6399999999999993E-3</v>
      </c>
      <c r="VG13" s="514">
        <v>487</v>
      </c>
      <c r="VH13" s="523">
        <v>1.8427</v>
      </c>
      <c r="VI13" s="523">
        <v>1.2354000000000001</v>
      </c>
      <c r="VJ13" s="508">
        <v>1.2595000000000001</v>
      </c>
      <c r="VK13" s="527">
        <v>154.19999999999999</v>
      </c>
      <c r="VL13" s="749"/>
      <c r="VM13" s="512">
        <v>8.9899999999999997E-3</v>
      </c>
      <c r="VN13" s="534">
        <v>490.8</v>
      </c>
      <c r="VO13" s="522">
        <v>1.8473999999999999</v>
      </c>
      <c r="VP13" s="391">
        <v>1.2521</v>
      </c>
      <c r="VQ13" s="522">
        <v>1.2657</v>
      </c>
      <c r="VR13" s="526">
        <v>154.4</v>
      </c>
      <c r="VS13" s="257">
        <v>125</v>
      </c>
      <c r="VU13" s="199">
        <v>130</v>
      </c>
      <c r="VV13" s="509">
        <v>8.4499999999999992E-3</v>
      </c>
      <c r="VW13" s="514">
        <v>494.7</v>
      </c>
      <c r="VX13" s="508">
        <v>1.8528</v>
      </c>
      <c r="VY13" s="508">
        <v>1.2668999999999999</v>
      </c>
      <c r="VZ13" s="391">
        <v>1.2704</v>
      </c>
      <c r="WA13" s="526">
        <v>154.69999999999999</v>
      </c>
      <c r="WB13" s="749"/>
      <c r="WC13" s="509">
        <v>7.7299999999999999E-3</v>
      </c>
      <c r="WD13" s="530">
        <v>492.2</v>
      </c>
      <c r="WE13" s="536">
        <v>1.8428</v>
      </c>
      <c r="WF13" s="508">
        <v>1.3017000000000001</v>
      </c>
      <c r="WG13" s="536">
        <v>1.2962</v>
      </c>
      <c r="WH13" s="526">
        <v>152.19999999999999</v>
      </c>
      <c r="WI13" s="194">
        <v>130</v>
      </c>
      <c r="WK13" s="199">
        <v>135</v>
      </c>
      <c r="WL13" s="509">
        <v>7.3400000000000002E-3</v>
      </c>
      <c r="WM13" s="514">
        <v>496.4</v>
      </c>
      <c r="WN13" s="508">
        <v>1.8492999999999999</v>
      </c>
      <c r="WO13" s="536">
        <v>1.3128</v>
      </c>
      <c r="WP13" s="492">
        <v>1.2982</v>
      </c>
      <c r="WQ13" s="526">
        <v>152.9</v>
      </c>
      <c r="WR13" s="749"/>
      <c r="WS13" s="509">
        <v>7.0000000000000001E-3</v>
      </c>
      <c r="WT13" s="528">
        <v>500.6</v>
      </c>
      <c r="WU13" s="536">
        <v>1.8561000000000001</v>
      </c>
      <c r="WV13" s="508">
        <v>1.3220000000000001</v>
      </c>
      <c r="WW13" s="536">
        <v>1.2988999999999999</v>
      </c>
      <c r="WX13" s="530">
        <v>153.80000000000001</v>
      </c>
      <c r="WY13" s="194">
        <v>140</v>
      </c>
      <c r="WZ13" s="400"/>
      <c r="XA13" s="264">
        <v>140</v>
      </c>
      <c r="XB13" s="512">
        <v>6.4900000000000001E-3</v>
      </c>
      <c r="XC13" s="514">
        <v>498.3</v>
      </c>
      <c r="XD13" s="523">
        <v>1.8472999999999999</v>
      </c>
      <c r="XE13" s="523">
        <v>1.3566</v>
      </c>
      <c r="XF13" s="508">
        <v>1.3245</v>
      </c>
      <c r="XG13" s="526">
        <v>151.6</v>
      </c>
      <c r="XH13" s="749"/>
      <c r="XI13" s="511">
        <v>6.2399999999999999E-3</v>
      </c>
      <c r="XJ13" s="528">
        <v>502.8</v>
      </c>
      <c r="XK13" s="523">
        <v>1.855</v>
      </c>
      <c r="XL13" s="522">
        <v>1.3614999999999999</v>
      </c>
      <c r="XM13" s="522">
        <v>1.3219000000000001</v>
      </c>
      <c r="XN13" s="526">
        <v>152.80000000000001</v>
      </c>
      <c r="XO13" s="257">
        <v>145</v>
      </c>
      <c r="XP13" s="182"/>
    </row>
    <row r="14" spans="1:640" ht="15" customHeight="1" thickBot="1" x14ac:dyDescent="0.3">
      <c r="A14" s="235">
        <v>-20</v>
      </c>
      <c r="B14" s="365">
        <v>2.0533899999999998</v>
      </c>
      <c r="C14" s="368">
        <v>390.7</v>
      </c>
      <c r="D14" s="360">
        <v>1.9645999999999999</v>
      </c>
      <c r="E14" s="360">
        <v>0.75409999999999999</v>
      </c>
      <c r="F14" s="360">
        <v>1.1242000000000001</v>
      </c>
      <c r="G14" s="172">
        <v>151.69999999999999</v>
      </c>
      <c r="H14" s="266"/>
      <c r="I14" s="365">
        <v>1.0649599999999999</v>
      </c>
      <c r="J14" s="374">
        <v>398.1</v>
      </c>
      <c r="K14" s="360">
        <v>1.9369000000000001</v>
      </c>
      <c r="L14" s="358">
        <v>0.77559999999999996</v>
      </c>
      <c r="M14" s="360">
        <v>1.1224000000000001</v>
      </c>
      <c r="N14" s="377">
        <v>154.1</v>
      </c>
      <c r="O14" s="379">
        <v>-10</v>
      </c>
      <c r="P14" s="238"/>
      <c r="Q14" s="282">
        <v>0</v>
      </c>
      <c r="R14" s="363">
        <v>0.73584000000000005</v>
      </c>
      <c r="S14" s="368">
        <v>405.7</v>
      </c>
      <c r="T14" s="358">
        <v>1.9323999999999999</v>
      </c>
      <c r="U14" s="358">
        <v>0.79590000000000005</v>
      </c>
      <c r="V14" s="391" t="s">
        <v>130</v>
      </c>
      <c r="W14" s="368">
        <v>156.6</v>
      </c>
      <c r="X14" s="266"/>
      <c r="Y14" s="384">
        <v>0.56084999999999996</v>
      </c>
      <c r="Z14" s="374">
        <v>409.4</v>
      </c>
      <c r="AA14" s="358">
        <v>1.9229000000000001</v>
      </c>
      <c r="AB14" s="358">
        <v>0.80700000000000005</v>
      </c>
      <c r="AC14" s="358">
        <v>1.1198999999999999</v>
      </c>
      <c r="AD14" s="368">
        <v>157.69999999999999</v>
      </c>
      <c r="AE14" s="283">
        <v>5</v>
      </c>
      <c r="AF14" s="37"/>
      <c r="AG14" s="243">
        <v>5</v>
      </c>
      <c r="AH14" s="340">
        <v>0.44742999999999999</v>
      </c>
      <c r="AI14" s="394">
        <v>409.2</v>
      </c>
      <c r="AJ14" s="401">
        <v>1.9040999999999999</v>
      </c>
      <c r="AK14" s="334">
        <v>0.80969999999999998</v>
      </c>
      <c r="AL14" s="401">
        <v>1.1214999999999999</v>
      </c>
      <c r="AM14" s="406">
        <v>157.30000000000001</v>
      </c>
      <c r="AN14" s="731"/>
      <c r="AO14" s="393">
        <v>0.37892999999999999</v>
      </c>
      <c r="AP14" s="407">
        <v>413.1</v>
      </c>
      <c r="AQ14" s="334">
        <v>1.9032</v>
      </c>
      <c r="AR14" s="334">
        <v>0.82020000000000004</v>
      </c>
      <c r="AS14" s="401">
        <v>1.1208</v>
      </c>
      <c r="AT14" s="397">
        <v>158.4</v>
      </c>
      <c r="AU14" s="240">
        <v>10</v>
      </c>
      <c r="AV14" s="37"/>
      <c r="AW14" s="281">
        <v>15</v>
      </c>
      <c r="AX14" s="409">
        <v>0.33002999999999999</v>
      </c>
      <c r="AY14" s="396">
        <v>477</v>
      </c>
      <c r="AZ14" s="416">
        <v>1.9045000000000001</v>
      </c>
      <c r="BA14" s="415">
        <v>0.83030000000000004</v>
      </c>
      <c r="BB14" s="416">
        <v>1.1201000000000001</v>
      </c>
      <c r="BC14" s="396">
        <v>159.6</v>
      </c>
      <c r="BD14" s="731"/>
      <c r="BE14" s="409">
        <v>0.28810000000000002</v>
      </c>
      <c r="BF14" s="397">
        <v>416.8</v>
      </c>
      <c r="BG14" s="415">
        <v>1.8931</v>
      </c>
      <c r="BH14" s="334">
        <v>0.83260000000000001</v>
      </c>
      <c r="BI14" s="416">
        <v>1.1214999999999999</v>
      </c>
      <c r="BJ14" s="396">
        <v>159.30000000000001</v>
      </c>
      <c r="BK14" s="240">
        <v>15</v>
      </c>
      <c r="BL14" s="37"/>
      <c r="BM14" s="243">
        <v>20</v>
      </c>
      <c r="BN14" s="409">
        <v>0.26028000000000001</v>
      </c>
      <c r="BO14" s="396">
        <v>420.8</v>
      </c>
      <c r="BP14" s="415">
        <v>1.8974</v>
      </c>
      <c r="BQ14" s="415">
        <v>0.84230000000000005</v>
      </c>
      <c r="BR14" s="334">
        <v>1.1206</v>
      </c>
      <c r="BS14" s="396">
        <v>160.4</v>
      </c>
      <c r="BT14" s="731"/>
      <c r="BU14" s="409">
        <v>0.23369999999999999</v>
      </c>
      <c r="BV14" s="397">
        <v>420.6</v>
      </c>
      <c r="BW14" s="415">
        <v>1.8883000000000001</v>
      </c>
      <c r="BX14" s="334">
        <v>0.84450000000000003</v>
      </c>
      <c r="BY14" s="415">
        <v>1.1217999999999999</v>
      </c>
      <c r="BZ14" s="397">
        <v>160.1</v>
      </c>
      <c r="CA14" s="240">
        <v>20</v>
      </c>
      <c r="CC14" s="243">
        <v>20</v>
      </c>
      <c r="CD14" s="340">
        <v>0.23057</v>
      </c>
      <c r="CE14" s="396">
        <v>420.5</v>
      </c>
      <c r="CF14" s="334">
        <v>1.8872</v>
      </c>
      <c r="CG14" s="334">
        <v>0.8448</v>
      </c>
      <c r="CH14" s="334">
        <v>1.1220000000000001</v>
      </c>
      <c r="CI14" s="396">
        <v>160.1</v>
      </c>
      <c r="CJ14" s="731"/>
      <c r="CK14" s="340">
        <v>0.21598000000000001</v>
      </c>
      <c r="CL14" s="397">
        <v>424.6</v>
      </c>
      <c r="CM14" s="334">
        <v>1.8945000000000001</v>
      </c>
      <c r="CN14" s="334">
        <v>0.8538</v>
      </c>
      <c r="CO14" s="334">
        <v>1.1208</v>
      </c>
      <c r="CP14" s="396">
        <v>161.30000000000001</v>
      </c>
      <c r="CQ14" s="240">
        <v>25</v>
      </c>
      <c r="CS14" s="243">
        <v>25</v>
      </c>
      <c r="CT14" s="340">
        <v>0.19750999999999999</v>
      </c>
      <c r="CU14" s="442">
        <v>424.4</v>
      </c>
      <c r="CV14" s="444">
        <v>1.8869</v>
      </c>
      <c r="CW14" s="334">
        <v>0.85580000000000001</v>
      </c>
      <c r="CX14" s="444">
        <v>1.1220000000000001</v>
      </c>
      <c r="CY14" s="442">
        <v>161</v>
      </c>
      <c r="CZ14" s="731"/>
      <c r="DA14" s="440">
        <v>0.18195</v>
      </c>
      <c r="DB14" s="449">
        <v>424.2</v>
      </c>
      <c r="DC14" s="334">
        <v>1.8798999999999999</v>
      </c>
      <c r="DD14" s="334">
        <v>0.85780000000000001</v>
      </c>
      <c r="DE14" s="444">
        <v>1.1232</v>
      </c>
      <c r="DF14" s="397">
        <v>160.80000000000001</v>
      </c>
      <c r="DG14" s="240">
        <v>25</v>
      </c>
      <c r="DI14" s="243">
        <v>30</v>
      </c>
      <c r="DJ14" s="409">
        <v>0.17172999999999999</v>
      </c>
      <c r="DK14" s="396">
        <v>428.4</v>
      </c>
      <c r="DL14" s="455">
        <v>1.8876999999999999</v>
      </c>
      <c r="DM14" s="415">
        <v>0.86660000000000004</v>
      </c>
      <c r="DN14" s="444">
        <v>1.1218999999999999</v>
      </c>
      <c r="DO14" s="396">
        <v>162</v>
      </c>
      <c r="DP14" s="731"/>
      <c r="DQ14" s="409">
        <v>0.15995000000000001</v>
      </c>
      <c r="DR14" s="397">
        <v>428.2</v>
      </c>
      <c r="DS14" s="415">
        <v>1.8816999999999999</v>
      </c>
      <c r="DT14" s="415">
        <v>0.86850000000000005</v>
      </c>
      <c r="DU14" s="455">
        <v>1.1231</v>
      </c>
      <c r="DV14" s="396">
        <v>161.69999999999999</v>
      </c>
      <c r="DW14" s="240">
        <v>30</v>
      </c>
      <c r="DY14" s="247">
        <v>30</v>
      </c>
      <c r="DZ14" s="464">
        <v>0.14965999999999999</v>
      </c>
      <c r="EA14" s="467">
        <v>428</v>
      </c>
      <c r="EB14" s="470">
        <v>1.8759999999999999</v>
      </c>
      <c r="EC14" s="470">
        <v>0.87050000000000005</v>
      </c>
      <c r="ED14" s="470">
        <v>1.1242000000000001</v>
      </c>
      <c r="EE14" s="465">
        <v>161.5</v>
      </c>
      <c r="EF14" s="731"/>
      <c r="EG14" s="464">
        <v>0.14316000000000001</v>
      </c>
      <c r="EH14" s="476">
        <v>432.2</v>
      </c>
      <c r="EI14" s="471">
        <v>1.8849</v>
      </c>
      <c r="EJ14" s="459">
        <v>0.87880000000000003</v>
      </c>
      <c r="EK14" s="459">
        <v>1.1228</v>
      </c>
      <c r="EL14" s="478">
        <v>162.69999999999999</v>
      </c>
      <c r="EM14" s="248">
        <v>35</v>
      </c>
      <c r="EO14" s="247">
        <v>35</v>
      </c>
      <c r="EP14" s="460">
        <v>0.13494999999999999</v>
      </c>
      <c r="EQ14" s="467">
        <v>432</v>
      </c>
      <c r="ER14" s="459">
        <v>1.8797999999999999</v>
      </c>
      <c r="ES14" s="459">
        <v>0.88060000000000005</v>
      </c>
      <c r="ET14" s="459">
        <v>1.1238999999999999</v>
      </c>
      <c r="EU14" s="465">
        <v>162.4</v>
      </c>
      <c r="EV14" s="731"/>
      <c r="EW14" s="474">
        <v>0.12759999999999999</v>
      </c>
      <c r="EX14" s="478">
        <v>431.9</v>
      </c>
      <c r="EY14" s="473">
        <v>1.875</v>
      </c>
      <c r="EZ14" s="459">
        <v>0.88239999999999996</v>
      </c>
      <c r="FA14" s="459">
        <v>1.125</v>
      </c>
      <c r="FB14" s="467">
        <v>162.19999999999999</v>
      </c>
      <c r="FC14" s="248">
        <v>35</v>
      </c>
      <c r="FE14" s="243">
        <v>35</v>
      </c>
      <c r="FF14" s="340">
        <v>0.12099</v>
      </c>
      <c r="FG14" s="396">
        <v>431.7</v>
      </c>
      <c r="FH14" s="491">
        <v>1.8704000000000001</v>
      </c>
      <c r="FI14" s="334">
        <v>0.88429999999999997</v>
      </c>
      <c r="FJ14" s="491">
        <v>1.1261000000000001</v>
      </c>
      <c r="FK14" s="396">
        <v>162</v>
      </c>
      <c r="FL14" s="731"/>
      <c r="FM14" s="340">
        <v>0.11715</v>
      </c>
      <c r="FN14" s="397">
        <v>435.9</v>
      </c>
      <c r="FO14" s="334">
        <v>1.8803000000000001</v>
      </c>
      <c r="FP14" s="334">
        <v>0.8921</v>
      </c>
      <c r="FQ14" s="334">
        <v>1.1244000000000001</v>
      </c>
      <c r="FR14" s="397">
        <v>163.19999999999999</v>
      </c>
      <c r="FS14" s="240">
        <v>35</v>
      </c>
      <c r="FU14" s="243">
        <v>40</v>
      </c>
      <c r="FV14" s="409">
        <v>0.11162</v>
      </c>
      <c r="FW14" s="396">
        <v>435.8</v>
      </c>
      <c r="FX14" s="499">
        <v>1.8762000000000001</v>
      </c>
      <c r="FY14" s="415">
        <v>0.89380000000000004</v>
      </c>
      <c r="FZ14" s="491">
        <v>1.1254999999999999</v>
      </c>
      <c r="GA14" s="396">
        <v>163</v>
      </c>
      <c r="GB14" s="731"/>
      <c r="GC14" s="409">
        <v>0.10656</v>
      </c>
      <c r="GD14" s="397">
        <v>435.6</v>
      </c>
      <c r="GE14" s="415">
        <v>1.8721000000000001</v>
      </c>
      <c r="GF14" s="415">
        <v>0.89559999999999995</v>
      </c>
      <c r="GG14" s="415">
        <v>1.1265000000000001</v>
      </c>
      <c r="GH14" s="396">
        <v>162.69999999999999</v>
      </c>
      <c r="GI14" s="240">
        <v>40</v>
      </c>
      <c r="GK14" s="243">
        <v>40</v>
      </c>
      <c r="GL14" s="409">
        <v>0.10194</v>
      </c>
      <c r="GM14" s="404">
        <v>435.4</v>
      </c>
      <c r="GN14" s="415">
        <v>1.8683000000000001</v>
      </c>
      <c r="GO14" s="415">
        <v>0.89729999999999999</v>
      </c>
      <c r="GP14" s="334">
        <v>1.1275999999999999</v>
      </c>
      <c r="GQ14" s="396">
        <v>162.5</v>
      </c>
      <c r="GR14" s="731"/>
      <c r="GS14" s="409">
        <v>9.9510000000000001E-2</v>
      </c>
      <c r="GT14" s="397">
        <v>439.8</v>
      </c>
      <c r="GU14" s="241">
        <v>1.8788</v>
      </c>
      <c r="GV14" s="170">
        <v>0.90469999999999995</v>
      </c>
      <c r="GW14" s="241">
        <v>1.1256999999999999</v>
      </c>
      <c r="GX14" s="397">
        <v>163.80000000000001</v>
      </c>
      <c r="GY14" s="240">
        <v>45</v>
      </c>
      <c r="HA14" s="243">
        <v>45</v>
      </c>
      <c r="HB14" s="340">
        <v>9.5500000000000002E-2</v>
      </c>
      <c r="HC14" s="390">
        <v>439.6</v>
      </c>
      <c r="HD14" s="334">
        <v>1.8753</v>
      </c>
      <c r="HE14" s="334">
        <v>0.90629999999999999</v>
      </c>
      <c r="HF14" s="334">
        <v>1.1267</v>
      </c>
      <c r="HG14" s="396">
        <v>163.6</v>
      </c>
      <c r="HH14" s="731"/>
      <c r="HI14" s="340">
        <v>9.1869999999999993E-2</v>
      </c>
      <c r="HJ14" s="397">
        <v>439.5</v>
      </c>
      <c r="HK14" s="334">
        <v>1.8717999999999999</v>
      </c>
      <c r="HL14" s="334">
        <v>0.90800000000000003</v>
      </c>
      <c r="HM14" s="334">
        <v>1.1276999999999999</v>
      </c>
      <c r="HN14" s="396">
        <v>163.4</v>
      </c>
      <c r="HO14" s="284">
        <v>45</v>
      </c>
      <c r="HQ14" s="243">
        <v>45</v>
      </c>
      <c r="HR14" s="340">
        <v>8.8370000000000004E-2</v>
      </c>
      <c r="HS14" s="396">
        <v>439.3</v>
      </c>
      <c r="HT14" s="334">
        <v>1.8685</v>
      </c>
      <c r="HU14" s="334">
        <v>0.90959999999999996</v>
      </c>
      <c r="HV14" s="334">
        <v>1.1288</v>
      </c>
      <c r="HW14" s="488">
        <v>163.1</v>
      </c>
      <c r="HX14" s="731"/>
      <c r="HY14" s="340">
        <v>8.5169999999999996E-2</v>
      </c>
      <c r="HZ14" s="397">
        <v>439.1</v>
      </c>
      <c r="IA14" s="492">
        <v>1.8652</v>
      </c>
      <c r="IB14" s="334">
        <v>0.9113</v>
      </c>
      <c r="IC14" s="334">
        <v>1.1297999999999999</v>
      </c>
      <c r="ID14" s="397">
        <v>162.9</v>
      </c>
      <c r="IE14" s="240">
        <v>45</v>
      </c>
      <c r="IG14" s="243">
        <v>50</v>
      </c>
      <c r="IH14" s="409">
        <v>8.3720000000000003E-2</v>
      </c>
      <c r="II14" s="396">
        <v>443.6</v>
      </c>
      <c r="IJ14" s="499">
        <v>1.8764000000000001</v>
      </c>
      <c r="IK14" s="415">
        <v>0.91810000000000003</v>
      </c>
      <c r="IL14" s="492">
        <v>1.1276999999999999</v>
      </c>
      <c r="IM14" s="396">
        <v>164.2</v>
      </c>
      <c r="IN14" s="731"/>
      <c r="IO14" s="409">
        <v>8.09E-2</v>
      </c>
      <c r="IP14" s="397">
        <v>443.4</v>
      </c>
      <c r="IQ14" s="415">
        <v>1.8734</v>
      </c>
      <c r="IR14" s="415">
        <v>0.91969999999999996</v>
      </c>
      <c r="IS14" s="415">
        <v>1.1287</v>
      </c>
      <c r="IT14" s="396">
        <v>164</v>
      </c>
      <c r="IU14" s="240">
        <v>50</v>
      </c>
      <c r="IW14" s="254">
        <v>50</v>
      </c>
      <c r="IX14" s="512">
        <v>7.8240000000000004E-2</v>
      </c>
      <c r="IY14" s="514">
        <v>443.2</v>
      </c>
      <c r="IZ14" s="523">
        <v>1.8704000000000001</v>
      </c>
      <c r="JA14" s="523">
        <v>0.92130000000000001</v>
      </c>
      <c r="JB14" s="523">
        <v>1.1295999999999999</v>
      </c>
      <c r="JC14" s="526">
        <v>163.80000000000001</v>
      </c>
      <c r="JD14" s="731"/>
      <c r="JE14" s="511">
        <v>7.5740000000000002E-2</v>
      </c>
      <c r="JF14" s="528">
        <v>443.1</v>
      </c>
      <c r="JG14" s="522">
        <v>1.8674999999999999</v>
      </c>
      <c r="JH14" s="508">
        <v>0.92290000000000005</v>
      </c>
      <c r="JI14" s="523">
        <v>1.1306</v>
      </c>
      <c r="JJ14" s="530">
        <v>163.6</v>
      </c>
      <c r="JK14" s="257">
        <v>50</v>
      </c>
      <c r="JM14" s="254">
        <v>50</v>
      </c>
      <c r="JN14" s="509">
        <v>7.3389999999999997E-2</v>
      </c>
      <c r="JO14" s="514">
        <v>442.9</v>
      </c>
      <c r="JP14" s="508">
        <v>1.8648</v>
      </c>
      <c r="JQ14" s="508">
        <v>0.92449999999999999</v>
      </c>
      <c r="JR14" s="508">
        <v>1.1315999999999999</v>
      </c>
      <c r="JS14" s="526">
        <v>163.4</v>
      </c>
      <c r="JT14" s="731"/>
      <c r="JU14" s="537">
        <v>7.2499999999999995E-2</v>
      </c>
      <c r="JV14" s="528">
        <v>447.4</v>
      </c>
      <c r="JW14" s="536">
        <v>1.8763000000000001</v>
      </c>
      <c r="JX14" s="508">
        <v>0.93089999999999995</v>
      </c>
      <c r="JY14" s="508">
        <v>1.1293</v>
      </c>
      <c r="JZ14" s="514">
        <v>164.7</v>
      </c>
      <c r="KA14" s="194">
        <v>55</v>
      </c>
      <c r="KC14" s="176">
        <v>55</v>
      </c>
      <c r="KD14" s="340">
        <v>7.0370000000000002E-2</v>
      </c>
      <c r="KE14" s="540">
        <v>447.3</v>
      </c>
      <c r="KF14" s="196">
        <v>1.8735999999999999</v>
      </c>
      <c r="KG14" s="170">
        <v>0.93240000000000001</v>
      </c>
      <c r="KH14" s="196">
        <v>1.1302000000000001</v>
      </c>
      <c r="KI14" s="540">
        <v>164.5</v>
      </c>
      <c r="KJ14" s="731"/>
      <c r="KK14" s="340">
        <v>6.8360000000000004E-2</v>
      </c>
      <c r="KL14" s="397">
        <v>447.1</v>
      </c>
      <c r="KM14" s="334">
        <v>1.8711</v>
      </c>
      <c r="KN14" s="334">
        <v>0.93389999999999995</v>
      </c>
      <c r="KO14" s="334">
        <v>1.1312</v>
      </c>
      <c r="KP14" s="540">
        <v>164.3</v>
      </c>
      <c r="KQ14" s="260">
        <v>55</v>
      </c>
      <c r="KS14" s="243">
        <v>55</v>
      </c>
      <c r="KT14" s="409">
        <v>6.6449999999999995E-2</v>
      </c>
      <c r="KU14" s="404">
        <v>447</v>
      </c>
      <c r="KV14" s="546">
        <v>1.8686</v>
      </c>
      <c r="KW14" s="415">
        <v>0.93540000000000001</v>
      </c>
      <c r="KX14" s="541">
        <v>1.1321000000000001</v>
      </c>
      <c r="KY14" s="543">
        <v>164.1</v>
      </c>
      <c r="KZ14" s="731"/>
      <c r="LA14" s="340">
        <v>6.4649999999999999E-2</v>
      </c>
      <c r="LB14" s="397">
        <v>446.8</v>
      </c>
      <c r="LC14" s="415">
        <v>1.8661000000000001</v>
      </c>
      <c r="LD14" s="415">
        <v>0.93689999999999996</v>
      </c>
      <c r="LE14" s="415">
        <v>1.1331</v>
      </c>
      <c r="LF14" s="540">
        <v>163.9</v>
      </c>
      <c r="LG14" s="240">
        <v>55</v>
      </c>
      <c r="LI14" s="254">
        <v>55</v>
      </c>
      <c r="LJ14" s="512">
        <v>6.293E-2</v>
      </c>
      <c r="LK14" s="514">
        <v>446.7</v>
      </c>
      <c r="LL14" s="523">
        <v>1.8636999999999999</v>
      </c>
      <c r="LM14" s="523">
        <v>0.9385</v>
      </c>
      <c r="LN14" s="523">
        <v>1.1341000000000001</v>
      </c>
      <c r="LO14" s="526">
        <v>163.69999999999999</v>
      </c>
      <c r="LP14" s="731"/>
      <c r="LQ14" s="511">
        <v>6.0100000000000001E-2</v>
      </c>
      <c r="LR14" s="528">
        <v>451</v>
      </c>
      <c r="LS14" s="522">
        <v>1.8722000000000001</v>
      </c>
      <c r="LT14" s="508">
        <v>0.94650000000000001</v>
      </c>
      <c r="LU14" s="508">
        <v>1.1329</v>
      </c>
      <c r="LV14" s="526">
        <v>164.8</v>
      </c>
      <c r="LW14" s="257">
        <v>60</v>
      </c>
      <c r="LY14" s="193">
        <v>60</v>
      </c>
      <c r="LZ14" s="509">
        <v>5.6550000000000003E-2</v>
      </c>
      <c r="MA14" s="526">
        <v>450.6</v>
      </c>
      <c r="MB14" s="508">
        <v>1.8667</v>
      </c>
      <c r="MC14" s="508">
        <v>0.95020000000000004</v>
      </c>
      <c r="MD14" s="508">
        <v>1.1352</v>
      </c>
      <c r="ME14" s="526">
        <v>164.3</v>
      </c>
      <c r="MF14" s="731"/>
      <c r="MG14" s="537">
        <v>5.3359999999999998E-2</v>
      </c>
      <c r="MH14" s="530">
        <v>450.3</v>
      </c>
      <c r="MI14" s="191">
        <v>1.8614999999999999</v>
      </c>
      <c r="MJ14" s="191">
        <v>0.95389999999999997</v>
      </c>
      <c r="MK14" s="191">
        <v>1.1375999999999999</v>
      </c>
      <c r="ML14" s="514">
        <v>163.80000000000001</v>
      </c>
      <c r="MM14" s="194">
        <v>60</v>
      </c>
      <c r="MO14" s="176">
        <v>65</v>
      </c>
      <c r="MP14" s="340">
        <v>5.1470000000000002E-2</v>
      </c>
      <c r="MQ14" s="564">
        <v>454.7</v>
      </c>
      <c r="MR14" s="335">
        <v>1.8708</v>
      </c>
      <c r="MS14" s="334">
        <v>0.96120000000000005</v>
      </c>
      <c r="MT14" s="335">
        <v>1.1359999999999999</v>
      </c>
      <c r="MU14" s="396">
        <v>164.9</v>
      </c>
      <c r="MV14" s="731"/>
      <c r="MW14" s="340">
        <v>4.8840000000000001E-2</v>
      </c>
      <c r="MX14" s="397">
        <v>454.3</v>
      </c>
      <c r="MY14" s="334">
        <v>1.8660000000000001</v>
      </c>
      <c r="MZ14" s="334">
        <v>0.96479999999999999</v>
      </c>
      <c r="NA14" s="334">
        <v>1.1383000000000001</v>
      </c>
      <c r="NB14" s="397">
        <v>164.5</v>
      </c>
      <c r="NC14" s="260">
        <v>65</v>
      </c>
      <c r="NE14" s="243">
        <v>65</v>
      </c>
      <c r="NF14" s="409">
        <v>4.6440000000000002E-2</v>
      </c>
      <c r="NG14" s="396">
        <v>454</v>
      </c>
      <c r="NH14" s="415">
        <v>1.8613999999999999</v>
      </c>
      <c r="NI14" s="415">
        <v>0.96840000000000004</v>
      </c>
      <c r="NJ14" s="335">
        <v>1.1406000000000001</v>
      </c>
      <c r="NK14" s="396">
        <v>164</v>
      </c>
      <c r="NL14" s="731"/>
      <c r="NM14" s="409">
        <v>4.5109999999999997E-2</v>
      </c>
      <c r="NN14" s="397">
        <v>458.5</v>
      </c>
      <c r="NO14" s="568">
        <v>1.8713</v>
      </c>
      <c r="NP14" s="334">
        <v>0.97509999999999997</v>
      </c>
      <c r="NQ14" s="415">
        <v>1.1387</v>
      </c>
      <c r="NR14" s="396">
        <v>165.2</v>
      </c>
      <c r="NS14" s="240">
        <v>70</v>
      </c>
      <c r="NU14" s="254">
        <v>70</v>
      </c>
      <c r="NV14" s="511">
        <v>4.308E-2</v>
      </c>
      <c r="NW14" s="528">
        <v>458.1</v>
      </c>
      <c r="NX14" s="470">
        <v>1.8671</v>
      </c>
      <c r="NY14" s="522">
        <v>0.97860000000000003</v>
      </c>
      <c r="NZ14" s="459">
        <v>1.141</v>
      </c>
      <c r="OA14" s="528">
        <v>164.7</v>
      </c>
      <c r="OB14" s="731"/>
      <c r="OC14" s="511">
        <v>4.1209999999999997E-2</v>
      </c>
      <c r="OD14" s="528">
        <v>457.8</v>
      </c>
      <c r="OE14" s="575">
        <v>1.863</v>
      </c>
      <c r="OF14" s="536">
        <v>0.98199999999999998</v>
      </c>
      <c r="OG14" s="575">
        <v>1.1432</v>
      </c>
      <c r="OH14" s="528">
        <v>164.2</v>
      </c>
      <c r="OI14" s="257">
        <v>70</v>
      </c>
      <c r="OK14" s="193">
        <v>70</v>
      </c>
      <c r="OL14" s="537">
        <v>3.9480000000000001E-2</v>
      </c>
      <c r="OM14" s="479">
        <v>457.5</v>
      </c>
      <c r="ON14" s="459">
        <v>1.8591</v>
      </c>
      <c r="OO14" s="536">
        <v>0.98560000000000003</v>
      </c>
      <c r="OP14" s="459">
        <v>1.1456</v>
      </c>
      <c r="OQ14" s="528">
        <v>163.80000000000001</v>
      </c>
      <c r="OR14" s="731"/>
      <c r="OS14" s="537">
        <v>3.8620000000000002E-2</v>
      </c>
      <c r="OT14" s="528">
        <v>462.1</v>
      </c>
      <c r="OU14" s="459">
        <v>1.8694999999999999</v>
      </c>
      <c r="OV14" s="459">
        <v>0.99150000000000005</v>
      </c>
      <c r="OW14" s="459">
        <v>1.1432</v>
      </c>
      <c r="OX14" s="476">
        <v>165.1</v>
      </c>
      <c r="OY14" s="194">
        <v>75</v>
      </c>
      <c r="PA14" s="176">
        <v>75</v>
      </c>
      <c r="PB14" s="340">
        <v>3.7109999999999997E-2</v>
      </c>
      <c r="PC14" s="396">
        <v>461.7</v>
      </c>
      <c r="PD14" s="541">
        <v>1.8657999999999999</v>
      </c>
      <c r="PE14" s="334">
        <v>0.99490000000000001</v>
      </c>
      <c r="PF14" s="541">
        <v>1.1454</v>
      </c>
      <c r="PG14" s="396">
        <v>164.6</v>
      </c>
      <c r="PH14" s="731"/>
      <c r="PI14" s="340">
        <v>3.5709999999999999E-2</v>
      </c>
      <c r="PJ14" s="397">
        <v>461.4</v>
      </c>
      <c r="PK14" s="334">
        <v>1.8623000000000001</v>
      </c>
      <c r="PL14" s="334">
        <v>0.99829999999999997</v>
      </c>
      <c r="PM14" s="334">
        <v>1.1476999999999999</v>
      </c>
      <c r="PN14" s="397">
        <v>164.1</v>
      </c>
      <c r="PO14" s="260">
        <v>75</v>
      </c>
      <c r="PQ14" s="243">
        <v>75</v>
      </c>
      <c r="PR14" s="409">
        <v>3.4389999999999997E-2</v>
      </c>
      <c r="PS14" s="396">
        <v>461</v>
      </c>
      <c r="PT14" s="415">
        <v>1.8588</v>
      </c>
      <c r="PU14" s="415">
        <v>1.0018</v>
      </c>
      <c r="PV14" s="492" t="s">
        <v>135</v>
      </c>
      <c r="PW14" s="396">
        <v>163.69999999999999</v>
      </c>
      <c r="PX14" s="731"/>
      <c r="PY14" s="409">
        <v>3.2669999999999998E-2</v>
      </c>
      <c r="PZ14" s="397">
        <v>465.4</v>
      </c>
      <c r="QA14" s="415">
        <v>1.8664000000000001</v>
      </c>
      <c r="QB14" s="415">
        <v>1.0103</v>
      </c>
      <c r="QC14" s="415">
        <v>1.1494</v>
      </c>
      <c r="QD14" s="396">
        <v>164.6</v>
      </c>
      <c r="QE14" s="240">
        <v>80</v>
      </c>
      <c r="QG14" s="254">
        <v>80</v>
      </c>
      <c r="QH14" s="512">
        <v>3.0530000000000002E-2</v>
      </c>
      <c r="QI14" s="526">
        <v>464.7</v>
      </c>
      <c r="QJ14" s="523">
        <v>1.8601000000000001</v>
      </c>
      <c r="QK14" s="523">
        <v>1.0169999999999999</v>
      </c>
      <c r="QL14" s="523">
        <v>1.1538999999999999</v>
      </c>
      <c r="QM14" s="526">
        <v>163.69999999999999</v>
      </c>
      <c r="QN14" s="731"/>
      <c r="QO14" s="511">
        <v>2.9229999999999999E-2</v>
      </c>
      <c r="QP14" s="534">
        <v>469.2</v>
      </c>
      <c r="QQ14" s="255">
        <v>1.8684000000000001</v>
      </c>
      <c r="QR14" s="192">
        <v>1.0246999999999999</v>
      </c>
      <c r="QS14" s="256">
        <v>1.1529</v>
      </c>
      <c r="QT14" s="517">
        <v>164.7</v>
      </c>
      <c r="QU14" s="257">
        <v>85</v>
      </c>
      <c r="QW14" s="193">
        <v>85</v>
      </c>
      <c r="QX14" s="537">
        <v>2.751E-2</v>
      </c>
      <c r="QY14" s="517">
        <v>468.5</v>
      </c>
      <c r="QZ14" s="508">
        <v>1.8626</v>
      </c>
      <c r="RA14" s="508">
        <v>1.0313000000000001</v>
      </c>
      <c r="RB14" s="508">
        <v>1.1573</v>
      </c>
      <c r="RC14" s="526">
        <v>163.80000000000001</v>
      </c>
      <c r="RD14" s="731"/>
      <c r="RE14" s="537">
        <v>2.596E-2</v>
      </c>
      <c r="RF14" s="530">
        <v>467.9</v>
      </c>
      <c r="RG14" s="536">
        <v>1.8571</v>
      </c>
      <c r="RH14" s="536">
        <v>1.0381</v>
      </c>
      <c r="RI14" s="508">
        <v>1.1618999999999999</v>
      </c>
      <c r="RJ14" s="514">
        <v>162.9</v>
      </c>
      <c r="RK14" s="194">
        <v>85</v>
      </c>
      <c r="RM14" s="176">
        <v>90</v>
      </c>
      <c r="RN14" s="340">
        <v>2.3779999999999999E-2</v>
      </c>
      <c r="RO14" s="396">
        <v>471.8</v>
      </c>
      <c r="RP14" s="491">
        <v>1.8611</v>
      </c>
      <c r="RQ14" s="334">
        <v>1.0512999999999999</v>
      </c>
      <c r="RR14" s="491">
        <v>1.1648000000000001</v>
      </c>
      <c r="RS14" s="396">
        <v>163.19999999999999</v>
      </c>
      <c r="RT14" s="731"/>
      <c r="RU14" s="340">
        <v>2.1989999999999999E-2</v>
      </c>
      <c r="RV14" s="397">
        <v>475.8</v>
      </c>
      <c r="RW14" s="492">
        <v>1.8658999999999999</v>
      </c>
      <c r="RX14" s="334">
        <v>1.0636000000000001</v>
      </c>
      <c r="RY14" s="334">
        <v>1.1671</v>
      </c>
      <c r="RZ14" s="488">
        <v>163.6</v>
      </c>
      <c r="SA14" s="260">
        <v>95</v>
      </c>
      <c r="SC14" s="243">
        <v>95</v>
      </c>
      <c r="SD14" s="409">
        <v>2.0029999999999999E-2</v>
      </c>
      <c r="SE14" s="396">
        <v>474.6</v>
      </c>
      <c r="SF14" s="415">
        <v>1.8568</v>
      </c>
      <c r="SG14" s="415">
        <v>1.077</v>
      </c>
      <c r="SH14" s="415">
        <v>1.1762999999999999</v>
      </c>
      <c r="SI14" s="489">
        <v>161.9</v>
      </c>
      <c r="SJ14" s="731"/>
      <c r="SK14" s="409">
        <v>1.8780000000000002E-2</v>
      </c>
      <c r="SL14" s="176">
        <v>478.8</v>
      </c>
      <c r="SM14" s="415">
        <v>1.8628</v>
      </c>
      <c r="SN14" s="500">
        <v>1.0880000000000001</v>
      </c>
      <c r="SO14" s="415">
        <v>1.1778999999999999</v>
      </c>
      <c r="SP14" s="190">
        <v>162.4</v>
      </c>
      <c r="SQ14" s="240">
        <v>100</v>
      </c>
      <c r="SS14" s="268">
        <v>105</v>
      </c>
      <c r="ST14" s="409">
        <v>1.77E-2</v>
      </c>
      <c r="SU14" s="170">
        <v>483</v>
      </c>
      <c r="SV14" s="499">
        <v>1.8692</v>
      </c>
      <c r="SW14" s="499">
        <v>1.0982000000000001</v>
      </c>
      <c r="SX14" s="499">
        <v>1.179</v>
      </c>
      <c r="SY14" s="190">
        <v>163</v>
      </c>
      <c r="SZ14" s="731"/>
      <c r="TA14" s="409">
        <v>1.6400000000000001E-2</v>
      </c>
      <c r="TB14" s="397">
        <v>481.8</v>
      </c>
      <c r="TC14" s="415">
        <v>1.8615999999999999</v>
      </c>
      <c r="TD14" s="491">
        <v>1.1112</v>
      </c>
      <c r="TE14" s="334">
        <v>1.1880999999999999</v>
      </c>
      <c r="TF14" s="488">
        <v>161.5</v>
      </c>
      <c r="TG14" s="240">
        <v>105</v>
      </c>
      <c r="TI14" s="270">
        <v>110</v>
      </c>
      <c r="TJ14" s="340">
        <v>1.5610000000000001E-2</v>
      </c>
      <c r="TK14" s="396">
        <v>486.2</v>
      </c>
      <c r="TL14" s="491">
        <v>1.8689</v>
      </c>
      <c r="TM14" s="491">
        <v>1.1202000000000001</v>
      </c>
      <c r="TN14" s="491">
        <v>1.1883999999999999</v>
      </c>
      <c r="TO14" s="489">
        <v>162.30000000000001</v>
      </c>
      <c r="TP14" s="731"/>
      <c r="TQ14" s="340">
        <v>1.457E-2</v>
      </c>
      <c r="TR14" s="397">
        <v>485</v>
      </c>
      <c r="TS14" s="334">
        <v>1.8617999999999999</v>
      </c>
      <c r="TT14" s="491">
        <v>1.1334</v>
      </c>
      <c r="TU14" s="334">
        <v>1.1978</v>
      </c>
      <c r="TV14" s="489">
        <v>160.80000000000001</v>
      </c>
      <c r="TW14" s="260">
        <v>110</v>
      </c>
      <c r="TY14" s="185">
        <v>115</v>
      </c>
      <c r="TZ14" s="474">
        <v>1.397E-2</v>
      </c>
      <c r="UA14" s="467">
        <v>489.5</v>
      </c>
      <c r="UB14" s="491">
        <v>1.8697999999999999</v>
      </c>
      <c r="UC14" s="491">
        <v>1.1409</v>
      </c>
      <c r="UD14" s="610">
        <v>1.1971000000000001</v>
      </c>
      <c r="UE14" s="489">
        <v>161.69999999999999</v>
      </c>
      <c r="UF14" s="749"/>
      <c r="UG14" s="474">
        <v>1.312E-2</v>
      </c>
      <c r="UH14" s="478">
        <v>488.4</v>
      </c>
      <c r="UI14" s="473">
        <v>1.8633</v>
      </c>
      <c r="UJ14" s="610">
        <v>1.1541999999999999</v>
      </c>
      <c r="UK14" s="473">
        <v>1.2065999999999999</v>
      </c>
      <c r="UL14" s="488">
        <v>160.19999999999999</v>
      </c>
      <c r="UM14" s="310">
        <v>115</v>
      </c>
      <c r="UO14" s="247">
        <v>120</v>
      </c>
      <c r="UP14" s="464">
        <v>1.1950000000000001E-2</v>
      </c>
      <c r="UQ14" s="467">
        <v>491.8</v>
      </c>
      <c r="UR14" s="471">
        <v>1.8657999999999999</v>
      </c>
      <c r="US14" s="618">
        <v>1.1737</v>
      </c>
      <c r="UT14" s="473">
        <v>1.2144999999999999</v>
      </c>
      <c r="UU14" s="467">
        <v>159.9</v>
      </c>
      <c r="UV14" s="749"/>
      <c r="UW14" s="464">
        <v>1.098E-2</v>
      </c>
      <c r="UX14" s="478">
        <v>495.5</v>
      </c>
      <c r="UY14" s="471">
        <v>1.8692</v>
      </c>
      <c r="UZ14" s="622">
        <v>1.1917</v>
      </c>
      <c r="VA14" s="471">
        <v>1.2215</v>
      </c>
      <c r="VB14" s="489">
        <v>159.69999999999999</v>
      </c>
      <c r="VC14" s="248">
        <v>125</v>
      </c>
      <c r="VE14" s="264">
        <v>125</v>
      </c>
      <c r="VF14" s="512">
        <v>9.92E-3</v>
      </c>
      <c r="VG14" s="514">
        <v>493.2</v>
      </c>
      <c r="VH14" s="523">
        <v>1.8582000000000001</v>
      </c>
      <c r="VI14" s="523">
        <v>1.2201</v>
      </c>
      <c r="VJ14" s="508">
        <v>1.2422</v>
      </c>
      <c r="VK14" s="527">
        <v>157.1</v>
      </c>
      <c r="VL14" s="749"/>
      <c r="VM14" s="512">
        <v>9.2499999999999995E-3</v>
      </c>
      <c r="VN14" s="534">
        <v>497</v>
      </c>
      <c r="VO14" s="522">
        <v>1.863</v>
      </c>
      <c r="VP14" s="508">
        <v>1.2359</v>
      </c>
      <c r="VQ14" s="522">
        <v>1.2477</v>
      </c>
      <c r="VR14" s="526">
        <v>157.30000000000001</v>
      </c>
      <c r="VS14" s="257">
        <v>130</v>
      </c>
      <c r="VU14" s="199">
        <v>135</v>
      </c>
      <c r="VV14" s="509">
        <v>8.6899999999999998E-3</v>
      </c>
      <c r="VW14" s="514">
        <v>501</v>
      </c>
      <c r="VX14" s="508">
        <v>1.8683000000000001</v>
      </c>
      <c r="VY14" s="508">
        <v>1.25</v>
      </c>
      <c r="VZ14" s="508">
        <v>1.252</v>
      </c>
      <c r="WA14" s="377">
        <v>157.6</v>
      </c>
      <c r="WB14" s="749"/>
      <c r="WC14" s="537">
        <v>7.9799999999999992E-3</v>
      </c>
      <c r="WD14" s="530">
        <v>498.7</v>
      </c>
      <c r="WE14" s="536">
        <v>1.8587</v>
      </c>
      <c r="WF14" s="391">
        <v>1.2797000000000001</v>
      </c>
      <c r="WG14" s="536">
        <v>1.2738</v>
      </c>
      <c r="WH14" s="526">
        <v>155.30000000000001</v>
      </c>
      <c r="WI14" s="194">
        <v>135</v>
      </c>
      <c r="WK14" s="199">
        <v>140</v>
      </c>
      <c r="WL14" s="509">
        <v>7.5700000000000003E-3</v>
      </c>
      <c r="WM14" s="514">
        <v>502.9</v>
      </c>
      <c r="WN14" s="508">
        <v>1.8651</v>
      </c>
      <c r="WO14" s="508">
        <v>1.2907999999999999</v>
      </c>
      <c r="WP14" s="492">
        <v>1.2758</v>
      </c>
      <c r="WQ14" s="526">
        <v>156</v>
      </c>
      <c r="WR14" s="749"/>
      <c r="WS14" s="537">
        <v>7.2199999999999999E-3</v>
      </c>
      <c r="WT14" s="528">
        <v>507.2</v>
      </c>
      <c r="WU14" s="508">
        <v>1.8718999999999999</v>
      </c>
      <c r="WV14" s="536">
        <v>1.3001</v>
      </c>
      <c r="WW14" s="536">
        <v>1.2766999999999999</v>
      </c>
      <c r="WX14" s="530">
        <v>156.80000000000001</v>
      </c>
      <c r="WY14" s="194">
        <v>145</v>
      </c>
      <c r="WZ14" s="400"/>
      <c r="XA14" s="254">
        <v>145</v>
      </c>
      <c r="XB14" s="512">
        <v>6.7099999999999998E-3</v>
      </c>
      <c r="XC14" s="514">
        <v>505</v>
      </c>
      <c r="XD14" s="523">
        <v>1.8633999999999999</v>
      </c>
      <c r="XE14" s="522">
        <v>1.3294999999999999</v>
      </c>
      <c r="XF14" s="508">
        <v>1.2982</v>
      </c>
      <c r="XG14" s="526">
        <v>154.80000000000001</v>
      </c>
      <c r="XH14" s="749"/>
      <c r="XI14" s="512">
        <v>6.45E-3</v>
      </c>
      <c r="XJ14" s="528">
        <v>509.5</v>
      </c>
      <c r="XK14" s="522">
        <v>1.871</v>
      </c>
      <c r="XL14" s="523">
        <v>1.3353999999999999</v>
      </c>
      <c r="XM14" s="522">
        <v>1.2965</v>
      </c>
      <c r="XN14" s="526">
        <v>155.9</v>
      </c>
      <c r="XO14" s="257">
        <v>150</v>
      </c>
      <c r="XP14" s="186"/>
    </row>
    <row r="15" spans="1:640" ht="15.75" thickBot="1" x14ac:dyDescent="0.3">
      <c r="A15" s="235">
        <v>-15</v>
      </c>
      <c r="B15" s="365">
        <v>2.0964399999999999</v>
      </c>
      <c r="C15" s="368">
        <v>394.5</v>
      </c>
      <c r="D15" s="360">
        <v>1.9794</v>
      </c>
      <c r="E15" s="360">
        <v>0.76319999999999999</v>
      </c>
      <c r="F15" s="360">
        <v>1.1223000000000001</v>
      </c>
      <c r="G15" s="172">
        <v>153.1</v>
      </c>
      <c r="H15" s="266"/>
      <c r="I15" s="371">
        <v>1.08578</v>
      </c>
      <c r="J15" s="374">
        <v>402</v>
      </c>
      <c r="K15" s="360">
        <v>1.9516</v>
      </c>
      <c r="L15" s="358">
        <v>0.7843</v>
      </c>
      <c r="M15" s="360">
        <v>1.1205000000000001</v>
      </c>
      <c r="N15" s="368">
        <v>155.5</v>
      </c>
      <c r="O15" s="381">
        <v>-5</v>
      </c>
      <c r="P15" s="238"/>
      <c r="Q15" s="282">
        <v>5</v>
      </c>
      <c r="R15" s="363">
        <v>0.74963000000000002</v>
      </c>
      <c r="S15" s="368">
        <v>409.7</v>
      </c>
      <c r="T15" s="358">
        <v>1.9470000000000001</v>
      </c>
      <c r="U15" s="358">
        <v>0.80430000000000001</v>
      </c>
      <c r="V15" s="391">
        <v>1.1184000000000001</v>
      </c>
      <c r="W15" s="368">
        <v>158</v>
      </c>
      <c r="X15" s="266"/>
      <c r="Y15" s="363">
        <v>0.57110000000000005</v>
      </c>
      <c r="Z15" s="374">
        <v>413.5</v>
      </c>
      <c r="AA15" s="358">
        <v>1.9374</v>
      </c>
      <c r="AB15" s="358">
        <v>0.81520000000000004</v>
      </c>
      <c r="AC15" s="358">
        <v>1.1180000000000001</v>
      </c>
      <c r="AD15" s="368">
        <v>159</v>
      </c>
      <c r="AE15" s="237">
        <v>10</v>
      </c>
      <c r="AF15" s="37"/>
      <c r="AG15" s="281">
        <v>10</v>
      </c>
      <c r="AH15" s="340">
        <v>0.45578999999999997</v>
      </c>
      <c r="AI15" s="396">
        <v>413.3</v>
      </c>
      <c r="AJ15" s="401">
        <v>1.9186000000000001</v>
      </c>
      <c r="AK15" s="334">
        <v>0.81769999999999998</v>
      </c>
      <c r="AL15" s="401">
        <v>1.1194</v>
      </c>
      <c r="AM15" s="404">
        <v>158.69999999999999</v>
      </c>
      <c r="AN15" s="731"/>
      <c r="AO15" s="340">
        <v>0.38595000000000002</v>
      </c>
      <c r="AP15" s="397">
        <v>417.2</v>
      </c>
      <c r="AQ15" s="334">
        <v>1.9176</v>
      </c>
      <c r="AR15" s="334">
        <v>0.82799999999999996</v>
      </c>
      <c r="AS15" s="401">
        <v>1.1188</v>
      </c>
      <c r="AT15" s="397">
        <v>159.80000000000001</v>
      </c>
      <c r="AU15" s="240">
        <v>15</v>
      </c>
      <c r="AV15" s="37"/>
      <c r="AW15" s="243">
        <v>20</v>
      </c>
      <c r="AX15" s="409">
        <v>0.33612999999999998</v>
      </c>
      <c r="AY15" s="396">
        <v>421.2</v>
      </c>
      <c r="AZ15" s="417">
        <v>1.9189000000000001</v>
      </c>
      <c r="BA15" s="415">
        <v>0.83799999999999997</v>
      </c>
      <c r="BB15" s="415">
        <v>1.1180000000000001</v>
      </c>
      <c r="BC15" s="394">
        <v>161</v>
      </c>
      <c r="BD15" s="731"/>
      <c r="BE15" s="409">
        <v>0.29343000000000002</v>
      </c>
      <c r="BF15" s="397">
        <v>421</v>
      </c>
      <c r="BG15" s="419">
        <v>1.9075</v>
      </c>
      <c r="BH15" s="334">
        <v>0.84019999999999995</v>
      </c>
      <c r="BI15" s="415">
        <v>1.1193</v>
      </c>
      <c r="BJ15" s="394">
        <v>160.69999999999999</v>
      </c>
      <c r="BK15" s="240">
        <v>20</v>
      </c>
      <c r="BL15" s="37"/>
      <c r="BM15" s="243">
        <v>25</v>
      </c>
      <c r="BN15" s="409">
        <v>0.26504</v>
      </c>
      <c r="BO15" s="396">
        <v>425</v>
      </c>
      <c r="BP15" s="415">
        <v>1.9117</v>
      </c>
      <c r="BQ15" s="415">
        <v>0.8498</v>
      </c>
      <c r="BR15" s="334">
        <v>1.1184000000000001</v>
      </c>
      <c r="BS15" s="396">
        <v>161.80000000000001</v>
      </c>
      <c r="BT15" s="731"/>
      <c r="BU15" s="409">
        <v>0.23804</v>
      </c>
      <c r="BV15" s="397">
        <v>424.8</v>
      </c>
      <c r="BW15" s="415">
        <v>1.9027000000000001</v>
      </c>
      <c r="BX15" s="334">
        <v>0.85170000000000001</v>
      </c>
      <c r="BY15" s="415">
        <v>1.1195999999999999</v>
      </c>
      <c r="BZ15" s="397">
        <v>161.6</v>
      </c>
      <c r="CA15" s="240">
        <v>25</v>
      </c>
      <c r="CC15" s="243">
        <v>25</v>
      </c>
      <c r="CD15" s="340">
        <v>0.23485</v>
      </c>
      <c r="CE15" s="396">
        <v>424.8</v>
      </c>
      <c r="CF15" s="426">
        <v>1.9015</v>
      </c>
      <c r="CG15" s="334">
        <v>0.85199999999999998</v>
      </c>
      <c r="CH15" s="334">
        <v>1.1196999999999999</v>
      </c>
      <c r="CI15" s="396">
        <v>161.5</v>
      </c>
      <c r="CJ15" s="731"/>
      <c r="CK15" s="340">
        <v>0.21987999999999999</v>
      </c>
      <c r="CL15" s="397">
        <v>428.9</v>
      </c>
      <c r="CM15" s="334">
        <v>1.9087000000000001</v>
      </c>
      <c r="CN15" s="334">
        <v>0.86099999999999999</v>
      </c>
      <c r="CO15" s="334">
        <v>1.1186</v>
      </c>
      <c r="CP15" s="396">
        <v>162.69999999999999</v>
      </c>
      <c r="CQ15" s="240">
        <v>30</v>
      </c>
      <c r="CS15" s="243">
        <v>30</v>
      </c>
      <c r="CT15" s="340">
        <v>0.20113</v>
      </c>
      <c r="CU15" s="396">
        <v>428.7</v>
      </c>
      <c r="CV15" s="444">
        <v>1.9012</v>
      </c>
      <c r="CW15" s="334">
        <v>0.86280000000000001</v>
      </c>
      <c r="CX15" s="444">
        <v>1.1196999999999999</v>
      </c>
      <c r="CY15" s="442">
        <v>162.5</v>
      </c>
      <c r="CZ15" s="731"/>
      <c r="DA15" s="440">
        <v>0.18529000000000001</v>
      </c>
      <c r="DB15" s="449">
        <v>428.5</v>
      </c>
      <c r="DC15" s="334">
        <v>1.8942000000000001</v>
      </c>
      <c r="DD15" s="334">
        <v>0.86470000000000002</v>
      </c>
      <c r="DE15" s="444">
        <v>1.1208</v>
      </c>
      <c r="DF15" s="397">
        <v>162.19999999999999</v>
      </c>
      <c r="DG15" s="240">
        <v>30</v>
      </c>
      <c r="DI15" s="243">
        <v>35</v>
      </c>
      <c r="DJ15" s="409">
        <v>0.17485999999999999</v>
      </c>
      <c r="DK15" s="396">
        <v>432.7</v>
      </c>
      <c r="DL15" s="455">
        <v>1.9019999999999999</v>
      </c>
      <c r="DM15" s="415">
        <v>0.87350000000000005</v>
      </c>
      <c r="DN15" s="444">
        <v>1.1195999999999999</v>
      </c>
      <c r="DO15" s="442">
        <v>163.4</v>
      </c>
      <c r="DP15" s="731"/>
      <c r="DQ15" s="409">
        <v>0.16289000000000001</v>
      </c>
      <c r="DR15" s="397">
        <v>432.5</v>
      </c>
      <c r="DS15" s="415">
        <v>1.8958999999999999</v>
      </c>
      <c r="DT15" s="415">
        <v>0.87519999999999998</v>
      </c>
      <c r="DU15" s="415">
        <v>1.1206</v>
      </c>
      <c r="DV15" s="396">
        <v>163.19999999999999</v>
      </c>
      <c r="DW15" s="240">
        <v>35</v>
      </c>
      <c r="DY15" s="247">
        <v>35</v>
      </c>
      <c r="DZ15" s="464">
        <v>0.15242</v>
      </c>
      <c r="EA15" s="467">
        <v>432.4</v>
      </c>
      <c r="EB15" s="470">
        <v>1.8903000000000001</v>
      </c>
      <c r="EC15" s="470">
        <v>0.877</v>
      </c>
      <c r="ED15" s="470">
        <v>1.1216999999999999</v>
      </c>
      <c r="EE15" s="465">
        <v>162.9</v>
      </c>
      <c r="EF15" s="731"/>
      <c r="EG15" s="464">
        <v>0.14577000000000001</v>
      </c>
      <c r="EH15" s="478">
        <v>436.6</v>
      </c>
      <c r="EI15" s="471">
        <v>1.8991</v>
      </c>
      <c r="EJ15" s="459">
        <v>0.88529999999999998</v>
      </c>
      <c r="EK15" s="459">
        <v>1.1203000000000001</v>
      </c>
      <c r="EL15" s="478">
        <v>164.1</v>
      </c>
      <c r="EM15" s="248">
        <v>40</v>
      </c>
      <c r="EO15" s="247">
        <v>40</v>
      </c>
      <c r="EP15" s="474">
        <v>0.13741999999999999</v>
      </c>
      <c r="EQ15" s="467">
        <v>436.4</v>
      </c>
      <c r="ER15" s="459">
        <v>1.8940999999999999</v>
      </c>
      <c r="ES15" s="473">
        <v>0.88700000000000001</v>
      </c>
      <c r="ET15" s="459">
        <v>1.1213</v>
      </c>
      <c r="EU15" s="467">
        <v>163.9</v>
      </c>
      <c r="EV15" s="731"/>
      <c r="EW15" s="474">
        <v>0.12995000000000001</v>
      </c>
      <c r="EX15" s="478">
        <v>436.3</v>
      </c>
      <c r="EY15" s="473">
        <v>1.8893</v>
      </c>
      <c r="EZ15" s="473">
        <v>0.88870000000000005</v>
      </c>
      <c r="FA15" s="459">
        <v>1.1223000000000001</v>
      </c>
      <c r="FB15" s="467">
        <v>163.69999999999999</v>
      </c>
      <c r="FC15" s="263">
        <v>40</v>
      </c>
      <c r="FE15" s="243">
        <v>40</v>
      </c>
      <c r="FF15" s="340">
        <v>0.12324</v>
      </c>
      <c r="FG15" s="396">
        <v>436.1</v>
      </c>
      <c r="FH15" s="491">
        <v>1.8847</v>
      </c>
      <c r="FI15" s="334">
        <v>0.89039999999999997</v>
      </c>
      <c r="FJ15" s="491">
        <v>1.1234</v>
      </c>
      <c r="FK15" s="396">
        <v>163.4</v>
      </c>
      <c r="FL15" s="731"/>
      <c r="FM15" s="340">
        <v>0.11927</v>
      </c>
      <c r="FN15" s="397">
        <v>440.4</v>
      </c>
      <c r="FO15" s="492">
        <v>1.8945000000000001</v>
      </c>
      <c r="FP15" s="334">
        <v>0.8982</v>
      </c>
      <c r="FQ15" s="334">
        <v>1.1217999999999999</v>
      </c>
      <c r="FR15" s="397">
        <v>164.7</v>
      </c>
      <c r="FS15" s="240">
        <v>40</v>
      </c>
      <c r="FU15" s="243">
        <v>45</v>
      </c>
      <c r="FV15" s="409">
        <v>0.11365</v>
      </c>
      <c r="FW15" s="396">
        <v>440.3</v>
      </c>
      <c r="FX15" s="372">
        <v>1.8904000000000001</v>
      </c>
      <c r="FY15" s="415">
        <v>0.89980000000000004</v>
      </c>
      <c r="FZ15" s="334">
        <v>1.1228</v>
      </c>
      <c r="GA15" s="489">
        <v>164.5</v>
      </c>
      <c r="GB15" s="731"/>
      <c r="GC15" s="409">
        <v>0.10853</v>
      </c>
      <c r="GD15" s="397">
        <v>440.1</v>
      </c>
      <c r="GE15" s="500">
        <v>1.8864000000000001</v>
      </c>
      <c r="GF15" s="415">
        <v>0.90139999999999998</v>
      </c>
      <c r="GG15" s="415">
        <v>1.1236999999999999</v>
      </c>
      <c r="GH15" s="489">
        <v>164.2</v>
      </c>
      <c r="GI15" s="240">
        <v>45</v>
      </c>
      <c r="GK15" s="243">
        <v>45</v>
      </c>
      <c r="GL15" s="409">
        <v>0.10383000000000001</v>
      </c>
      <c r="GM15" s="404">
        <v>439.9</v>
      </c>
      <c r="GN15" s="415">
        <v>1.8825000000000001</v>
      </c>
      <c r="GO15" s="415">
        <v>0.90300000000000002</v>
      </c>
      <c r="GP15" s="334">
        <v>1.1247</v>
      </c>
      <c r="GQ15" s="396">
        <v>164</v>
      </c>
      <c r="GR15" s="731"/>
      <c r="GS15" s="409">
        <v>0.10131</v>
      </c>
      <c r="GT15" s="397">
        <v>444.3</v>
      </c>
      <c r="GU15" s="241">
        <v>1.893</v>
      </c>
      <c r="GV15" s="170">
        <v>0.91049999999999998</v>
      </c>
      <c r="GW15" s="241">
        <v>1.123</v>
      </c>
      <c r="GX15" s="397">
        <v>165.3</v>
      </c>
      <c r="GY15" s="240">
        <v>50</v>
      </c>
      <c r="HA15" s="243">
        <v>50</v>
      </c>
      <c r="HB15" s="340">
        <v>9.7250000000000003E-2</v>
      </c>
      <c r="HC15" s="396">
        <v>444.2</v>
      </c>
      <c r="HD15" s="334">
        <v>1.8894</v>
      </c>
      <c r="HE15" s="334">
        <v>0.91200000000000003</v>
      </c>
      <c r="HF15" s="334">
        <v>1.1238999999999999</v>
      </c>
      <c r="HG15" s="396">
        <v>165.1</v>
      </c>
      <c r="HH15" s="731"/>
      <c r="HI15" s="340">
        <v>9.35E-2</v>
      </c>
      <c r="HJ15" s="397">
        <v>444</v>
      </c>
      <c r="HK15" s="334">
        <v>1.8859999999999999</v>
      </c>
      <c r="HL15" s="334">
        <v>0.91349999999999998</v>
      </c>
      <c r="HM15" s="334">
        <v>1.1248</v>
      </c>
      <c r="HN15" s="396">
        <v>164.9</v>
      </c>
      <c r="HO15" s="240">
        <v>50</v>
      </c>
      <c r="HQ15" s="243">
        <v>50</v>
      </c>
      <c r="HR15" s="340">
        <v>9.0010000000000007E-2</v>
      </c>
      <c r="HS15" s="396">
        <v>443.9</v>
      </c>
      <c r="HT15" s="491">
        <v>1.8827</v>
      </c>
      <c r="HU15" s="334">
        <v>0.91500000000000004</v>
      </c>
      <c r="HV15" s="491">
        <v>1.1257999999999999</v>
      </c>
      <c r="HW15" s="396">
        <v>164.7</v>
      </c>
      <c r="HX15" s="731"/>
      <c r="HY15" s="340">
        <v>8.6760000000000004E-2</v>
      </c>
      <c r="HZ15" s="397">
        <v>443.7</v>
      </c>
      <c r="IA15" s="334">
        <v>1.8794999999999999</v>
      </c>
      <c r="IB15" s="334">
        <v>0.91659999999999997</v>
      </c>
      <c r="IC15" s="334">
        <v>1.1267</v>
      </c>
      <c r="ID15" s="397">
        <v>164.4</v>
      </c>
      <c r="IE15" s="240">
        <v>50</v>
      </c>
      <c r="IG15" s="243">
        <v>55</v>
      </c>
      <c r="IH15" s="409">
        <v>8.5250000000000006E-2</v>
      </c>
      <c r="II15" s="396">
        <v>448.2</v>
      </c>
      <c r="IJ15" s="499">
        <v>1.8905000000000001</v>
      </c>
      <c r="IK15" s="415">
        <v>0.92359999999999998</v>
      </c>
      <c r="IL15" s="491">
        <v>1.1247</v>
      </c>
      <c r="IM15" s="396">
        <v>165.8</v>
      </c>
      <c r="IN15" s="731"/>
      <c r="IO15" s="409">
        <v>8.2390000000000005E-2</v>
      </c>
      <c r="IP15" s="397">
        <v>448</v>
      </c>
      <c r="IQ15" s="415">
        <v>1.8875</v>
      </c>
      <c r="IR15" s="415">
        <v>0.92500000000000004</v>
      </c>
      <c r="IS15" s="415">
        <v>1.1255999999999999</v>
      </c>
      <c r="IT15" s="396">
        <v>165.6</v>
      </c>
      <c r="IU15" s="240">
        <v>55</v>
      </c>
      <c r="IW15" s="254">
        <v>55</v>
      </c>
      <c r="IX15" s="512">
        <v>7.9670000000000005E-2</v>
      </c>
      <c r="IY15" s="514">
        <v>447.9</v>
      </c>
      <c r="IZ15" s="523">
        <v>1.8846000000000001</v>
      </c>
      <c r="JA15" s="523">
        <v>0.9264</v>
      </c>
      <c r="JB15" s="523">
        <v>1.1265000000000001</v>
      </c>
      <c r="JC15" s="526">
        <v>165.3</v>
      </c>
      <c r="JD15" s="731"/>
      <c r="JE15" s="511">
        <v>7.7149999999999996E-2</v>
      </c>
      <c r="JF15" s="528">
        <v>447.7</v>
      </c>
      <c r="JG15" s="522">
        <v>1.8817999999999999</v>
      </c>
      <c r="JH15" s="508">
        <v>0.92789999999999995</v>
      </c>
      <c r="JI15" s="523">
        <v>1.1274</v>
      </c>
      <c r="JJ15" s="530">
        <v>165.1</v>
      </c>
      <c r="JK15" s="257">
        <v>55</v>
      </c>
      <c r="JM15" s="254">
        <v>55</v>
      </c>
      <c r="JN15" s="509">
        <v>7.4759999999999993E-2</v>
      </c>
      <c r="JO15" s="514">
        <v>447.6</v>
      </c>
      <c r="JP15" s="508">
        <v>1.879</v>
      </c>
      <c r="JQ15" s="508">
        <v>0.9294</v>
      </c>
      <c r="JR15" s="508">
        <v>1.1284000000000001</v>
      </c>
      <c r="JS15" s="526">
        <v>164.9</v>
      </c>
      <c r="JT15" s="731"/>
      <c r="JU15" s="537">
        <v>7.3830000000000007E-2</v>
      </c>
      <c r="JV15" s="528">
        <v>452.1</v>
      </c>
      <c r="JW15" s="508">
        <v>1.8904000000000001</v>
      </c>
      <c r="JX15" s="508">
        <v>0.93589999999999995</v>
      </c>
      <c r="JY15" s="508">
        <v>1.1262000000000001</v>
      </c>
      <c r="JZ15" s="526">
        <v>166.3</v>
      </c>
      <c r="KA15" s="194">
        <v>60</v>
      </c>
      <c r="KC15" s="176">
        <v>60</v>
      </c>
      <c r="KD15" s="340">
        <v>7.1669999999999998E-2</v>
      </c>
      <c r="KE15" s="396">
        <v>451.9</v>
      </c>
      <c r="KF15" s="196">
        <v>1.8877999999999999</v>
      </c>
      <c r="KG15" s="170">
        <v>0.93730000000000002</v>
      </c>
      <c r="KH15" s="196">
        <v>1.1271</v>
      </c>
      <c r="KI15" s="540">
        <v>166.1</v>
      </c>
      <c r="KJ15" s="731"/>
      <c r="KK15" s="340">
        <v>6.9620000000000001E-2</v>
      </c>
      <c r="KL15" s="397">
        <v>451.8</v>
      </c>
      <c r="KM15" s="334">
        <v>1.8852</v>
      </c>
      <c r="KN15" s="334">
        <v>0.93869999999999998</v>
      </c>
      <c r="KO15" s="334">
        <v>1.1278999999999999</v>
      </c>
      <c r="KP15" s="540">
        <v>165.9</v>
      </c>
      <c r="KQ15" s="260">
        <v>60</v>
      </c>
      <c r="KS15" s="243">
        <v>60</v>
      </c>
      <c r="KT15" s="409">
        <v>6.769E-2</v>
      </c>
      <c r="KU15" s="543">
        <v>451.7</v>
      </c>
      <c r="KV15" s="546">
        <v>1.8827</v>
      </c>
      <c r="KW15" s="415">
        <v>0.94010000000000005</v>
      </c>
      <c r="KX15" s="541">
        <v>1.1288</v>
      </c>
      <c r="KY15" s="543">
        <v>165.7</v>
      </c>
      <c r="KZ15" s="731"/>
      <c r="LA15" s="340">
        <v>6.5860000000000002E-2</v>
      </c>
      <c r="LB15" s="397">
        <v>451.5</v>
      </c>
      <c r="LC15" s="415">
        <v>1.8803000000000001</v>
      </c>
      <c r="LD15" s="415">
        <v>0.9415</v>
      </c>
      <c r="LE15" s="415">
        <v>1.1296999999999999</v>
      </c>
      <c r="LF15" s="540">
        <v>165.5</v>
      </c>
      <c r="LG15" s="240">
        <v>60</v>
      </c>
      <c r="LI15" s="254">
        <v>60</v>
      </c>
      <c r="LJ15" s="512">
        <v>6.411E-2</v>
      </c>
      <c r="LK15" s="514">
        <v>451.4</v>
      </c>
      <c r="LL15" s="523">
        <v>1.8778999999999999</v>
      </c>
      <c r="LM15" s="523">
        <v>0.94289999999999996</v>
      </c>
      <c r="LN15" s="523">
        <v>1.1306</v>
      </c>
      <c r="LO15" s="526">
        <v>165.3</v>
      </c>
      <c r="LP15" s="731"/>
      <c r="LQ15" s="511">
        <v>6.123E-2</v>
      </c>
      <c r="LR15" s="530">
        <v>455.7</v>
      </c>
      <c r="LS15" s="522">
        <v>1.8863000000000001</v>
      </c>
      <c r="LT15" s="508">
        <v>0.95099999999999996</v>
      </c>
      <c r="LU15" s="508">
        <v>1.1294999999999999</v>
      </c>
      <c r="LV15" s="514">
        <v>166.4</v>
      </c>
      <c r="LW15" s="257">
        <v>65</v>
      </c>
      <c r="LY15" s="193">
        <v>65</v>
      </c>
      <c r="LZ15" s="509">
        <v>5.7610000000000001E-2</v>
      </c>
      <c r="MA15" s="514">
        <v>455.4</v>
      </c>
      <c r="MB15" s="508">
        <v>1.8809</v>
      </c>
      <c r="MC15" s="508">
        <v>0.95430000000000004</v>
      </c>
      <c r="MD15" s="508">
        <v>1.1315999999999999</v>
      </c>
      <c r="ME15" s="526">
        <v>165.9</v>
      </c>
      <c r="MF15" s="731"/>
      <c r="MG15" s="537">
        <v>5.4379999999999998E-2</v>
      </c>
      <c r="MH15" s="528">
        <v>455</v>
      </c>
      <c r="MI15" s="191">
        <v>1.8756999999999999</v>
      </c>
      <c r="MJ15" s="191">
        <v>0.95779999999999998</v>
      </c>
      <c r="MK15" s="191">
        <v>1.1337999999999999</v>
      </c>
      <c r="ML15" s="514">
        <v>165.4</v>
      </c>
      <c r="MM15" s="194">
        <v>65</v>
      </c>
      <c r="MO15" s="176">
        <v>70</v>
      </c>
      <c r="MP15" s="341">
        <v>5.2440000000000001E-2</v>
      </c>
      <c r="MQ15" s="564">
        <v>459.5</v>
      </c>
      <c r="MR15" s="334">
        <v>1.8849</v>
      </c>
      <c r="MS15" s="334">
        <v>0.96519999999999995</v>
      </c>
      <c r="MT15" s="334">
        <v>1.1323000000000001</v>
      </c>
      <c r="MU15" s="397">
        <v>166.6</v>
      </c>
      <c r="MV15" s="731"/>
      <c r="MW15" s="340">
        <v>4.9759999999999999E-2</v>
      </c>
      <c r="MX15" s="397">
        <v>459.2</v>
      </c>
      <c r="MY15" s="339">
        <v>1.8802000000000001</v>
      </c>
      <c r="MZ15" s="334">
        <v>0.96850000000000003</v>
      </c>
      <c r="NA15" s="334">
        <v>1.1344000000000001</v>
      </c>
      <c r="NB15" s="397">
        <v>166.1</v>
      </c>
      <c r="NC15" s="260">
        <v>70</v>
      </c>
      <c r="NE15" s="243">
        <v>70</v>
      </c>
      <c r="NF15" s="409">
        <v>4.7329999999999997E-2</v>
      </c>
      <c r="NG15" s="396">
        <v>458.8</v>
      </c>
      <c r="NH15" s="415">
        <v>1.8756999999999999</v>
      </c>
      <c r="NI15" s="415">
        <v>0.9718</v>
      </c>
      <c r="NJ15" s="334">
        <v>1.1366000000000001</v>
      </c>
      <c r="NK15" s="396">
        <v>165.6</v>
      </c>
      <c r="NL15" s="731"/>
      <c r="NM15" s="409">
        <v>4.5969999999999997E-2</v>
      </c>
      <c r="NN15" s="397">
        <v>463.4</v>
      </c>
      <c r="NO15" s="415">
        <v>1.8854</v>
      </c>
      <c r="NP15" s="334">
        <v>0.97860000000000003</v>
      </c>
      <c r="NQ15" s="415">
        <v>1.1348</v>
      </c>
      <c r="NR15" s="396">
        <v>166.9</v>
      </c>
      <c r="NS15" s="240">
        <v>75</v>
      </c>
      <c r="NU15" s="254">
        <v>75</v>
      </c>
      <c r="NV15" s="511">
        <v>4.3900000000000002E-2</v>
      </c>
      <c r="NW15" s="476">
        <v>463</v>
      </c>
      <c r="NX15" s="470">
        <v>1.8813</v>
      </c>
      <c r="NY15" s="470">
        <v>0.98180000000000001</v>
      </c>
      <c r="NZ15" s="459">
        <v>1.1369</v>
      </c>
      <c r="OA15" s="476">
        <v>166.4</v>
      </c>
      <c r="OB15" s="731"/>
      <c r="OC15" s="511">
        <v>4.2000000000000003E-2</v>
      </c>
      <c r="OD15" s="528">
        <v>462.7</v>
      </c>
      <c r="OE15" s="574">
        <v>1.8772</v>
      </c>
      <c r="OF15" s="459">
        <v>0.98499999999999999</v>
      </c>
      <c r="OG15" s="575">
        <v>1.1389</v>
      </c>
      <c r="OH15" s="476">
        <v>166</v>
      </c>
      <c r="OI15" s="257">
        <v>75</v>
      </c>
      <c r="OK15" s="193">
        <v>75</v>
      </c>
      <c r="OL15" s="460">
        <v>4.0250000000000001E-2</v>
      </c>
      <c r="OM15" s="468">
        <v>462.4</v>
      </c>
      <c r="ON15" s="459">
        <v>1.8733</v>
      </c>
      <c r="OO15" s="459">
        <v>0.98819999999999997</v>
      </c>
      <c r="OP15" s="459">
        <v>1.1411</v>
      </c>
      <c r="OQ15" s="476">
        <v>165.5</v>
      </c>
      <c r="OR15" s="731"/>
      <c r="OS15" s="460">
        <v>3.9370000000000002E-2</v>
      </c>
      <c r="OT15" s="528">
        <v>467</v>
      </c>
      <c r="OU15" s="536">
        <v>1.8836999999999999</v>
      </c>
      <c r="OV15" s="459">
        <v>0.99439999999999995</v>
      </c>
      <c r="OW15" s="459">
        <v>1.1389</v>
      </c>
      <c r="OX15" s="476">
        <v>166.8</v>
      </c>
      <c r="OY15" s="194">
        <v>80</v>
      </c>
      <c r="PA15" s="176">
        <v>80</v>
      </c>
      <c r="PB15" s="340">
        <v>3.7839999999999999E-2</v>
      </c>
      <c r="PC15" s="396">
        <v>466.7</v>
      </c>
      <c r="PD15" s="541">
        <v>1.8801000000000001</v>
      </c>
      <c r="PE15" s="334">
        <v>0.99739999999999995</v>
      </c>
      <c r="PF15" s="541">
        <v>1.1409</v>
      </c>
      <c r="PG15" s="396">
        <v>166.3</v>
      </c>
      <c r="PH15" s="731"/>
      <c r="PI15" s="340">
        <v>3.6409999999999998E-2</v>
      </c>
      <c r="PJ15" s="397">
        <v>466.4</v>
      </c>
      <c r="PK15" s="334">
        <v>1.8765000000000001</v>
      </c>
      <c r="PL15" s="334">
        <v>1.0005999999999999</v>
      </c>
      <c r="PM15" s="334">
        <v>1.143</v>
      </c>
      <c r="PN15" s="397">
        <v>165.9</v>
      </c>
      <c r="PO15" s="260">
        <v>80</v>
      </c>
      <c r="PQ15" s="243">
        <v>80</v>
      </c>
      <c r="PR15" s="409">
        <v>3.508E-2</v>
      </c>
      <c r="PS15" s="396">
        <v>466.1</v>
      </c>
      <c r="PT15" s="546">
        <v>1.8731</v>
      </c>
      <c r="PU15" s="415">
        <v>1.0037</v>
      </c>
      <c r="PV15" s="541">
        <v>1.1451</v>
      </c>
      <c r="PW15" s="396">
        <v>165.5</v>
      </c>
      <c r="PX15" s="731"/>
      <c r="PY15" s="409">
        <v>3.3309999999999999E-2</v>
      </c>
      <c r="PZ15" s="397">
        <v>470.5</v>
      </c>
      <c r="QA15" s="415">
        <v>1.8806</v>
      </c>
      <c r="QB15" s="415">
        <v>1.0122</v>
      </c>
      <c r="QC15" s="415">
        <v>1.1446000000000001</v>
      </c>
      <c r="QD15" s="396">
        <v>166.4</v>
      </c>
      <c r="QE15" s="240">
        <v>85</v>
      </c>
      <c r="QG15" s="254">
        <v>85</v>
      </c>
      <c r="QH15" s="512">
        <v>3.1150000000000001E-2</v>
      </c>
      <c r="QI15" s="526">
        <v>469.8</v>
      </c>
      <c r="QJ15" s="523">
        <v>1.8744000000000001</v>
      </c>
      <c r="QK15" s="523">
        <v>1.0184</v>
      </c>
      <c r="QL15" s="523">
        <v>1.1487000000000001</v>
      </c>
      <c r="QM15" s="526">
        <v>165.5</v>
      </c>
      <c r="QN15" s="731"/>
      <c r="QO15" s="511">
        <v>2.981E-2</v>
      </c>
      <c r="QP15" s="532">
        <v>474.3</v>
      </c>
      <c r="QQ15" s="256">
        <v>1.8826000000000001</v>
      </c>
      <c r="QR15" s="191">
        <v>1.0261</v>
      </c>
      <c r="QS15" s="256">
        <v>1.1477999999999999</v>
      </c>
      <c r="QT15" s="517">
        <v>166.5</v>
      </c>
      <c r="QU15" s="257">
        <v>90</v>
      </c>
      <c r="QW15" s="193">
        <v>90</v>
      </c>
      <c r="QX15" s="509">
        <v>2.8070000000000001E-2</v>
      </c>
      <c r="QY15" s="527">
        <v>473.7</v>
      </c>
      <c r="QZ15" s="508">
        <v>1.8769</v>
      </c>
      <c r="RA15" s="508">
        <v>1.0321</v>
      </c>
      <c r="RB15" s="508">
        <v>1.1517999999999999</v>
      </c>
      <c r="RC15" s="526">
        <v>165.7</v>
      </c>
      <c r="RD15" s="731"/>
      <c r="RE15" s="537">
        <v>2.6499999999999999E-2</v>
      </c>
      <c r="RF15" s="530">
        <v>473.1</v>
      </c>
      <c r="RG15" s="536">
        <v>1.8714999999999999</v>
      </c>
      <c r="RH15" s="508">
        <v>1.0383</v>
      </c>
      <c r="RI15" s="508">
        <v>1.1558999999999999</v>
      </c>
      <c r="RJ15" s="514">
        <v>164.9</v>
      </c>
      <c r="RK15" s="194">
        <v>90</v>
      </c>
      <c r="RM15" s="176">
        <v>95</v>
      </c>
      <c r="RN15" s="340">
        <v>2.4279999999999999E-2</v>
      </c>
      <c r="RO15" s="396">
        <v>477.1</v>
      </c>
      <c r="RP15" s="334">
        <v>1.8754999999999999</v>
      </c>
      <c r="RQ15" s="334">
        <v>1.0510999999999999</v>
      </c>
      <c r="RR15" s="334">
        <v>1.1585000000000001</v>
      </c>
      <c r="RS15" s="488">
        <v>165.2</v>
      </c>
      <c r="RT15" s="731"/>
      <c r="RU15" s="340">
        <v>2.2450000000000001E-2</v>
      </c>
      <c r="RV15" s="397">
        <v>481.2</v>
      </c>
      <c r="RW15" s="334">
        <v>1.8802000000000001</v>
      </c>
      <c r="RX15" s="491">
        <v>1.0629999999999999</v>
      </c>
      <c r="RY15" s="334">
        <v>1.1607000000000001</v>
      </c>
      <c r="RZ15" s="488">
        <v>165.6</v>
      </c>
      <c r="SA15" s="260">
        <v>100</v>
      </c>
      <c r="SC15" s="268">
        <v>100</v>
      </c>
      <c r="SD15" s="409">
        <v>2.0469999999999999E-2</v>
      </c>
      <c r="SE15" s="489">
        <v>480</v>
      </c>
      <c r="SF15" s="499">
        <v>1.8713</v>
      </c>
      <c r="SG15" s="415">
        <v>1.0750999999999999</v>
      </c>
      <c r="SH15" s="500">
        <v>1.169</v>
      </c>
      <c r="SI15" s="489">
        <v>164</v>
      </c>
      <c r="SJ15" s="731"/>
      <c r="SK15" s="409">
        <v>1.9189999999999999E-2</v>
      </c>
      <c r="SL15" s="176">
        <v>484.2</v>
      </c>
      <c r="SM15" s="415">
        <v>1.8772</v>
      </c>
      <c r="SN15" s="499">
        <v>1.0859000000000001</v>
      </c>
      <c r="SO15" s="415">
        <v>1.1704000000000001</v>
      </c>
      <c r="SP15" s="190">
        <v>164.6</v>
      </c>
      <c r="SQ15" s="240">
        <v>105</v>
      </c>
      <c r="SS15" s="268">
        <v>110</v>
      </c>
      <c r="ST15" s="409">
        <v>1.8089999999999998E-2</v>
      </c>
      <c r="SU15" s="170">
        <v>488.5</v>
      </c>
      <c r="SV15" s="499">
        <v>1.8836999999999999</v>
      </c>
      <c r="SW15" s="499">
        <v>1.0959000000000001</v>
      </c>
      <c r="SX15" s="499">
        <v>1.1714</v>
      </c>
      <c r="SY15" s="190">
        <v>165.2</v>
      </c>
      <c r="SZ15" s="731"/>
      <c r="TA15" s="409">
        <v>1.677E-2</v>
      </c>
      <c r="TB15" s="397">
        <v>487.4</v>
      </c>
      <c r="TC15" s="415">
        <v>1.8761000000000001</v>
      </c>
      <c r="TD15" s="491">
        <v>1.1076999999999999</v>
      </c>
      <c r="TE15" s="334">
        <v>1.1796</v>
      </c>
      <c r="TF15" s="488">
        <v>163.69999999999999</v>
      </c>
      <c r="TG15" s="240">
        <v>110</v>
      </c>
      <c r="TI15" s="285">
        <v>115</v>
      </c>
      <c r="TJ15" s="340">
        <v>1.5959999999999998E-2</v>
      </c>
      <c r="TK15" s="396">
        <v>491.8</v>
      </c>
      <c r="TL15" s="491">
        <v>1.8834</v>
      </c>
      <c r="TM15" s="491">
        <v>1.1166</v>
      </c>
      <c r="TN15" s="491">
        <v>1.1798999999999999</v>
      </c>
      <c r="TO15" s="489">
        <v>164.5</v>
      </c>
      <c r="TP15" s="731"/>
      <c r="TQ15" s="340">
        <v>1.491E-2</v>
      </c>
      <c r="TR15" s="397">
        <v>490.7</v>
      </c>
      <c r="TS15" s="334">
        <v>1.8765000000000001</v>
      </c>
      <c r="TT15" s="491">
        <v>1.1284000000000001</v>
      </c>
      <c r="TU15" s="334">
        <v>1.1881999999999999</v>
      </c>
      <c r="TV15" s="489">
        <v>163.1</v>
      </c>
      <c r="TW15" s="260">
        <v>115</v>
      </c>
      <c r="TY15" s="185">
        <v>120</v>
      </c>
      <c r="TZ15" s="474">
        <v>1.4290000000000001E-2</v>
      </c>
      <c r="UA15" s="467">
        <v>495.2</v>
      </c>
      <c r="UB15" s="473">
        <v>1.8844000000000001</v>
      </c>
      <c r="UC15" s="473">
        <v>1.1367</v>
      </c>
      <c r="UD15" s="611">
        <v>1.1877</v>
      </c>
      <c r="UE15" s="478">
        <v>164</v>
      </c>
      <c r="UF15" s="749"/>
      <c r="UG15" s="474">
        <v>1.3440000000000001E-2</v>
      </c>
      <c r="UH15" s="478">
        <v>494.1</v>
      </c>
      <c r="UI15" s="491">
        <v>1.8781000000000001</v>
      </c>
      <c r="UJ15" s="473">
        <v>1.1478999999999999</v>
      </c>
      <c r="UK15" s="473">
        <v>1.1960999999999999</v>
      </c>
      <c r="UL15" s="488">
        <v>162.6</v>
      </c>
      <c r="UM15" s="310">
        <v>120</v>
      </c>
      <c r="UO15" s="268">
        <v>125</v>
      </c>
      <c r="UP15" s="464">
        <v>1.2239999999999999E-2</v>
      </c>
      <c r="UQ15" s="467">
        <v>497.7</v>
      </c>
      <c r="UR15" s="499">
        <v>1.8806</v>
      </c>
      <c r="US15" s="499">
        <v>1.1661999999999999</v>
      </c>
      <c r="UT15" s="491">
        <v>1.2032</v>
      </c>
      <c r="UU15" s="489">
        <v>162.4</v>
      </c>
      <c r="UV15" s="749"/>
      <c r="UW15" s="464">
        <v>1.1259999999999999E-2</v>
      </c>
      <c r="UX15" s="478">
        <v>501.4</v>
      </c>
      <c r="UY15" s="471">
        <v>1.8841000000000001</v>
      </c>
      <c r="UZ15" s="499">
        <v>1.1832</v>
      </c>
      <c r="VA15" s="471">
        <v>1.2095</v>
      </c>
      <c r="VB15" s="489">
        <v>162.30000000000001</v>
      </c>
      <c r="VC15" s="248">
        <v>130</v>
      </c>
      <c r="VE15" s="264">
        <v>130</v>
      </c>
      <c r="VF15" s="512">
        <v>1.018E-2</v>
      </c>
      <c r="VG15" s="514">
        <v>499.2</v>
      </c>
      <c r="VH15" s="523">
        <v>1.8734</v>
      </c>
      <c r="VI15" s="523">
        <v>1.2081</v>
      </c>
      <c r="VJ15" s="508">
        <v>1.2275</v>
      </c>
      <c r="VK15" s="527">
        <v>159.80000000000001</v>
      </c>
      <c r="VL15" s="749"/>
      <c r="VM15" s="512">
        <v>9.5099999999999994E-3</v>
      </c>
      <c r="VN15" s="532">
        <v>503.1</v>
      </c>
      <c r="VO15" s="522">
        <v>1.8781000000000001</v>
      </c>
      <c r="VP15" s="508">
        <v>1.2231000000000001</v>
      </c>
      <c r="VQ15" s="522">
        <v>1.2323999999999999</v>
      </c>
      <c r="VR15" s="526">
        <v>160</v>
      </c>
      <c r="VS15" s="257">
        <v>135</v>
      </c>
      <c r="VU15" s="199">
        <v>140</v>
      </c>
      <c r="VV15" s="509">
        <v>8.9300000000000004E-3</v>
      </c>
      <c r="VW15" s="514">
        <v>507.2</v>
      </c>
      <c r="VX15" s="508">
        <v>1.8835</v>
      </c>
      <c r="VY15" s="508">
        <v>1.2365999999999999</v>
      </c>
      <c r="VZ15" s="508">
        <v>1.2363</v>
      </c>
      <c r="WA15" s="526">
        <v>160.4</v>
      </c>
      <c r="WB15" s="749"/>
      <c r="WC15" s="509">
        <v>8.2100000000000003E-3</v>
      </c>
      <c r="WD15" s="528">
        <v>505.1</v>
      </c>
      <c r="WE15" s="536">
        <v>1.8742000000000001</v>
      </c>
      <c r="WF15" s="391">
        <v>1.2624</v>
      </c>
      <c r="WG15" s="536">
        <v>1.2551000000000001</v>
      </c>
      <c r="WH15" s="526">
        <v>158.19999999999999</v>
      </c>
      <c r="WI15" s="194">
        <v>140</v>
      </c>
      <c r="WK15" s="199">
        <v>145</v>
      </c>
      <c r="WL15" s="509">
        <v>7.79E-3</v>
      </c>
      <c r="WM15" s="514">
        <v>509.3</v>
      </c>
      <c r="WN15" s="508">
        <v>1.8805000000000001</v>
      </c>
      <c r="WO15" s="536">
        <v>1.2733000000000001</v>
      </c>
      <c r="WP15" s="536">
        <v>1.2571000000000001</v>
      </c>
      <c r="WQ15" s="530">
        <v>158.9</v>
      </c>
      <c r="WR15" s="749"/>
      <c r="WS15" s="509">
        <v>7.43E-3</v>
      </c>
      <c r="WT15" s="528">
        <v>513.6</v>
      </c>
      <c r="WU15" s="536">
        <v>1.8873</v>
      </c>
      <c r="WV15" s="508">
        <v>1.2827999999999999</v>
      </c>
      <c r="WW15" s="536">
        <v>1.2582</v>
      </c>
      <c r="WX15" s="530">
        <v>159.69999999999999</v>
      </c>
      <c r="WY15" s="194">
        <v>150</v>
      </c>
      <c r="WZ15" s="400"/>
      <c r="XA15" s="264">
        <v>150</v>
      </c>
      <c r="XB15" s="512">
        <v>6.9100000000000003E-3</v>
      </c>
      <c r="XC15" s="514">
        <v>511.6</v>
      </c>
      <c r="XD15" s="523">
        <v>1.8791</v>
      </c>
      <c r="XE15" s="523">
        <v>1.3080000000000001</v>
      </c>
      <c r="XF15" s="492">
        <v>1.2766</v>
      </c>
      <c r="XG15" s="526">
        <v>157.80000000000001</v>
      </c>
      <c r="XH15" s="749"/>
      <c r="XI15" s="512">
        <v>6.6400000000000001E-3</v>
      </c>
      <c r="XJ15" s="528">
        <v>516.20000000000005</v>
      </c>
      <c r="XK15" s="522">
        <v>1.8866000000000001</v>
      </c>
      <c r="XL15" s="523">
        <v>1.3146</v>
      </c>
      <c r="XM15" s="522">
        <v>1.2755000000000001</v>
      </c>
      <c r="XN15" s="526">
        <v>158.9</v>
      </c>
      <c r="XO15" s="257">
        <v>155</v>
      </c>
      <c r="XP15" s="187"/>
    </row>
    <row r="16" spans="1:640" ht="15.75" thickBot="1" x14ac:dyDescent="0.3">
      <c r="A16" s="235">
        <v>-10</v>
      </c>
      <c r="B16" s="365">
        <v>2.1367500000000001</v>
      </c>
      <c r="C16" s="368">
        <v>398.3</v>
      </c>
      <c r="D16" s="360">
        <v>1.9941</v>
      </c>
      <c r="E16" s="360">
        <v>0.7722</v>
      </c>
      <c r="F16" s="360">
        <v>1.1204000000000001</v>
      </c>
      <c r="G16" s="172">
        <v>154.5</v>
      </c>
      <c r="H16" s="266"/>
      <c r="I16" s="365">
        <v>1.10619</v>
      </c>
      <c r="J16" s="374">
        <v>405.9</v>
      </c>
      <c r="K16" s="360">
        <v>1.9661</v>
      </c>
      <c r="L16" s="358">
        <v>0.79300000000000004</v>
      </c>
      <c r="M16" s="360">
        <v>1.1186</v>
      </c>
      <c r="N16" s="368">
        <v>156.9</v>
      </c>
      <c r="O16" s="382">
        <v>0</v>
      </c>
      <c r="P16" s="238"/>
      <c r="Q16" s="282">
        <v>10</v>
      </c>
      <c r="R16" s="363">
        <v>0.76336000000000004</v>
      </c>
      <c r="S16" s="368">
        <v>413.7</v>
      </c>
      <c r="T16" s="358">
        <v>1.9614</v>
      </c>
      <c r="U16" s="358">
        <v>0.81279999999999997</v>
      </c>
      <c r="V16" s="358">
        <v>1.1166</v>
      </c>
      <c r="W16" s="368">
        <v>159.30000000000001</v>
      </c>
      <c r="X16" s="266"/>
      <c r="Y16" s="363">
        <v>0.58172999999999997</v>
      </c>
      <c r="Z16" s="374">
        <v>417.6</v>
      </c>
      <c r="AA16" s="358">
        <v>1.9517</v>
      </c>
      <c r="AB16" s="358">
        <v>0.82350000000000001</v>
      </c>
      <c r="AC16" s="358">
        <v>1.1161000000000001</v>
      </c>
      <c r="AD16" s="368">
        <v>160.4</v>
      </c>
      <c r="AE16" s="237">
        <v>15</v>
      </c>
      <c r="AF16" s="37"/>
      <c r="AG16" s="281">
        <v>15</v>
      </c>
      <c r="AH16" s="340">
        <v>0.46425</v>
      </c>
      <c r="AI16" s="396">
        <v>417.4</v>
      </c>
      <c r="AJ16" s="401">
        <v>1.9330000000000001</v>
      </c>
      <c r="AK16" s="334">
        <v>0.82569999999999999</v>
      </c>
      <c r="AL16" s="401">
        <v>1.1174999999999999</v>
      </c>
      <c r="AM16" s="406">
        <v>160.1</v>
      </c>
      <c r="AN16" s="731"/>
      <c r="AO16" s="340">
        <v>0.39307999999999998</v>
      </c>
      <c r="AP16" s="397">
        <v>421.3</v>
      </c>
      <c r="AQ16" s="401">
        <v>1.9319</v>
      </c>
      <c r="AR16" s="334">
        <v>0.83589999999999998</v>
      </c>
      <c r="AS16" s="334">
        <v>1.1168</v>
      </c>
      <c r="AT16" s="407">
        <v>161.19999999999999</v>
      </c>
      <c r="AU16" s="240">
        <v>20</v>
      </c>
      <c r="AV16" s="37"/>
      <c r="AW16" s="243">
        <v>25</v>
      </c>
      <c r="AX16" s="409">
        <v>0.34211000000000003</v>
      </c>
      <c r="AY16" s="396">
        <v>425.4</v>
      </c>
      <c r="AZ16" s="416">
        <v>1.9331</v>
      </c>
      <c r="BA16" s="415">
        <v>0.8458</v>
      </c>
      <c r="BB16" s="416">
        <v>1.1161000000000001</v>
      </c>
      <c r="BC16" s="396">
        <v>162.30000000000001</v>
      </c>
      <c r="BD16" s="731"/>
      <c r="BE16" s="409">
        <v>0.29877999999999999</v>
      </c>
      <c r="BF16" s="397">
        <v>425.2</v>
      </c>
      <c r="BG16" s="415">
        <v>1.9218</v>
      </c>
      <c r="BH16" s="334">
        <v>0.8478</v>
      </c>
      <c r="BI16" s="416">
        <v>1.1172</v>
      </c>
      <c r="BJ16" s="396">
        <v>162.1</v>
      </c>
      <c r="BK16" s="240">
        <v>25</v>
      </c>
      <c r="BL16" s="37"/>
      <c r="BM16" s="243">
        <v>30</v>
      </c>
      <c r="BN16" s="409">
        <v>0.26976</v>
      </c>
      <c r="BO16" s="396">
        <v>429.3</v>
      </c>
      <c r="BP16" s="415">
        <v>1.9258999999999999</v>
      </c>
      <c r="BQ16" s="415">
        <v>0.85729999999999995</v>
      </c>
      <c r="BR16" s="334">
        <v>1.1164000000000001</v>
      </c>
      <c r="BS16" s="396">
        <v>163.19999999999999</v>
      </c>
      <c r="BT16" s="731"/>
      <c r="BU16" s="409">
        <v>0.24231</v>
      </c>
      <c r="BV16" s="397">
        <v>429.1</v>
      </c>
      <c r="BW16" s="415">
        <v>1.9169</v>
      </c>
      <c r="BX16" s="334">
        <v>0.85909999999999997</v>
      </c>
      <c r="BY16" s="415">
        <v>1.1174999999999999</v>
      </c>
      <c r="BZ16" s="397">
        <v>163</v>
      </c>
      <c r="CA16" s="240">
        <v>30</v>
      </c>
      <c r="CB16" s="37"/>
      <c r="CC16" s="243">
        <v>30</v>
      </c>
      <c r="CD16" s="340">
        <v>0.23905999999999999</v>
      </c>
      <c r="CE16" s="396">
        <v>429.1</v>
      </c>
      <c r="CF16" s="426">
        <v>1.9157999999999999</v>
      </c>
      <c r="CG16" s="334">
        <v>0.85940000000000005</v>
      </c>
      <c r="CH16" s="334">
        <v>1.1175999999999999</v>
      </c>
      <c r="CI16" s="396">
        <v>162.9</v>
      </c>
      <c r="CJ16" s="731"/>
      <c r="CK16" s="340">
        <v>0.22375999999999999</v>
      </c>
      <c r="CL16" s="397">
        <v>433.2</v>
      </c>
      <c r="CM16" s="334">
        <v>1.9228000000000001</v>
      </c>
      <c r="CN16" s="334">
        <v>0.86829999999999996</v>
      </c>
      <c r="CO16" s="334">
        <v>1.1165</v>
      </c>
      <c r="CP16" s="396">
        <v>164.1</v>
      </c>
      <c r="CQ16" s="240">
        <v>35</v>
      </c>
      <c r="CS16" s="243">
        <v>35</v>
      </c>
      <c r="CT16" s="340">
        <v>0.20474999999999999</v>
      </c>
      <c r="CU16" s="396">
        <v>433.1</v>
      </c>
      <c r="CV16" s="444">
        <v>1.9153</v>
      </c>
      <c r="CW16" s="334">
        <v>0.87</v>
      </c>
      <c r="CX16" s="444">
        <v>1.1174999999999999</v>
      </c>
      <c r="CY16" s="442">
        <v>163.9</v>
      </c>
      <c r="CZ16" s="731"/>
      <c r="DA16" s="340">
        <v>0.18864</v>
      </c>
      <c r="DB16" s="449">
        <v>432.9</v>
      </c>
      <c r="DC16" s="334">
        <v>1.9084000000000001</v>
      </c>
      <c r="DD16" s="334">
        <v>0.87170000000000003</v>
      </c>
      <c r="DE16" s="444">
        <v>1.1185</v>
      </c>
      <c r="DF16" s="397">
        <v>163.6</v>
      </c>
      <c r="DG16" s="240">
        <v>35</v>
      </c>
      <c r="DI16" s="243">
        <v>40</v>
      </c>
      <c r="DJ16" s="409">
        <v>0.17793999999999999</v>
      </c>
      <c r="DK16" s="396">
        <v>437.1</v>
      </c>
      <c r="DL16" s="455">
        <v>1.9160999999999999</v>
      </c>
      <c r="DM16" s="415">
        <v>0.88039999999999996</v>
      </c>
      <c r="DN16" s="444">
        <v>1.1173999999999999</v>
      </c>
      <c r="DO16" s="396">
        <v>164.8</v>
      </c>
      <c r="DP16" s="731"/>
      <c r="DQ16" s="409">
        <v>0.16581000000000001</v>
      </c>
      <c r="DR16" s="397">
        <v>436.9</v>
      </c>
      <c r="DS16" s="415">
        <v>1.9100999999999999</v>
      </c>
      <c r="DT16" s="415">
        <v>0.88200000000000001</v>
      </c>
      <c r="DU16" s="415">
        <v>1.1183000000000001</v>
      </c>
      <c r="DV16" s="396">
        <v>164.6</v>
      </c>
      <c r="DW16" s="240">
        <v>40</v>
      </c>
      <c r="DY16" s="247">
        <v>40</v>
      </c>
      <c r="DZ16" s="463">
        <v>0.15515999999999999</v>
      </c>
      <c r="EA16" s="467">
        <v>436.8</v>
      </c>
      <c r="EB16" s="470">
        <v>1.9044000000000001</v>
      </c>
      <c r="EC16" s="470">
        <v>0.88370000000000004</v>
      </c>
      <c r="ED16" s="470">
        <v>1.1193</v>
      </c>
      <c r="EE16" s="465">
        <v>164.4</v>
      </c>
      <c r="EF16" s="731"/>
      <c r="EG16" s="464">
        <v>0.14835000000000001</v>
      </c>
      <c r="EH16" s="478">
        <v>441.1</v>
      </c>
      <c r="EI16" s="470">
        <v>1.9132</v>
      </c>
      <c r="EJ16" s="473">
        <v>0.89200000000000002</v>
      </c>
      <c r="EK16" s="459">
        <v>1.1180000000000001</v>
      </c>
      <c r="EL16" s="476">
        <v>165.6</v>
      </c>
      <c r="EM16" s="263">
        <v>45</v>
      </c>
      <c r="EO16" s="262">
        <v>45</v>
      </c>
      <c r="EP16" s="474">
        <v>0.13988</v>
      </c>
      <c r="EQ16" s="467">
        <v>440.9</v>
      </c>
      <c r="ER16" s="459">
        <v>1.9081999999999999</v>
      </c>
      <c r="ES16" s="473">
        <v>0.89359999999999995</v>
      </c>
      <c r="ET16" s="473">
        <v>1.119</v>
      </c>
      <c r="EU16" s="465">
        <v>165.3</v>
      </c>
      <c r="EV16" s="731"/>
      <c r="EW16" s="474">
        <v>0.13228999999999999</v>
      </c>
      <c r="EX16" s="476">
        <v>440.7</v>
      </c>
      <c r="EY16" s="459">
        <v>1.9034</v>
      </c>
      <c r="EZ16" s="473">
        <v>0.89510000000000001</v>
      </c>
      <c r="FA16" s="459">
        <v>1.1198999999999999</v>
      </c>
      <c r="FB16" s="465">
        <v>165.1</v>
      </c>
      <c r="FC16" s="263">
        <v>45</v>
      </c>
      <c r="FE16" s="243">
        <v>45</v>
      </c>
      <c r="FF16" s="340">
        <v>0.12547</v>
      </c>
      <c r="FG16" s="396">
        <v>440.6</v>
      </c>
      <c r="FH16" s="385">
        <v>1.8989</v>
      </c>
      <c r="FI16" s="334">
        <v>0.89670000000000005</v>
      </c>
      <c r="FJ16" s="334">
        <v>1.1208</v>
      </c>
      <c r="FK16" s="397">
        <v>164.9</v>
      </c>
      <c r="FL16" s="731"/>
      <c r="FM16" s="340">
        <v>0.12139</v>
      </c>
      <c r="FN16" s="397">
        <v>444.9</v>
      </c>
      <c r="FO16" s="334">
        <v>1.9086000000000001</v>
      </c>
      <c r="FP16" s="334">
        <v>0.90459999999999996</v>
      </c>
      <c r="FQ16" s="334">
        <v>1.1193</v>
      </c>
      <c r="FR16" s="397">
        <v>166.1</v>
      </c>
      <c r="FS16" s="240">
        <v>45</v>
      </c>
      <c r="FU16" s="243">
        <v>50</v>
      </c>
      <c r="FV16" s="409">
        <v>0.11569</v>
      </c>
      <c r="FW16" s="396">
        <v>444.8</v>
      </c>
      <c r="FX16" s="499">
        <v>1.9044000000000001</v>
      </c>
      <c r="FY16" s="415">
        <v>0.90600000000000003</v>
      </c>
      <c r="FZ16" s="491">
        <v>1.1202000000000001</v>
      </c>
      <c r="GA16" s="396">
        <v>165.9</v>
      </c>
      <c r="GB16" s="731"/>
      <c r="GC16" s="409">
        <v>0.11047</v>
      </c>
      <c r="GD16" s="397">
        <v>444.6</v>
      </c>
      <c r="GE16" s="415">
        <v>1.9005000000000001</v>
      </c>
      <c r="GF16" s="415">
        <v>0.90749999999999997</v>
      </c>
      <c r="GG16" s="415">
        <v>1.1211</v>
      </c>
      <c r="GH16" s="396">
        <v>165.7</v>
      </c>
      <c r="GI16" s="240">
        <v>50</v>
      </c>
      <c r="GK16" s="243">
        <v>50</v>
      </c>
      <c r="GL16" s="409">
        <v>0.10571</v>
      </c>
      <c r="GM16" s="404">
        <v>444.5</v>
      </c>
      <c r="GN16" s="415">
        <v>1.8967000000000001</v>
      </c>
      <c r="GO16" s="415">
        <v>0.90900000000000003</v>
      </c>
      <c r="GP16" s="334">
        <v>1.1220000000000001</v>
      </c>
      <c r="GQ16" s="396">
        <v>165.5</v>
      </c>
      <c r="GR16" s="731"/>
      <c r="GS16" s="409">
        <v>0.1031</v>
      </c>
      <c r="GT16" s="397">
        <v>448.9</v>
      </c>
      <c r="GU16" s="241">
        <v>1.907</v>
      </c>
      <c r="GV16" s="170">
        <v>0.91649999999999998</v>
      </c>
      <c r="GW16" s="241">
        <v>1.1204000000000001</v>
      </c>
      <c r="GX16" s="397">
        <v>166.8</v>
      </c>
      <c r="GY16" s="240">
        <v>55</v>
      </c>
      <c r="HA16" s="243">
        <v>55</v>
      </c>
      <c r="HB16" s="340">
        <v>9.8989999999999995E-2</v>
      </c>
      <c r="HC16" s="396">
        <v>448.7</v>
      </c>
      <c r="HD16" s="334">
        <v>1.9035</v>
      </c>
      <c r="HE16" s="334">
        <v>0.91790000000000005</v>
      </c>
      <c r="HF16" s="334">
        <v>1.1213</v>
      </c>
      <c r="HG16" s="396">
        <v>166.6</v>
      </c>
      <c r="HH16" s="731"/>
      <c r="HI16" s="340">
        <v>9.5170000000000005E-2</v>
      </c>
      <c r="HJ16" s="397">
        <v>448.6</v>
      </c>
      <c r="HK16" s="334">
        <v>1.9000999999999999</v>
      </c>
      <c r="HL16" s="334">
        <v>0.91930000000000001</v>
      </c>
      <c r="HM16" s="334">
        <v>1.1221000000000001</v>
      </c>
      <c r="HN16" s="396">
        <v>166.4</v>
      </c>
      <c r="HO16" s="240">
        <v>55</v>
      </c>
      <c r="HQ16" s="243">
        <v>55</v>
      </c>
      <c r="HR16" s="340">
        <v>9.7629999999999995E-2</v>
      </c>
      <c r="HS16" s="396">
        <v>448.5</v>
      </c>
      <c r="HT16" s="491">
        <v>1.8968</v>
      </c>
      <c r="HU16" s="334">
        <v>0.92069999999999996</v>
      </c>
      <c r="HV16" s="491">
        <v>1.123</v>
      </c>
      <c r="HW16" s="396">
        <v>166.2</v>
      </c>
      <c r="HX16" s="731"/>
      <c r="HY16" s="340">
        <v>8.8349999999999998E-2</v>
      </c>
      <c r="HZ16" s="397">
        <v>448.3</v>
      </c>
      <c r="IA16" s="334">
        <v>1.8935999999999999</v>
      </c>
      <c r="IB16" s="334">
        <v>0.92210000000000003</v>
      </c>
      <c r="IC16" s="334">
        <v>1.1238999999999999</v>
      </c>
      <c r="ID16" s="397">
        <v>166</v>
      </c>
      <c r="IE16" s="240">
        <v>55</v>
      </c>
      <c r="IG16" s="243">
        <v>60</v>
      </c>
      <c r="IH16" s="409">
        <v>8.6779999999999996E-2</v>
      </c>
      <c r="II16" s="396">
        <v>452.8</v>
      </c>
      <c r="IJ16" s="499">
        <v>1.9045000000000001</v>
      </c>
      <c r="IK16" s="415">
        <v>0.92920000000000003</v>
      </c>
      <c r="IL16" s="491">
        <v>1.1220000000000001</v>
      </c>
      <c r="IM16" s="396">
        <v>167.3</v>
      </c>
      <c r="IN16" s="731"/>
      <c r="IO16" s="409">
        <v>8.3849999999999994E-2</v>
      </c>
      <c r="IP16" s="397">
        <v>452.7</v>
      </c>
      <c r="IQ16" s="415">
        <v>1.9015</v>
      </c>
      <c r="IR16" s="415">
        <v>0.93049999999999999</v>
      </c>
      <c r="IS16" s="415">
        <v>1.1228</v>
      </c>
      <c r="IT16" s="396">
        <v>167.1</v>
      </c>
      <c r="IU16" s="240">
        <v>60</v>
      </c>
      <c r="IW16" s="254">
        <v>60</v>
      </c>
      <c r="IX16" s="512">
        <v>8.1119999999999998E-2</v>
      </c>
      <c r="IY16" s="514">
        <v>452.5</v>
      </c>
      <c r="IZ16" s="523">
        <v>1.8986000000000001</v>
      </c>
      <c r="JA16" s="523">
        <v>0.93189999999999995</v>
      </c>
      <c r="JB16" s="523">
        <v>1.1236999999999999</v>
      </c>
      <c r="JC16" s="526">
        <v>166.9</v>
      </c>
      <c r="JD16" s="731"/>
      <c r="JE16" s="511">
        <v>7.8539999999999999E-2</v>
      </c>
      <c r="JF16" s="528">
        <v>452.4</v>
      </c>
      <c r="JG16" s="522">
        <v>1.8957999999999999</v>
      </c>
      <c r="JH16" s="508">
        <v>0.93320000000000003</v>
      </c>
      <c r="JI16" s="523">
        <v>1.1245000000000001</v>
      </c>
      <c r="JJ16" s="528">
        <v>166.7</v>
      </c>
      <c r="JK16" s="257">
        <v>60</v>
      </c>
      <c r="JM16" s="254">
        <v>60</v>
      </c>
      <c r="JN16" s="509">
        <v>7.6119999999999993E-2</v>
      </c>
      <c r="JO16" s="514">
        <v>452.2</v>
      </c>
      <c r="JP16" s="508">
        <v>1.8931</v>
      </c>
      <c r="JQ16" s="508">
        <v>0.93459999999999999</v>
      </c>
      <c r="JR16" s="508">
        <v>1.1254</v>
      </c>
      <c r="JS16" s="526">
        <v>166.5</v>
      </c>
      <c r="JT16" s="731"/>
      <c r="JU16" s="537">
        <v>7.5149999999999995E-2</v>
      </c>
      <c r="JV16" s="530">
        <v>456.8</v>
      </c>
      <c r="JW16" s="536">
        <v>1.9044000000000001</v>
      </c>
      <c r="JX16" s="508">
        <v>0.94120000000000004</v>
      </c>
      <c r="JY16" s="508">
        <v>1.1234</v>
      </c>
      <c r="JZ16" s="514">
        <v>167.8</v>
      </c>
      <c r="KA16" s="194">
        <v>65</v>
      </c>
      <c r="KC16" s="176">
        <v>65</v>
      </c>
      <c r="KD16" s="340">
        <v>7.2959999999999997E-2</v>
      </c>
      <c r="KE16" s="540">
        <v>456.6</v>
      </c>
      <c r="KF16" s="196">
        <v>1.9017999999999999</v>
      </c>
      <c r="KG16" s="170">
        <v>0.9425</v>
      </c>
      <c r="KH16" s="196">
        <v>1.1242000000000001</v>
      </c>
      <c r="KI16" s="540">
        <v>167.6</v>
      </c>
      <c r="KJ16" s="731"/>
      <c r="KK16" s="340">
        <v>7.0879999999999999E-2</v>
      </c>
      <c r="KL16" s="397">
        <v>456.5</v>
      </c>
      <c r="KM16" s="334">
        <v>1.8992</v>
      </c>
      <c r="KN16" s="334">
        <v>0.94379999999999997</v>
      </c>
      <c r="KO16" s="334">
        <v>1.125</v>
      </c>
      <c r="KP16" s="540">
        <v>167.4</v>
      </c>
      <c r="KQ16" s="260">
        <v>65</v>
      </c>
      <c r="KS16" s="243">
        <v>65</v>
      </c>
      <c r="KT16" s="409">
        <v>6.8919999999999995E-2</v>
      </c>
      <c r="KU16" s="543">
        <v>456.4</v>
      </c>
      <c r="KV16" s="415">
        <v>1.8968</v>
      </c>
      <c r="KW16" s="415">
        <v>0.94510000000000005</v>
      </c>
      <c r="KX16" s="541">
        <v>1.1257999999999999</v>
      </c>
      <c r="KY16" s="543">
        <v>167.2</v>
      </c>
      <c r="KZ16" s="731"/>
      <c r="LA16" s="421">
        <v>6.7059999999999995E-2</v>
      </c>
      <c r="LB16" s="397">
        <v>456.2</v>
      </c>
      <c r="LC16" s="415">
        <v>1.8944000000000001</v>
      </c>
      <c r="LD16" s="415">
        <v>0.94640000000000002</v>
      </c>
      <c r="LE16" s="415">
        <v>1.1266</v>
      </c>
      <c r="LF16" s="540">
        <v>167</v>
      </c>
      <c r="LG16" s="240">
        <v>65</v>
      </c>
      <c r="LI16" s="254">
        <v>65</v>
      </c>
      <c r="LJ16" s="512">
        <v>6.5290000000000001E-2</v>
      </c>
      <c r="LK16" s="514">
        <v>456.1</v>
      </c>
      <c r="LL16" s="523">
        <v>1.8919999999999999</v>
      </c>
      <c r="LM16" s="523">
        <v>0.94769999999999999</v>
      </c>
      <c r="LN16" s="523">
        <v>1.1274</v>
      </c>
      <c r="LO16" s="526">
        <v>166.9</v>
      </c>
      <c r="LP16" s="731"/>
      <c r="LQ16" s="511">
        <v>6.2330000000000003E-2</v>
      </c>
      <c r="LR16" s="530">
        <v>460.5</v>
      </c>
      <c r="LS16" s="523">
        <v>1.9003000000000001</v>
      </c>
      <c r="LT16" s="536">
        <v>0.95579999999999998</v>
      </c>
      <c r="LU16" s="508">
        <v>1.1264000000000001</v>
      </c>
      <c r="LV16" s="526">
        <v>167.9</v>
      </c>
      <c r="LW16" s="265">
        <v>70</v>
      </c>
      <c r="LY16" s="193">
        <v>70</v>
      </c>
      <c r="LZ16" s="537">
        <v>5.867E-2</v>
      </c>
      <c r="MA16" s="514">
        <v>460.2</v>
      </c>
      <c r="MB16" s="508">
        <v>1.8949</v>
      </c>
      <c r="MC16" s="536">
        <v>0.95889999999999997</v>
      </c>
      <c r="MD16" s="536">
        <v>1.1283000000000001</v>
      </c>
      <c r="ME16" s="526">
        <v>167.5</v>
      </c>
      <c r="MF16" s="731"/>
      <c r="MG16" s="537">
        <v>5.5390000000000002E-2</v>
      </c>
      <c r="MH16" s="528">
        <v>459.8</v>
      </c>
      <c r="MI16" s="191">
        <v>1.8897999999999999</v>
      </c>
      <c r="MJ16" s="192">
        <v>0.96199999999999997</v>
      </c>
      <c r="MK16" s="191">
        <v>1.1303000000000001</v>
      </c>
      <c r="ML16" s="526">
        <v>167</v>
      </c>
      <c r="MM16" s="194">
        <v>70</v>
      </c>
      <c r="MO16" s="176">
        <v>75</v>
      </c>
      <c r="MP16" s="340">
        <v>5.339E-2</v>
      </c>
      <c r="MQ16" s="396">
        <v>464.3</v>
      </c>
      <c r="MR16" s="334">
        <v>1.8989</v>
      </c>
      <c r="MS16" s="334">
        <v>0.96950000000000003</v>
      </c>
      <c r="MT16" s="335">
        <v>1.129</v>
      </c>
      <c r="MU16" s="396">
        <v>168.2</v>
      </c>
      <c r="MV16" s="731"/>
      <c r="MW16" s="340">
        <v>5.0680000000000003E-2</v>
      </c>
      <c r="MX16" s="397">
        <v>464</v>
      </c>
      <c r="MY16" s="334">
        <v>1.8942000000000001</v>
      </c>
      <c r="MZ16" s="334">
        <v>0.97250000000000003</v>
      </c>
      <c r="NA16" s="334">
        <v>1.1309</v>
      </c>
      <c r="NB16" s="397">
        <v>167.7</v>
      </c>
      <c r="NC16" s="260">
        <v>75</v>
      </c>
      <c r="NE16" s="243">
        <v>75</v>
      </c>
      <c r="NF16" s="409">
        <v>4.8219999999999999E-2</v>
      </c>
      <c r="NG16" s="396">
        <v>463.7</v>
      </c>
      <c r="NH16" s="415">
        <v>1.8897999999999999</v>
      </c>
      <c r="NI16" s="415">
        <v>0.97550000000000003</v>
      </c>
      <c r="NJ16" s="335">
        <v>1.1328</v>
      </c>
      <c r="NK16" s="396">
        <v>167.3</v>
      </c>
      <c r="NL16" s="731"/>
      <c r="NM16" s="409">
        <v>4.6809999999999997E-2</v>
      </c>
      <c r="NN16" s="397">
        <v>468.3</v>
      </c>
      <c r="NO16" s="415">
        <v>1.8994</v>
      </c>
      <c r="NP16" s="334">
        <v>0.98250000000000004</v>
      </c>
      <c r="NQ16" s="415">
        <v>1.1313</v>
      </c>
      <c r="NR16" s="396">
        <v>168.5</v>
      </c>
      <c r="NS16" s="240">
        <v>80</v>
      </c>
      <c r="NU16" s="254">
        <v>80</v>
      </c>
      <c r="NV16" s="463">
        <v>4.4720000000000003E-2</v>
      </c>
      <c r="NW16" s="528">
        <v>468</v>
      </c>
      <c r="NX16" s="470">
        <v>1.8953</v>
      </c>
      <c r="NY16" s="470">
        <v>0.98540000000000005</v>
      </c>
      <c r="NZ16" s="459">
        <v>1.1331</v>
      </c>
      <c r="OA16" s="476">
        <v>168.1</v>
      </c>
      <c r="OB16" s="731"/>
      <c r="OC16" s="511">
        <v>4.2790000000000002E-2</v>
      </c>
      <c r="OD16" s="528">
        <v>467.7</v>
      </c>
      <c r="OE16" s="575">
        <v>1.8913</v>
      </c>
      <c r="OF16" s="459">
        <v>0.98839999999999995</v>
      </c>
      <c r="OG16" s="575">
        <v>1.135</v>
      </c>
      <c r="OH16" s="476">
        <v>167.6</v>
      </c>
      <c r="OI16" s="257">
        <v>80</v>
      </c>
      <c r="OK16" s="193">
        <v>80</v>
      </c>
      <c r="OL16" s="460">
        <v>4.1020000000000001E-2</v>
      </c>
      <c r="OM16" s="468">
        <v>467.3</v>
      </c>
      <c r="ON16" s="459">
        <v>1.8874</v>
      </c>
      <c r="OO16" s="459">
        <v>0.99129999999999996</v>
      </c>
      <c r="OP16" s="459">
        <v>1.137</v>
      </c>
      <c r="OQ16" s="476">
        <v>167.2</v>
      </c>
      <c r="OR16" s="731"/>
      <c r="OS16" s="537">
        <v>4.0099999999999997E-2</v>
      </c>
      <c r="OT16" s="528">
        <v>472</v>
      </c>
      <c r="OU16" s="536">
        <v>1.8976999999999999</v>
      </c>
      <c r="OV16" s="536">
        <v>0.99770000000000003</v>
      </c>
      <c r="OW16" s="459">
        <v>1.135</v>
      </c>
      <c r="OX16" s="476">
        <v>168.5</v>
      </c>
      <c r="OY16" s="194">
        <v>85</v>
      </c>
      <c r="PA16" s="176">
        <v>85</v>
      </c>
      <c r="PB16" s="340">
        <v>3.8550000000000001E-2</v>
      </c>
      <c r="PC16" s="396">
        <v>471.7</v>
      </c>
      <c r="PD16" s="541">
        <v>1.8940999999999999</v>
      </c>
      <c r="PE16" s="334">
        <v>1.0004999999999999</v>
      </c>
      <c r="PF16" s="541">
        <v>1.1369</v>
      </c>
      <c r="PG16" s="396">
        <v>168</v>
      </c>
      <c r="PH16" s="731"/>
      <c r="PI16" s="340">
        <v>3.7109999999999997E-2</v>
      </c>
      <c r="PJ16" s="397">
        <v>471.4</v>
      </c>
      <c r="PK16" s="334">
        <v>1.8906000000000001</v>
      </c>
      <c r="PL16" s="334">
        <v>1.0033000000000001</v>
      </c>
      <c r="PM16" s="334">
        <v>1.1387</v>
      </c>
      <c r="PN16" s="397">
        <v>167.6</v>
      </c>
      <c r="PO16" s="260">
        <v>85</v>
      </c>
      <c r="PQ16" s="243">
        <v>85</v>
      </c>
      <c r="PR16" s="409">
        <v>3.576E-2</v>
      </c>
      <c r="PS16" s="396">
        <v>471.1</v>
      </c>
      <c r="PT16" s="546">
        <v>1.8872</v>
      </c>
      <c r="PU16" s="415">
        <v>1.0063</v>
      </c>
      <c r="PV16" s="541">
        <v>1.1406000000000001</v>
      </c>
      <c r="PW16" s="396">
        <v>167.2</v>
      </c>
      <c r="PX16" s="731"/>
      <c r="PY16" s="409">
        <v>3.3950000000000001E-2</v>
      </c>
      <c r="PZ16" s="397">
        <v>475.5</v>
      </c>
      <c r="QA16" s="415">
        <v>1.8947000000000001</v>
      </c>
      <c r="QB16" s="415">
        <v>1.0146999999999999</v>
      </c>
      <c r="QC16" s="415">
        <v>1.1402000000000001</v>
      </c>
      <c r="QD16" s="396">
        <v>168.1</v>
      </c>
      <c r="QE16" s="240">
        <v>90</v>
      </c>
      <c r="QG16" s="254">
        <v>90</v>
      </c>
      <c r="QH16" s="512">
        <v>3.1759999999999997E-2</v>
      </c>
      <c r="QI16" s="514">
        <v>474.9</v>
      </c>
      <c r="QJ16" s="523">
        <v>1.8885000000000001</v>
      </c>
      <c r="QK16" s="523">
        <v>1.0204</v>
      </c>
      <c r="QL16" s="523">
        <v>1.1438999999999999</v>
      </c>
      <c r="QM16" s="526">
        <v>167.3</v>
      </c>
      <c r="QN16" s="731"/>
      <c r="QO16" s="511">
        <v>3.039E-2</v>
      </c>
      <c r="QP16" s="532">
        <v>479.4</v>
      </c>
      <c r="QQ16" s="256">
        <v>1.8967000000000001</v>
      </c>
      <c r="QR16" s="191">
        <v>1.0282</v>
      </c>
      <c r="QS16" s="256">
        <v>1.1431</v>
      </c>
      <c r="QT16" s="527">
        <v>168.3</v>
      </c>
      <c r="QU16" s="265">
        <v>95</v>
      </c>
      <c r="QW16" s="193">
        <v>95</v>
      </c>
      <c r="QX16" s="537">
        <v>2.862E-2</v>
      </c>
      <c r="QY16" s="517">
        <v>478.9</v>
      </c>
      <c r="QZ16" s="508">
        <v>1.8911</v>
      </c>
      <c r="RA16" s="508">
        <v>1.0337000000000001</v>
      </c>
      <c r="RB16" s="536">
        <v>1.1468</v>
      </c>
      <c r="RC16" s="526">
        <v>167.5</v>
      </c>
      <c r="RD16" s="731"/>
      <c r="RE16" s="537">
        <v>2.7029999999999998E-2</v>
      </c>
      <c r="RF16" s="528">
        <v>478.3</v>
      </c>
      <c r="RG16" s="508">
        <v>1.8856999999999999</v>
      </c>
      <c r="RH16" s="508">
        <v>1.0392999999999999</v>
      </c>
      <c r="RI16" s="508">
        <v>1.1506000000000001</v>
      </c>
      <c r="RJ16" s="526">
        <v>166.8</v>
      </c>
      <c r="RK16" s="279">
        <v>95</v>
      </c>
      <c r="RM16" s="270">
        <v>100</v>
      </c>
      <c r="RN16" s="340">
        <v>2.477E-2</v>
      </c>
      <c r="RO16" s="396">
        <v>482.3</v>
      </c>
      <c r="RP16" s="491">
        <v>1.8896999999999999</v>
      </c>
      <c r="RQ16" s="491">
        <v>1.0517000000000001</v>
      </c>
      <c r="RR16" s="492">
        <v>1.1529</v>
      </c>
      <c r="RS16" s="489">
        <v>167.1</v>
      </c>
      <c r="RT16" s="731"/>
      <c r="RU16" s="340">
        <v>2.29E-2</v>
      </c>
      <c r="RV16" s="397">
        <v>486.5</v>
      </c>
      <c r="RW16" s="334">
        <v>1.8944000000000001</v>
      </c>
      <c r="RX16" s="492">
        <v>1.0632999999999999</v>
      </c>
      <c r="RY16" s="334">
        <v>1.1549</v>
      </c>
      <c r="RZ16" s="488">
        <v>167.5</v>
      </c>
      <c r="SA16" s="260">
        <v>105</v>
      </c>
      <c r="SC16" s="268">
        <v>105</v>
      </c>
      <c r="SD16" s="409">
        <v>2.0910000000000002E-2</v>
      </c>
      <c r="SE16" s="396">
        <v>485.3</v>
      </c>
      <c r="SF16" s="499">
        <v>1.8855999999999999</v>
      </c>
      <c r="SG16" s="415">
        <v>1.0743</v>
      </c>
      <c r="SH16" s="500">
        <v>1.1624000000000001</v>
      </c>
      <c r="SI16" s="489">
        <v>166</v>
      </c>
      <c r="SJ16" s="731"/>
      <c r="SK16" s="409">
        <v>1.9599999999999999E-2</v>
      </c>
      <c r="SL16" s="176">
        <v>489.6</v>
      </c>
      <c r="SM16" s="415">
        <v>1.8915</v>
      </c>
      <c r="SN16" s="499">
        <v>1.0849</v>
      </c>
      <c r="SO16" s="415">
        <v>1.1637</v>
      </c>
      <c r="SP16" s="190">
        <v>166.6</v>
      </c>
      <c r="SQ16" s="245">
        <v>110</v>
      </c>
      <c r="SS16" s="268">
        <v>115</v>
      </c>
      <c r="ST16" s="409">
        <v>1.847E-2</v>
      </c>
      <c r="SU16" s="170">
        <v>494</v>
      </c>
      <c r="SV16" s="499">
        <v>1.8977999999999999</v>
      </c>
      <c r="SW16" s="499">
        <v>1.0948</v>
      </c>
      <c r="SX16" s="387">
        <v>1.1647000000000001</v>
      </c>
      <c r="SY16" s="190">
        <v>167.2</v>
      </c>
      <c r="SZ16" s="731"/>
      <c r="TA16" s="497">
        <v>1.7139999999999999E-2</v>
      </c>
      <c r="TB16" s="397">
        <v>492.9</v>
      </c>
      <c r="TC16" s="415">
        <v>1.8905000000000001</v>
      </c>
      <c r="TD16" s="491">
        <v>1.1053999999999999</v>
      </c>
      <c r="TE16" s="334">
        <v>1.1720999999999999</v>
      </c>
      <c r="TF16" s="488">
        <v>165.9</v>
      </c>
      <c r="TG16" s="240">
        <v>115</v>
      </c>
      <c r="TI16" s="176">
        <v>120</v>
      </c>
      <c r="TJ16" s="340">
        <v>1.6310000000000002E-2</v>
      </c>
      <c r="TK16" s="396">
        <v>497.4</v>
      </c>
      <c r="TL16" s="491">
        <v>1.8976</v>
      </c>
      <c r="TM16" s="491">
        <v>1.1143000000000001</v>
      </c>
      <c r="TN16" s="334">
        <v>1.1724000000000001</v>
      </c>
      <c r="TO16" s="489">
        <v>166.6</v>
      </c>
      <c r="TP16" s="731"/>
      <c r="TQ16" s="490">
        <v>1.524E-2</v>
      </c>
      <c r="TR16" s="488">
        <v>496.3</v>
      </c>
      <c r="TS16" s="422">
        <v>1.8909</v>
      </c>
      <c r="TT16" s="491">
        <v>1.1249</v>
      </c>
      <c r="TU16" s="491">
        <v>1.1798</v>
      </c>
      <c r="TV16" s="489">
        <v>165.3</v>
      </c>
      <c r="TW16" s="271">
        <v>120</v>
      </c>
      <c r="TY16" s="270">
        <v>125</v>
      </c>
      <c r="TZ16" s="474">
        <v>1.461E-2</v>
      </c>
      <c r="UA16" s="467">
        <v>500.9</v>
      </c>
      <c r="UB16" s="491">
        <v>1.8987000000000001</v>
      </c>
      <c r="UC16" s="491">
        <v>1.1327</v>
      </c>
      <c r="UD16" s="610">
        <v>1.1795</v>
      </c>
      <c r="UE16" s="489">
        <v>166.2</v>
      </c>
      <c r="UF16" s="749"/>
      <c r="UG16" s="474">
        <v>1.374E-2</v>
      </c>
      <c r="UH16" s="478">
        <v>499.8</v>
      </c>
      <c r="UI16" s="473">
        <v>1.8925000000000001</v>
      </c>
      <c r="UJ16" s="610">
        <v>1.1433</v>
      </c>
      <c r="UK16" s="473">
        <v>1.1869000000000001</v>
      </c>
      <c r="UL16" s="488">
        <v>164.9</v>
      </c>
      <c r="UM16" s="310">
        <v>125</v>
      </c>
      <c r="UO16" s="268">
        <v>130</v>
      </c>
      <c r="UP16" s="464">
        <v>1.2529999999999999E-2</v>
      </c>
      <c r="UQ16" s="467">
        <v>503.5</v>
      </c>
      <c r="UR16" s="499">
        <v>1.8951</v>
      </c>
      <c r="US16" s="499">
        <v>1.1606000000000001</v>
      </c>
      <c r="UT16" s="610">
        <v>1.1934</v>
      </c>
      <c r="UU16" s="489">
        <v>164.7</v>
      </c>
      <c r="UV16" s="749"/>
      <c r="UW16" s="464">
        <v>1.153E-2</v>
      </c>
      <c r="UX16" s="478">
        <v>507.3</v>
      </c>
      <c r="UY16" s="471">
        <v>1.8986000000000001</v>
      </c>
      <c r="UZ16" s="622">
        <v>1.1767000000000001</v>
      </c>
      <c r="VA16" s="471">
        <v>1.1990000000000001</v>
      </c>
      <c r="VB16" s="489">
        <v>164.7</v>
      </c>
      <c r="VC16" s="248">
        <v>135</v>
      </c>
      <c r="VE16" s="264">
        <v>135</v>
      </c>
      <c r="VF16" s="512">
        <v>1.044E-2</v>
      </c>
      <c r="VG16" s="514">
        <v>505.2</v>
      </c>
      <c r="VH16" s="523">
        <v>1.8882000000000001</v>
      </c>
      <c r="VI16" s="523">
        <v>1.1988000000000001</v>
      </c>
      <c r="VJ16" s="339">
        <v>1.2149000000000001</v>
      </c>
      <c r="VK16" s="527">
        <v>162.30000000000001</v>
      </c>
      <c r="VL16" s="749"/>
      <c r="VM16" s="512">
        <v>9.75E-3</v>
      </c>
      <c r="VN16" s="532">
        <v>509.2</v>
      </c>
      <c r="VO16" s="522">
        <v>1.8929</v>
      </c>
      <c r="VP16" s="391">
        <v>1.2131000000000001</v>
      </c>
      <c r="VQ16" s="522">
        <v>1.2193000000000001</v>
      </c>
      <c r="VR16" s="526">
        <v>162.6</v>
      </c>
      <c r="VS16" s="257">
        <v>140</v>
      </c>
      <c r="VU16" s="193">
        <v>145</v>
      </c>
      <c r="VV16" s="537">
        <v>9.1599999999999997E-3</v>
      </c>
      <c r="VW16" s="514">
        <v>513.29999999999995</v>
      </c>
      <c r="VX16" s="508">
        <v>1.8983000000000001</v>
      </c>
      <c r="VY16" s="508">
        <v>1.2262</v>
      </c>
      <c r="VZ16" s="508">
        <v>1.2229000000000001</v>
      </c>
      <c r="WA16" s="526">
        <v>163</v>
      </c>
      <c r="WB16" s="749"/>
      <c r="WC16" s="509">
        <v>8.4399999999999996E-3</v>
      </c>
      <c r="WD16" s="528">
        <v>511.3</v>
      </c>
      <c r="WE16" s="536">
        <v>1.8893</v>
      </c>
      <c r="WF16" s="508">
        <v>1.2486999999999999</v>
      </c>
      <c r="WG16" s="508">
        <v>1.2393000000000001</v>
      </c>
      <c r="WH16" s="526">
        <v>160.9</v>
      </c>
      <c r="WI16" s="279">
        <v>145</v>
      </c>
      <c r="WK16" s="199">
        <v>150</v>
      </c>
      <c r="WL16" s="509">
        <v>8.0099999999999998E-3</v>
      </c>
      <c r="WM16" s="514">
        <v>515.6</v>
      </c>
      <c r="WN16" s="508">
        <v>1.8956</v>
      </c>
      <c r="WO16" s="508">
        <v>1.2595000000000001</v>
      </c>
      <c r="WP16" s="508">
        <v>1.2413000000000001</v>
      </c>
      <c r="WQ16" s="526">
        <v>161.6</v>
      </c>
      <c r="WR16" s="749"/>
      <c r="WS16" s="509">
        <v>7.6299999999999996E-3</v>
      </c>
      <c r="WT16" s="528">
        <v>520</v>
      </c>
      <c r="WU16" s="536">
        <v>1.9021999999999999</v>
      </c>
      <c r="WV16" s="492">
        <v>1.2689999999999999</v>
      </c>
      <c r="WW16" s="536">
        <v>1.2423999999999999</v>
      </c>
      <c r="WX16" s="530">
        <v>162.4</v>
      </c>
      <c r="WY16" s="194">
        <v>155</v>
      </c>
      <c r="WZ16" s="400"/>
      <c r="XA16" s="264">
        <v>155</v>
      </c>
      <c r="XB16" s="512">
        <v>7.11E-3</v>
      </c>
      <c r="XC16" s="514">
        <v>518.1</v>
      </c>
      <c r="XD16" s="523">
        <v>1.8944000000000001</v>
      </c>
      <c r="XE16" s="523">
        <v>1.2909999999999999</v>
      </c>
      <c r="XF16" s="492">
        <v>1.2583</v>
      </c>
      <c r="XG16" s="526">
        <v>160.69999999999999</v>
      </c>
      <c r="XH16" s="749"/>
      <c r="XI16" s="512">
        <v>6.8300000000000001E-3</v>
      </c>
      <c r="XJ16" s="528">
        <v>522.70000000000005</v>
      </c>
      <c r="XK16" s="522">
        <v>1.9017999999999999</v>
      </c>
      <c r="XL16" s="500">
        <v>1.2981</v>
      </c>
      <c r="XM16" s="522">
        <v>1.2577</v>
      </c>
      <c r="XN16" s="526">
        <v>161.69999999999999</v>
      </c>
      <c r="XO16" s="257">
        <v>160</v>
      </c>
      <c r="XP16" s="188"/>
    </row>
    <row r="17" spans="1:640" ht="15.75" thickBot="1" x14ac:dyDescent="0.3">
      <c r="A17" s="246">
        <v>-5</v>
      </c>
      <c r="B17" s="365">
        <v>2.1786500000000002</v>
      </c>
      <c r="C17" s="368">
        <v>402.2</v>
      </c>
      <c r="D17" s="360">
        <v>2.0087000000000002</v>
      </c>
      <c r="E17" s="360">
        <v>0.78129999999999999</v>
      </c>
      <c r="F17" s="387">
        <v>1.1187</v>
      </c>
      <c r="G17" s="172">
        <v>155.9</v>
      </c>
      <c r="H17" s="266"/>
      <c r="I17" s="365">
        <v>1.1274</v>
      </c>
      <c r="J17" s="374">
        <v>409.9</v>
      </c>
      <c r="K17" s="360">
        <v>1.9805999999999999</v>
      </c>
      <c r="L17" s="358">
        <v>0.80169999999999997</v>
      </c>
      <c r="M17" s="360">
        <v>1.1169</v>
      </c>
      <c r="N17" s="368">
        <v>158.30000000000001</v>
      </c>
      <c r="O17" s="382">
        <v>5</v>
      </c>
      <c r="P17" s="238"/>
      <c r="Q17" s="282">
        <v>15</v>
      </c>
      <c r="R17" s="363">
        <v>0.77759999999999996</v>
      </c>
      <c r="S17" s="368">
        <v>417.8</v>
      </c>
      <c r="T17" s="358">
        <v>1.9757</v>
      </c>
      <c r="U17" s="358">
        <v>0.82130000000000003</v>
      </c>
      <c r="V17" s="358">
        <v>1.1149</v>
      </c>
      <c r="W17" s="368">
        <v>160.69999999999999</v>
      </c>
      <c r="X17" s="266"/>
      <c r="Y17" s="363">
        <v>0.59206999999999999</v>
      </c>
      <c r="Z17" s="374">
        <v>421.7</v>
      </c>
      <c r="AA17" s="358">
        <v>1.9659</v>
      </c>
      <c r="AB17" s="358">
        <v>0.83179999999999998</v>
      </c>
      <c r="AC17" s="358">
        <v>1.1144000000000001</v>
      </c>
      <c r="AD17" s="368">
        <v>161.80000000000001</v>
      </c>
      <c r="AE17" s="283">
        <v>20</v>
      </c>
      <c r="AF17" s="37"/>
      <c r="AG17" s="243">
        <v>20</v>
      </c>
      <c r="AH17" s="340">
        <v>0.47259000000000001</v>
      </c>
      <c r="AI17" s="396">
        <v>421.5</v>
      </c>
      <c r="AJ17" s="334">
        <v>1.9473</v>
      </c>
      <c r="AK17" s="334">
        <v>0.83379999999999999</v>
      </c>
      <c r="AL17" s="334">
        <v>1.1155999999999999</v>
      </c>
      <c r="AM17" s="406">
        <v>161.5</v>
      </c>
      <c r="AN17" s="731"/>
      <c r="AO17" s="393">
        <v>0.4</v>
      </c>
      <c r="AP17" s="397">
        <v>425.5</v>
      </c>
      <c r="AQ17" s="334">
        <v>1.9460999999999999</v>
      </c>
      <c r="AR17" s="334">
        <v>0.84389999999999998</v>
      </c>
      <c r="AS17" s="401">
        <v>1.115</v>
      </c>
      <c r="AT17" s="397">
        <v>162.6</v>
      </c>
      <c r="AU17" s="240">
        <v>25</v>
      </c>
      <c r="AV17" s="37"/>
      <c r="AW17" s="243">
        <v>30</v>
      </c>
      <c r="AX17" s="409">
        <v>0.34819</v>
      </c>
      <c r="AY17" s="396">
        <v>429.6</v>
      </c>
      <c r="AZ17" s="416">
        <v>1.9473</v>
      </c>
      <c r="BA17" s="415">
        <v>0.85370000000000001</v>
      </c>
      <c r="BB17" s="419">
        <v>1.1143000000000001</v>
      </c>
      <c r="BC17" s="394">
        <v>163.69999999999999</v>
      </c>
      <c r="BD17" s="731"/>
      <c r="BE17" s="409">
        <v>0.30403999999999998</v>
      </c>
      <c r="BF17" s="397">
        <v>429.4</v>
      </c>
      <c r="BG17" s="415">
        <v>1.9359</v>
      </c>
      <c r="BH17" s="334">
        <v>0.85550000000000004</v>
      </c>
      <c r="BI17" s="416">
        <v>1.1153</v>
      </c>
      <c r="BJ17" s="396">
        <v>163.5</v>
      </c>
      <c r="BK17" s="240">
        <v>30</v>
      </c>
      <c r="BL17" s="37"/>
      <c r="BM17" s="243">
        <v>35</v>
      </c>
      <c r="BN17" s="409">
        <v>0.27450000000000002</v>
      </c>
      <c r="BO17" s="396">
        <v>433.6</v>
      </c>
      <c r="BP17" s="415">
        <v>1.94</v>
      </c>
      <c r="BQ17" s="415">
        <v>0.8649</v>
      </c>
      <c r="BR17" s="334">
        <v>1.1145</v>
      </c>
      <c r="BS17" s="396">
        <v>164.6</v>
      </c>
      <c r="BT17" s="731"/>
      <c r="BU17" s="409">
        <v>0.24661</v>
      </c>
      <c r="BV17" s="397">
        <v>433.4</v>
      </c>
      <c r="BW17" s="415">
        <v>1.931</v>
      </c>
      <c r="BX17" s="334">
        <v>0.86650000000000005</v>
      </c>
      <c r="BY17" s="415">
        <v>1.1154999999999999</v>
      </c>
      <c r="BZ17" s="397">
        <v>164.3</v>
      </c>
      <c r="CA17" s="240">
        <v>35</v>
      </c>
      <c r="CB17" s="37"/>
      <c r="CC17" s="243">
        <v>35</v>
      </c>
      <c r="CD17" s="340">
        <v>0.24331</v>
      </c>
      <c r="CE17" s="396">
        <v>433.4</v>
      </c>
      <c r="CF17" s="334">
        <v>1.9298999999999999</v>
      </c>
      <c r="CG17" s="334">
        <v>0.86680000000000001</v>
      </c>
      <c r="CH17" s="334">
        <v>1.1155999999999999</v>
      </c>
      <c r="CI17" s="396">
        <v>164.3</v>
      </c>
      <c r="CJ17" s="731"/>
      <c r="CK17" s="340">
        <v>0.22769</v>
      </c>
      <c r="CL17" s="397">
        <v>437.6</v>
      </c>
      <c r="CM17" s="334">
        <v>1.9369000000000001</v>
      </c>
      <c r="CN17" s="334">
        <v>0.87560000000000004</v>
      </c>
      <c r="CO17" s="334">
        <v>1.1145</v>
      </c>
      <c r="CP17" s="396">
        <v>165.5</v>
      </c>
      <c r="CQ17" s="240">
        <v>40</v>
      </c>
      <c r="CS17" s="243">
        <v>40</v>
      </c>
      <c r="CT17" s="340">
        <v>0.20832999999999999</v>
      </c>
      <c r="CU17" s="442">
        <v>437.4</v>
      </c>
      <c r="CV17" s="444">
        <v>1.9294</v>
      </c>
      <c r="CW17" s="334">
        <v>0.87719999999999998</v>
      </c>
      <c r="CX17" s="444">
        <v>1.1154999999999999</v>
      </c>
      <c r="CY17" s="442">
        <v>165.3</v>
      </c>
      <c r="CZ17" s="731"/>
      <c r="DA17" s="440">
        <v>0.19198000000000001</v>
      </c>
      <c r="DB17" s="449">
        <v>437.3</v>
      </c>
      <c r="DC17" s="334">
        <v>1.9225000000000001</v>
      </c>
      <c r="DD17" s="334">
        <v>0.87880000000000003</v>
      </c>
      <c r="DE17" s="444">
        <v>1.1164000000000001</v>
      </c>
      <c r="DF17" s="397">
        <v>165</v>
      </c>
      <c r="DG17" s="240">
        <v>40</v>
      </c>
      <c r="DI17" s="243">
        <v>45</v>
      </c>
      <c r="DJ17" s="409">
        <v>0.18106</v>
      </c>
      <c r="DK17" s="396">
        <v>441.5</v>
      </c>
      <c r="DL17" s="417">
        <v>1.9300999999999999</v>
      </c>
      <c r="DM17" s="415">
        <v>0.88749999999999996</v>
      </c>
      <c r="DN17" s="334">
        <v>1.1153</v>
      </c>
      <c r="DO17" s="442">
        <v>166.2</v>
      </c>
      <c r="DP17" s="731"/>
      <c r="DQ17" s="409">
        <v>0.16869000000000001</v>
      </c>
      <c r="DR17" s="397">
        <v>441.4</v>
      </c>
      <c r="DS17" s="455">
        <v>1.9240999999999999</v>
      </c>
      <c r="DT17" s="415">
        <v>0.88900000000000001</v>
      </c>
      <c r="DU17" s="415">
        <v>1.1162000000000001</v>
      </c>
      <c r="DV17" s="442">
        <v>166</v>
      </c>
      <c r="DW17" s="240">
        <v>45</v>
      </c>
      <c r="DY17" s="247">
        <v>45</v>
      </c>
      <c r="DZ17" s="464">
        <v>0.15790000000000001</v>
      </c>
      <c r="EA17" s="467">
        <v>441.2</v>
      </c>
      <c r="EB17" s="470">
        <v>1.9185000000000001</v>
      </c>
      <c r="EC17" s="471">
        <v>0.89049999999999996</v>
      </c>
      <c r="ED17" s="471">
        <v>1.1171</v>
      </c>
      <c r="EE17" s="465">
        <v>165.8</v>
      </c>
      <c r="EF17" s="731"/>
      <c r="EG17" s="464">
        <v>0.15092</v>
      </c>
      <c r="EH17" s="476">
        <v>445.5</v>
      </c>
      <c r="EI17" s="471">
        <v>1.9272</v>
      </c>
      <c r="EJ17" s="459">
        <v>0.89880000000000004</v>
      </c>
      <c r="EK17" s="459">
        <v>1.1158999999999999</v>
      </c>
      <c r="EL17" s="478">
        <v>167</v>
      </c>
      <c r="EM17" s="248">
        <v>50</v>
      </c>
      <c r="EO17" s="247">
        <v>50</v>
      </c>
      <c r="EP17" s="460">
        <v>0.14230999999999999</v>
      </c>
      <c r="EQ17" s="467">
        <v>445.4</v>
      </c>
      <c r="ER17" s="459">
        <v>1.9221999999999999</v>
      </c>
      <c r="ES17" s="459">
        <v>0.90029999999999999</v>
      </c>
      <c r="ET17" s="459">
        <v>1.1167</v>
      </c>
      <c r="EU17" s="467">
        <v>166.8</v>
      </c>
      <c r="EV17" s="731"/>
      <c r="EW17" s="474">
        <v>0.13461000000000001</v>
      </c>
      <c r="EX17" s="478">
        <v>445.2</v>
      </c>
      <c r="EY17" s="473">
        <v>1.9174</v>
      </c>
      <c r="EZ17" s="473">
        <v>0.90169999999999995</v>
      </c>
      <c r="FA17" s="459">
        <v>1.1175999999999999</v>
      </c>
      <c r="FB17" s="467">
        <v>166.6</v>
      </c>
      <c r="FC17" s="248">
        <v>50</v>
      </c>
      <c r="FE17" s="243">
        <v>50</v>
      </c>
      <c r="FF17" s="340">
        <v>0.12767000000000001</v>
      </c>
      <c r="FG17" s="396">
        <v>445.1</v>
      </c>
      <c r="FH17" s="491">
        <v>1.9129</v>
      </c>
      <c r="FI17" s="334">
        <v>0.90310000000000001</v>
      </c>
      <c r="FJ17" s="491">
        <v>1.1185</v>
      </c>
      <c r="FK17" s="396">
        <v>166.3</v>
      </c>
      <c r="FL17" s="731"/>
      <c r="FM17" s="340">
        <v>0.1235</v>
      </c>
      <c r="FN17" s="397">
        <v>449.5</v>
      </c>
      <c r="FO17" s="334">
        <v>1.9225000000000001</v>
      </c>
      <c r="FP17" s="334">
        <v>0.91100000000000003</v>
      </c>
      <c r="FQ17" s="334">
        <v>1.1171</v>
      </c>
      <c r="FR17" s="397">
        <v>167.6</v>
      </c>
      <c r="FS17" s="240">
        <v>50</v>
      </c>
      <c r="FU17" s="243">
        <v>55</v>
      </c>
      <c r="FV17" s="409">
        <v>0.11772000000000001</v>
      </c>
      <c r="FW17" s="396">
        <v>449.3</v>
      </c>
      <c r="FX17" s="499">
        <v>1.9184000000000001</v>
      </c>
      <c r="FY17" s="415">
        <v>0.91239999999999999</v>
      </c>
      <c r="FZ17" s="492">
        <v>1.1178999999999999</v>
      </c>
      <c r="GA17" s="396">
        <v>167.4</v>
      </c>
      <c r="GB17" s="731"/>
      <c r="GC17" s="409">
        <v>0.11242000000000001</v>
      </c>
      <c r="GD17" s="397">
        <v>449.2</v>
      </c>
      <c r="GE17" s="415">
        <v>1.9145000000000001</v>
      </c>
      <c r="GF17" s="415">
        <v>0.91379999999999995</v>
      </c>
      <c r="GG17" s="415">
        <v>1.1187</v>
      </c>
      <c r="GH17" s="396">
        <v>167.2</v>
      </c>
      <c r="GI17" s="240">
        <v>55</v>
      </c>
      <c r="GK17" s="243">
        <v>55</v>
      </c>
      <c r="GL17" s="409">
        <v>0.10757</v>
      </c>
      <c r="GM17" s="404">
        <v>449</v>
      </c>
      <c r="GN17" s="415">
        <v>1.9107000000000001</v>
      </c>
      <c r="GO17" s="415">
        <v>0.91510000000000002</v>
      </c>
      <c r="GP17" s="334">
        <v>1.1195999999999999</v>
      </c>
      <c r="GQ17" s="396">
        <v>167</v>
      </c>
      <c r="GR17" s="731"/>
      <c r="GS17" s="409">
        <v>0.10489</v>
      </c>
      <c r="GT17" s="397">
        <v>453.5</v>
      </c>
      <c r="GU17" s="241">
        <v>1.9209000000000001</v>
      </c>
      <c r="GV17" s="170">
        <v>0.92269999999999996</v>
      </c>
      <c r="GW17" s="241">
        <v>1.1180000000000001</v>
      </c>
      <c r="GX17" s="397">
        <v>168.2</v>
      </c>
      <c r="GY17" s="240">
        <v>60</v>
      </c>
      <c r="HA17" s="243">
        <v>60</v>
      </c>
      <c r="HB17" s="340">
        <v>0.10073</v>
      </c>
      <c r="HC17" s="396">
        <v>453.4</v>
      </c>
      <c r="HD17" s="334">
        <v>1.9174</v>
      </c>
      <c r="HE17" s="334">
        <v>0.92400000000000004</v>
      </c>
      <c r="HF17" s="334">
        <v>1.1188</v>
      </c>
      <c r="HG17" s="396">
        <v>168</v>
      </c>
      <c r="HH17" s="731"/>
      <c r="HI17" s="340">
        <v>9.6850000000000006E-2</v>
      </c>
      <c r="HJ17" s="397">
        <v>453.2</v>
      </c>
      <c r="HK17" s="334">
        <v>1.9139999999999999</v>
      </c>
      <c r="HL17" s="334">
        <v>0.92530000000000001</v>
      </c>
      <c r="HM17" s="334">
        <v>1.1195999999999999</v>
      </c>
      <c r="HN17" s="396">
        <v>167.8</v>
      </c>
      <c r="HO17" s="240">
        <v>60</v>
      </c>
      <c r="HQ17" s="243">
        <v>60</v>
      </c>
      <c r="HR17" s="340">
        <v>9.325E-2</v>
      </c>
      <c r="HS17" s="396">
        <v>453.1</v>
      </c>
      <c r="HT17" s="491">
        <v>1.9108000000000001</v>
      </c>
      <c r="HU17" s="334">
        <v>0.92659999999999998</v>
      </c>
      <c r="HV17" s="491">
        <v>1.1204000000000001</v>
      </c>
      <c r="HW17" s="396">
        <v>167.6</v>
      </c>
      <c r="HX17" s="731"/>
      <c r="HY17" s="340">
        <v>8.9899999999999994E-2</v>
      </c>
      <c r="HZ17" s="397">
        <v>452.9</v>
      </c>
      <c r="IA17" s="334">
        <v>1.9076</v>
      </c>
      <c r="IB17" s="334">
        <v>0.92789999999999995</v>
      </c>
      <c r="IC17" s="334">
        <v>1.1212</v>
      </c>
      <c r="ID17" s="397">
        <v>167.4</v>
      </c>
      <c r="IE17" s="240">
        <v>60</v>
      </c>
      <c r="IG17" s="243">
        <v>65</v>
      </c>
      <c r="IH17" s="409">
        <v>8.8289999999999993E-2</v>
      </c>
      <c r="II17" s="396">
        <v>457.5</v>
      </c>
      <c r="IJ17" s="499">
        <v>1.9184000000000001</v>
      </c>
      <c r="IK17" s="415">
        <v>0.93500000000000005</v>
      </c>
      <c r="IL17" s="491">
        <v>1.1194999999999999</v>
      </c>
      <c r="IM17" s="396">
        <v>168.7</v>
      </c>
      <c r="IN17" s="731"/>
      <c r="IO17" s="409">
        <v>8.5319999999999993E-2</v>
      </c>
      <c r="IP17" s="397">
        <v>457.3</v>
      </c>
      <c r="IQ17" s="415">
        <v>1.9154</v>
      </c>
      <c r="IR17" s="415">
        <v>0.93630000000000002</v>
      </c>
      <c r="IS17" s="499">
        <v>1.1203000000000001</v>
      </c>
      <c r="IT17" s="396">
        <v>168.5</v>
      </c>
      <c r="IU17" s="240">
        <v>65</v>
      </c>
      <c r="IW17" s="254">
        <v>65</v>
      </c>
      <c r="IX17" s="512">
        <v>8.2540000000000002E-2</v>
      </c>
      <c r="IY17" s="514">
        <v>457.2</v>
      </c>
      <c r="IZ17" s="523">
        <v>1.9126000000000001</v>
      </c>
      <c r="JA17" s="523">
        <v>0.9375</v>
      </c>
      <c r="JB17" s="523">
        <v>1.121</v>
      </c>
      <c r="JC17" s="526">
        <v>168.4</v>
      </c>
      <c r="JD17" s="731"/>
      <c r="JE17" s="511">
        <v>7.9930000000000001E-2</v>
      </c>
      <c r="JF17" s="528">
        <v>457</v>
      </c>
      <c r="JG17" s="522">
        <v>1.9097999999999999</v>
      </c>
      <c r="JH17" s="508">
        <v>0.93869999999999998</v>
      </c>
      <c r="JI17" s="523">
        <v>1.1217999999999999</v>
      </c>
      <c r="JJ17" s="528">
        <v>168.2</v>
      </c>
      <c r="JK17" s="257">
        <v>65</v>
      </c>
      <c r="JM17" s="254">
        <v>65</v>
      </c>
      <c r="JN17" s="537">
        <v>7.7469999999999997E-2</v>
      </c>
      <c r="JO17" s="514">
        <v>456.9</v>
      </c>
      <c r="JP17" s="508">
        <v>1.907</v>
      </c>
      <c r="JQ17" s="508">
        <v>0.94</v>
      </c>
      <c r="JR17" s="508">
        <v>1.1226</v>
      </c>
      <c r="JS17" s="526">
        <v>168</v>
      </c>
      <c r="JT17" s="731"/>
      <c r="JU17" s="537">
        <v>7.6450000000000004E-2</v>
      </c>
      <c r="JV17" s="530">
        <v>461.5</v>
      </c>
      <c r="JW17" s="508">
        <v>1.9181999999999999</v>
      </c>
      <c r="JX17" s="536">
        <v>0.94679999999999997</v>
      </c>
      <c r="JY17" s="508">
        <v>1.1207</v>
      </c>
      <c r="JZ17" s="526">
        <v>169.3</v>
      </c>
      <c r="KA17" s="279">
        <v>70</v>
      </c>
      <c r="KC17" s="176">
        <v>70</v>
      </c>
      <c r="KD17" s="340">
        <v>7.4230000000000004E-2</v>
      </c>
      <c r="KE17" s="396">
        <v>461.4</v>
      </c>
      <c r="KF17" s="170">
        <v>1.9156</v>
      </c>
      <c r="KG17" s="196">
        <v>0.94799999999999995</v>
      </c>
      <c r="KH17" s="170">
        <v>1.1214999999999999</v>
      </c>
      <c r="KI17" s="398">
        <v>169.1</v>
      </c>
      <c r="KJ17" s="731"/>
      <c r="KK17" s="340">
        <v>7.213E-2</v>
      </c>
      <c r="KL17" s="542">
        <v>461.2</v>
      </c>
      <c r="KM17" s="334">
        <v>1.9131</v>
      </c>
      <c r="KN17" s="334">
        <v>0.94910000000000005</v>
      </c>
      <c r="KO17" s="334">
        <v>1.1222000000000001</v>
      </c>
      <c r="KP17" s="396">
        <v>168.9</v>
      </c>
      <c r="KQ17" s="260">
        <v>70</v>
      </c>
      <c r="KS17" s="243">
        <v>70</v>
      </c>
      <c r="KT17" s="409">
        <v>7.0139999999999994E-2</v>
      </c>
      <c r="KU17" s="404">
        <v>461.1</v>
      </c>
      <c r="KV17" s="415">
        <v>1.9107000000000001</v>
      </c>
      <c r="KW17" s="546">
        <v>0.95030000000000003</v>
      </c>
      <c r="KX17" s="334">
        <v>1.1229</v>
      </c>
      <c r="KY17" s="544">
        <v>168.8</v>
      </c>
      <c r="KZ17" s="731"/>
      <c r="LA17" s="340">
        <v>6.8250000000000005E-2</v>
      </c>
      <c r="LB17" s="542">
        <v>461</v>
      </c>
      <c r="LC17" s="415">
        <v>1.9083000000000001</v>
      </c>
      <c r="LD17" s="415">
        <v>0.95150000000000001</v>
      </c>
      <c r="LE17" s="415">
        <v>1.1236999999999999</v>
      </c>
      <c r="LF17" s="396">
        <v>168.6</v>
      </c>
      <c r="LG17" s="240">
        <v>70</v>
      </c>
      <c r="LI17" s="254">
        <v>70</v>
      </c>
      <c r="LJ17" s="511">
        <v>6.6449999999999995E-2</v>
      </c>
      <c r="LK17" s="514">
        <v>460.8</v>
      </c>
      <c r="LL17" s="523">
        <v>1.9058999999999999</v>
      </c>
      <c r="LM17" s="522">
        <v>0.95269999999999999</v>
      </c>
      <c r="LN17" s="523">
        <v>1.1244000000000001</v>
      </c>
      <c r="LO17" s="526">
        <v>168.4</v>
      </c>
      <c r="LP17" s="731"/>
      <c r="LQ17" s="511">
        <v>6.343E-2</v>
      </c>
      <c r="LR17" s="530">
        <v>465.3</v>
      </c>
      <c r="LS17" s="522">
        <v>1.9141999999999999</v>
      </c>
      <c r="LT17" s="508">
        <v>0.96079999999999999</v>
      </c>
      <c r="LU17" s="508">
        <v>1.1234999999999999</v>
      </c>
      <c r="LV17" s="514">
        <v>169.5</v>
      </c>
      <c r="LW17" s="257">
        <v>75</v>
      </c>
      <c r="LY17" s="193">
        <v>75</v>
      </c>
      <c r="LZ17" s="509">
        <v>5.9709999999999999E-2</v>
      </c>
      <c r="MA17" s="514">
        <v>465</v>
      </c>
      <c r="MB17" s="508">
        <v>1.9088000000000001</v>
      </c>
      <c r="MC17" s="508">
        <v>0.9637</v>
      </c>
      <c r="MD17" s="508">
        <v>1.1253</v>
      </c>
      <c r="ME17" s="526">
        <v>169</v>
      </c>
      <c r="MF17" s="731"/>
      <c r="MG17" s="537">
        <v>5.6390000000000003E-2</v>
      </c>
      <c r="MH17" s="528">
        <v>464.7</v>
      </c>
      <c r="MI17" s="192">
        <v>1.9037999999999999</v>
      </c>
      <c r="MJ17" s="191">
        <v>0.96660000000000001</v>
      </c>
      <c r="MK17" s="191">
        <v>1.1271</v>
      </c>
      <c r="ML17" s="526">
        <v>168.6</v>
      </c>
      <c r="MM17" s="194">
        <v>75</v>
      </c>
      <c r="MO17" s="176">
        <v>80</v>
      </c>
      <c r="MP17" s="340">
        <v>5.4339999999999999E-2</v>
      </c>
      <c r="MQ17" s="396">
        <v>469.2</v>
      </c>
      <c r="MR17" s="334">
        <v>1.9128000000000001</v>
      </c>
      <c r="MS17" s="334">
        <v>0.97409999999999997</v>
      </c>
      <c r="MT17" s="335">
        <v>1.1258999999999999</v>
      </c>
      <c r="MU17" s="396">
        <v>169.7</v>
      </c>
      <c r="MV17" s="731"/>
      <c r="MW17" s="340">
        <v>5.1589999999999997E-2</v>
      </c>
      <c r="MX17" s="397">
        <v>468.9</v>
      </c>
      <c r="MY17" s="334">
        <v>1.9080999999999999</v>
      </c>
      <c r="MZ17" s="334">
        <v>0.97689999999999999</v>
      </c>
      <c r="NA17" s="334">
        <v>1.1275999999999999</v>
      </c>
      <c r="NB17" s="397">
        <v>169.3</v>
      </c>
      <c r="NC17" s="260">
        <v>80</v>
      </c>
      <c r="NE17" s="243">
        <v>80</v>
      </c>
      <c r="NF17" s="409">
        <v>4.9090000000000002E-2</v>
      </c>
      <c r="NG17" s="396">
        <v>468.6</v>
      </c>
      <c r="NH17" s="415">
        <v>1.9036999999999999</v>
      </c>
      <c r="NI17" s="415">
        <v>0.97970000000000002</v>
      </c>
      <c r="NJ17" s="335">
        <v>1.1294</v>
      </c>
      <c r="NK17" s="396">
        <v>168.9</v>
      </c>
      <c r="NL17" s="731"/>
      <c r="NM17" s="409">
        <v>4.7649999999999998E-2</v>
      </c>
      <c r="NN17" s="397">
        <v>473.2</v>
      </c>
      <c r="NO17" s="415">
        <v>1.9133</v>
      </c>
      <c r="NP17" s="334">
        <v>0.98680000000000001</v>
      </c>
      <c r="NQ17" s="415">
        <v>1.1279999999999999</v>
      </c>
      <c r="NR17" s="396">
        <v>170.1</v>
      </c>
      <c r="NS17" s="240">
        <v>85</v>
      </c>
      <c r="NU17" s="262">
        <v>85</v>
      </c>
      <c r="NV17" s="511">
        <v>4.5519999999999998E-2</v>
      </c>
      <c r="NW17" s="528">
        <v>472.9</v>
      </c>
      <c r="NX17" s="470">
        <v>1.9092</v>
      </c>
      <c r="NY17" s="470">
        <v>0.98950000000000005</v>
      </c>
      <c r="NZ17" s="459">
        <v>1.1296999999999999</v>
      </c>
      <c r="OA17" s="476">
        <v>169.7</v>
      </c>
      <c r="OB17" s="731"/>
      <c r="OC17" s="511">
        <v>4.3569999999999998E-2</v>
      </c>
      <c r="OD17" s="528">
        <v>472.6</v>
      </c>
      <c r="OE17" s="574">
        <v>1.9052</v>
      </c>
      <c r="OF17" s="459">
        <v>0.99219999999999997</v>
      </c>
      <c r="OG17" s="575">
        <v>1.1314</v>
      </c>
      <c r="OH17" s="476">
        <v>169.3</v>
      </c>
      <c r="OI17" s="257">
        <v>85</v>
      </c>
      <c r="OK17" s="193">
        <v>85</v>
      </c>
      <c r="OL17" s="537">
        <v>4.1770000000000002E-2</v>
      </c>
      <c r="OM17" s="517">
        <v>472.3</v>
      </c>
      <c r="ON17" s="459">
        <v>1.9014</v>
      </c>
      <c r="OO17" s="459">
        <v>0.99490000000000001</v>
      </c>
      <c r="OP17" s="459">
        <v>1.1332</v>
      </c>
      <c r="OQ17" s="476">
        <v>168.9</v>
      </c>
      <c r="OR17" s="731"/>
      <c r="OS17" s="537">
        <v>4.0829999999999998E-2</v>
      </c>
      <c r="OT17" s="528">
        <v>477</v>
      </c>
      <c r="OU17" s="536">
        <v>1.9116</v>
      </c>
      <c r="OV17" s="536">
        <v>1.0014000000000001</v>
      </c>
      <c r="OW17" s="459">
        <v>1.1314</v>
      </c>
      <c r="OX17" s="476">
        <v>170.1</v>
      </c>
      <c r="OY17" s="194">
        <v>90</v>
      </c>
      <c r="PA17" s="286">
        <v>90</v>
      </c>
      <c r="PB17" s="340">
        <v>3.925E-2</v>
      </c>
      <c r="PC17" s="396">
        <v>476.7</v>
      </c>
      <c r="PD17" s="541">
        <v>1.9079999999999999</v>
      </c>
      <c r="PE17" s="334">
        <v>1.004</v>
      </c>
      <c r="PF17" s="541">
        <v>1.1331</v>
      </c>
      <c r="PG17" s="396">
        <v>169.7</v>
      </c>
      <c r="PH17" s="731"/>
      <c r="PI17" s="340">
        <v>3.7789999999999997E-2</v>
      </c>
      <c r="PJ17" s="397">
        <v>476.4</v>
      </c>
      <c r="PK17" s="334">
        <v>1.9045000000000001</v>
      </c>
      <c r="PL17" s="334">
        <v>1.0065999999999999</v>
      </c>
      <c r="PM17" s="334">
        <v>1.1349</v>
      </c>
      <c r="PN17" s="397">
        <v>169.3</v>
      </c>
      <c r="PO17" s="260">
        <v>90</v>
      </c>
      <c r="PQ17" s="243">
        <v>90</v>
      </c>
      <c r="PR17" s="409">
        <v>3.6429999999999997E-2</v>
      </c>
      <c r="PS17" s="396">
        <v>476.1</v>
      </c>
      <c r="PT17" s="415">
        <v>1.9012</v>
      </c>
      <c r="PU17" s="415">
        <v>1.0093000000000001</v>
      </c>
      <c r="PV17" s="541">
        <v>1.1366000000000001</v>
      </c>
      <c r="PW17" s="396">
        <v>168.9</v>
      </c>
      <c r="PX17" s="731"/>
      <c r="PY17" s="409">
        <v>3.4569999999999997E-2</v>
      </c>
      <c r="PZ17" s="397">
        <v>480.6</v>
      </c>
      <c r="QA17" s="500">
        <v>1.9086000000000001</v>
      </c>
      <c r="QB17" s="415">
        <v>1.0177</v>
      </c>
      <c r="QC17" s="415">
        <v>1.1362000000000001</v>
      </c>
      <c r="QD17" s="396">
        <v>169.8</v>
      </c>
      <c r="QE17" s="240">
        <v>95</v>
      </c>
      <c r="QG17" s="264">
        <v>95</v>
      </c>
      <c r="QH17" s="511">
        <v>3.236E-2</v>
      </c>
      <c r="QI17" s="514">
        <v>480</v>
      </c>
      <c r="QJ17" s="523">
        <v>1.9025000000000001</v>
      </c>
      <c r="QK17" s="523">
        <v>1.0228999999999999</v>
      </c>
      <c r="QL17" s="522">
        <v>1.1395999999999999</v>
      </c>
      <c r="QM17" s="526">
        <v>169.1</v>
      </c>
      <c r="QN17" s="731"/>
      <c r="QO17" s="512">
        <v>3.0960000000000001E-2</v>
      </c>
      <c r="QP17" s="532">
        <v>484.6</v>
      </c>
      <c r="QQ17" s="255">
        <v>1.9106000000000001</v>
      </c>
      <c r="QR17" s="198">
        <v>1.0307999999999999</v>
      </c>
      <c r="QS17" s="255">
        <v>1.1389</v>
      </c>
      <c r="QT17" s="527">
        <v>170.1</v>
      </c>
      <c r="QU17" s="257">
        <v>100</v>
      </c>
      <c r="QW17" s="199">
        <v>100</v>
      </c>
      <c r="QX17" s="509">
        <v>2.9170000000000001E-2</v>
      </c>
      <c r="QY17" s="517">
        <v>484</v>
      </c>
      <c r="QZ17" s="508">
        <v>1.905</v>
      </c>
      <c r="RA17" s="508">
        <v>1.0358000000000001</v>
      </c>
      <c r="RB17" s="593">
        <v>1.1422000000000001</v>
      </c>
      <c r="RC17" s="526">
        <v>169.3</v>
      </c>
      <c r="RD17" s="731"/>
      <c r="RE17" s="509">
        <v>2.7560000000000001E-2</v>
      </c>
      <c r="RF17" s="530">
        <v>483.5</v>
      </c>
      <c r="RG17" s="536">
        <v>1.8996999999999999</v>
      </c>
      <c r="RH17" s="590">
        <v>1.0408999999999999</v>
      </c>
      <c r="RI17" s="536">
        <v>1.1456999999999999</v>
      </c>
      <c r="RJ17" s="526">
        <v>168.6</v>
      </c>
      <c r="RK17" s="194">
        <v>100</v>
      </c>
      <c r="RM17" s="270">
        <v>105</v>
      </c>
      <c r="RN17" s="340">
        <v>2.5250000000000002E-2</v>
      </c>
      <c r="RO17" s="489">
        <v>487.6</v>
      </c>
      <c r="RP17" s="491">
        <v>1.9036999999999999</v>
      </c>
      <c r="RQ17" s="491">
        <v>1.0529999999999999</v>
      </c>
      <c r="RR17" s="492">
        <v>1.1478999999999999</v>
      </c>
      <c r="RS17" s="489">
        <v>168.9</v>
      </c>
      <c r="RT17" s="731"/>
      <c r="RU17" s="340">
        <v>2.3349999999999999E-2</v>
      </c>
      <c r="RV17" s="397">
        <v>491.8</v>
      </c>
      <c r="RW17" s="334">
        <v>1.9083000000000001</v>
      </c>
      <c r="RX17" s="491">
        <v>1.0644</v>
      </c>
      <c r="RY17" s="334">
        <v>1.1496999999999999</v>
      </c>
      <c r="RZ17" s="488">
        <v>169.4</v>
      </c>
      <c r="SA17" s="260">
        <v>110</v>
      </c>
      <c r="SC17" s="268">
        <v>110</v>
      </c>
      <c r="SD17" s="409">
        <v>2.1329999999999998E-2</v>
      </c>
      <c r="SE17" s="396">
        <v>490.7</v>
      </c>
      <c r="SF17" s="499">
        <v>1.8996999999999999</v>
      </c>
      <c r="SG17" s="415">
        <v>1.0743</v>
      </c>
      <c r="SH17" s="500">
        <v>1.1565000000000001</v>
      </c>
      <c r="SI17" s="489">
        <v>168</v>
      </c>
      <c r="SJ17" s="731"/>
      <c r="SK17" s="497">
        <v>1.9990000000000001E-2</v>
      </c>
      <c r="SL17" s="176">
        <v>495</v>
      </c>
      <c r="SM17" s="415">
        <v>1.9055</v>
      </c>
      <c r="SN17" s="499">
        <v>1.0847</v>
      </c>
      <c r="SO17" s="415">
        <v>1.1577</v>
      </c>
      <c r="SP17" s="190">
        <v>168.6</v>
      </c>
      <c r="SQ17" s="240">
        <v>115</v>
      </c>
      <c r="SS17" s="243">
        <v>120</v>
      </c>
      <c r="ST17" s="409">
        <v>1.8849999999999999E-2</v>
      </c>
      <c r="SU17" s="170">
        <v>499.4</v>
      </c>
      <c r="SV17" s="415">
        <v>1.9118999999999999</v>
      </c>
      <c r="SW17" s="415">
        <v>1.0945</v>
      </c>
      <c r="SX17" s="415">
        <v>1.1587000000000001</v>
      </c>
      <c r="SY17" s="190">
        <v>169.2</v>
      </c>
      <c r="SZ17" s="731"/>
      <c r="TA17" s="497">
        <v>1.7500000000000002E-2</v>
      </c>
      <c r="TB17" s="397">
        <v>498.4</v>
      </c>
      <c r="TC17" s="417">
        <v>1.9046000000000001</v>
      </c>
      <c r="TD17" s="491">
        <v>1.1042000000000001</v>
      </c>
      <c r="TE17" s="491">
        <v>1.1653</v>
      </c>
      <c r="TF17" s="488">
        <v>167.9</v>
      </c>
      <c r="TG17" s="287">
        <v>120</v>
      </c>
      <c r="TI17" s="270">
        <v>125</v>
      </c>
      <c r="TJ17" s="340">
        <v>1.6650000000000002E-2</v>
      </c>
      <c r="TK17" s="396">
        <v>502.9</v>
      </c>
      <c r="TL17" s="491">
        <v>1.9117</v>
      </c>
      <c r="TM17" s="491">
        <v>1.113</v>
      </c>
      <c r="TN17" s="491">
        <v>1.1657</v>
      </c>
      <c r="TO17" s="489">
        <v>168.7</v>
      </c>
      <c r="TP17" s="731"/>
      <c r="TQ17" s="340">
        <v>1.5570000000000001E-2</v>
      </c>
      <c r="TR17" s="397">
        <v>501.9</v>
      </c>
      <c r="TS17" s="334">
        <v>1.9051</v>
      </c>
      <c r="TT17" s="491">
        <v>1.1226</v>
      </c>
      <c r="TU17" s="334">
        <v>1.1724000000000001</v>
      </c>
      <c r="TV17" s="489">
        <v>167.4</v>
      </c>
      <c r="TW17" s="260">
        <v>125</v>
      </c>
      <c r="TY17" s="270">
        <v>130</v>
      </c>
      <c r="TZ17" s="474">
        <v>1.4919999999999999E-2</v>
      </c>
      <c r="UA17" s="467">
        <v>506.5</v>
      </c>
      <c r="UB17" s="491">
        <v>1.9129</v>
      </c>
      <c r="UC17" s="491">
        <v>1.1305000000000001</v>
      </c>
      <c r="UD17" s="610">
        <v>1.1720999999999999</v>
      </c>
      <c r="UE17" s="489">
        <v>168.3</v>
      </c>
      <c r="UF17" s="749"/>
      <c r="UG17" s="474">
        <v>1.405E-2</v>
      </c>
      <c r="UH17" s="478">
        <v>505.5</v>
      </c>
      <c r="UI17" s="473">
        <v>1.9068000000000001</v>
      </c>
      <c r="UJ17" s="491">
        <v>1.1400999999999999</v>
      </c>
      <c r="UK17" s="473">
        <v>1.1789000000000001</v>
      </c>
      <c r="UL17" s="488">
        <v>167.1</v>
      </c>
      <c r="UM17" s="310">
        <v>130</v>
      </c>
      <c r="UO17" s="268">
        <v>135</v>
      </c>
      <c r="UP17" s="464">
        <v>1.281E-2</v>
      </c>
      <c r="UQ17" s="467">
        <v>509.3</v>
      </c>
      <c r="UR17" s="499">
        <v>1.9094</v>
      </c>
      <c r="US17" s="499">
        <v>1.1565000000000001</v>
      </c>
      <c r="UT17" s="610">
        <v>1.1847000000000001</v>
      </c>
      <c r="UU17" s="489">
        <v>167</v>
      </c>
      <c r="UV17" s="749"/>
      <c r="UW17" s="464">
        <v>1.179E-2</v>
      </c>
      <c r="UX17" s="478">
        <v>513.20000000000005</v>
      </c>
      <c r="UY17" s="471">
        <v>1.9129</v>
      </c>
      <c r="UZ17" s="622">
        <v>1.1718999999999999</v>
      </c>
      <c r="VA17" s="471">
        <v>1.1898</v>
      </c>
      <c r="VB17" s="489">
        <v>167</v>
      </c>
      <c r="VC17" s="248">
        <v>140</v>
      </c>
      <c r="VE17" s="264">
        <v>140</v>
      </c>
      <c r="VF17" s="512">
        <v>1.069E-2</v>
      </c>
      <c r="VG17" s="514">
        <v>511.2</v>
      </c>
      <c r="VH17" s="523">
        <v>1.9027000000000001</v>
      </c>
      <c r="VI17" s="523">
        <v>1.1916</v>
      </c>
      <c r="VJ17" s="391">
        <v>1.2039</v>
      </c>
      <c r="VK17" s="527">
        <v>164.8</v>
      </c>
      <c r="VL17" s="749"/>
      <c r="VM17" s="512">
        <v>9.9900000000000006E-3</v>
      </c>
      <c r="VN17" s="532">
        <v>515.29999999999995</v>
      </c>
      <c r="VO17" s="522">
        <v>1.9075</v>
      </c>
      <c r="VP17" s="508">
        <v>1.2053</v>
      </c>
      <c r="VQ17" s="523">
        <v>1.208</v>
      </c>
      <c r="VR17" s="526">
        <v>165.1</v>
      </c>
      <c r="VS17" s="265">
        <v>145</v>
      </c>
      <c r="VU17" s="199">
        <v>150</v>
      </c>
      <c r="VV17" s="509">
        <v>9.3900000000000008E-3</v>
      </c>
      <c r="VW17" s="514">
        <v>519.4</v>
      </c>
      <c r="VX17" s="508">
        <v>1.9128000000000001</v>
      </c>
      <c r="VY17" s="508">
        <v>1.2179</v>
      </c>
      <c r="VZ17" s="508">
        <v>1.2113</v>
      </c>
      <c r="WA17" s="526">
        <v>165.5</v>
      </c>
      <c r="WB17" s="749"/>
      <c r="WC17" s="509">
        <v>8.6499999999999997E-3</v>
      </c>
      <c r="WD17" s="528">
        <v>517.5</v>
      </c>
      <c r="WE17" s="536">
        <v>1.9040999999999999</v>
      </c>
      <c r="WF17" s="391">
        <v>1.2379</v>
      </c>
      <c r="WG17" s="536">
        <v>1.2257</v>
      </c>
      <c r="WH17" s="526">
        <v>163.5</v>
      </c>
      <c r="WI17" s="194">
        <v>150</v>
      </c>
      <c r="WK17" s="199">
        <v>155</v>
      </c>
      <c r="WL17" s="509">
        <v>8.2100000000000003E-3</v>
      </c>
      <c r="WM17" s="514">
        <v>521.9</v>
      </c>
      <c r="WN17" s="508">
        <v>1.9103000000000001</v>
      </c>
      <c r="WO17" s="508">
        <v>1.2484999999999999</v>
      </c>
      <c r="WP17" s="492">
        <v>1.2276</v>
      </c>
      <c r="WQ17" s="526">
        <v>164.2</v>
      </c>
      <c r="WR17" s="749"/>
      <c r="WS17" s="509">
        <v>7.8300000000000002E-3</v>
      </c>
      <c r="WT17" s="528">
        <v>526.29999999999995</v>
      </c>
      <c r="WU17" s="536">
        <v>1.9169</v>
      </c>
      <c r="WV17" s="508">
        <v>1.2581</v>
      </c>
      <c r="WW17" s="536">
        <v>1.2287999999999999</v>
      </c>
      <c r="WX17" s="530">
        <v>165</v>
      </c>
      <c r="WY17" s="194">
        <v>160</v>
      </c>
      <c r="WZ17" s="469"/>
      <c r="XA17" s="264">
        <v>160</v>
      </c>
      <c r="XB17" s="512">
        <v>7.3099999999999997E-3</v>
      </c>
      <c r="XC17" s="514">
        <v>524.5</v>
      </c>
      <c r="XD17" s="523">
        <v>1.9093</v>
      </c>
      <c r="XE17" s="523">
        <v>1.2775000000000001</v>
      </c>
      <c r="XF17" s="492">
        <v>1.2427999999999999</v>
      </c>
      <c r="XG17" s="526">
        <v>163.4</v>
      </c>
      <c r="XH17" s="749"/>
      <c r="XI17" s="512">
        <v>7.0200000000000002E-3</v>
      </c>
      <c r="XJ17" s="528">
        <v>529.20000000000005</v>
      </c>
      <c r="XK17" s="522">
        <v>1.9166000000000001</v>
      </c>
      <c r="XL17" s="523">
        <v>1.2848999999999999</v>
      </c>
      <c r="XM17" s="522">
        <v>1.2423999999999999</v>
      </c>
      <c r="XN17" s="526">
        <v>164.4</v>
      </c>
      <c r="XO17" s="257">
        <v>165</v>
      </c>
      <c r="XP17" s="221"/>
    </row>
    <row r="18" spans="1:640" ht="15.75" thickBot="1" x14ac:dyDescent="0.3">
      <c r="A18" s="282">
        <v>0</v>
      </c>
      <c r="B18" s="365">
        <v>2.2172900000000002</v>
      </c>
      <c r="C18" s="368">
        <v>406.2</v>
      </c>
      <c r="D18" s="360">
        <v>2.0232999999999999</v>
      </c>
      <c r="E18" s="360">
        <v>0.79020000000000001</v>
      </c>
      <c r="F18" s="360">
        <v>1.117</v>
      </c>
      <c r="G18" s="172">
        <v>157.19999999999999</v>
      </c>
      <c r="H18" s="266"/>
      <c r="I18" s="365">
        <v>1.14811</v>
      </c>
      <c r="J18" s="374">
        <v>413.9</v>
      </c>
      <c r="K18" s="360">
        <v>1.9950000000000001</v>
      </c>
      <c r="L18" s="358">
        <v>0.81040000000000001</v>
      </c>
      <c r="M18" s="360">
        <v>1.1152</v>
      </c>
      <c r="N18" s="368">
        <v>159.6</v>
      </c>
      <c r="O18" s="382">
        <v>10</v>
      </c>
      <c r="P18" s="238"/>
      <c r="Q18" s="282">
        <v>20</v>
      </c>
      <c r="R18" s="363">
        <v>0.79113999999999995</v>
      </c>
      <c r="S18" s="368">
        <v>421.9</v>
      </c>
      <c r="T18" s="358">
        <v>1.9899</v>
      </c>
      <c r="U18" s="358">
        <v>0.82969999999999999</v>
      </c>
      <c r="V18" s="358">
        <v>1.1132</v>
      </c>
      <c r="W18" s="368">
        <v>162</v>
      </c>
      <c r="X18" s="266"/>
      <c r="Y18" s="363">
        <v>0.60241</v>
      </c>
      <c r="Z18" s="374">
        <v>425.9</v>
      </c>
      <c r="AA18" s="358">
        <v>1.9801</v>
      </c>
      <c r="AB18" s="358">
        <v>0.84009999999999996</v>
      </c>
      <c r="AC18" s="358">
        <v>1.1128</v>
      </c>
      <c r="AD18" s="368">
        <v>163.1</v>
      </c>
      <c r="AE18" s="283">
        <v>25</v>
      </c>
      <c r="AF18" s="37"/>
      <c r="AG18" s="243">
        <v>25</v>
      </c>
      <c r="AH18" s="340">
        <v>0.48099999999999998</v>
      </c>
      <c r="AI18" s="396">
        <v>425.7</v>
      </c>
      <c r="AJ18" s="401">
        <v>1.9614</v>
      </c>
      <c r="AK18" s="334">
        <v>0.84199999999999997</v>
      </c>
      <c r="AL18" s="401">
        <v>1.1138999999999999</v>
      </c>
      <c r="AM18" s="404">
        <v>162.80000000000001</v>
      </c>
      <c r="AN18" s="731"/>
      <c r="AO18" s="340">
        <v>0.40699999999999997</v>
      </c>
      <c r="AP18" s="397">
        <v>429.8</v>
      </c>
      <c r="AQ18" s="334">
        <v>1.9601999999999999</v>
      </c>
      <c r="AR18" s="334">
        <v>0.85189999999999999</v>
      </c>
      <c r="AS18" s="401">
        <v>1.1132</v>
      </c>
      <c r="AT18" s="397">
        <v>163.9</v>
      </c>
      <c r="AU18" s="240">
        <v>30</v>
      </c>
      <c r="AV18" s="37"/>
      <c r="AW18" s="243">
        <v>35</v>
      </c>
      <c r="AX18" s="409">
        <v>0.35422999999999999</v>
      </c>
      <c r="AY18" s="396">
        <v>433.9</v>
      </c>
      <c r="AZ18" s="416">
        <v>1.9613</v>
      </c>
      <c r="BA18" s="415">
        <v>0.86150000000000004</v>
      </c>
      <c r="BB18" s="419">
        <v>1.1125</v>
      </c>
      <c r="BC18" s="394">
        <v>165</v>
      </c>
      <c r="BD18" s="731"/>
      <c r="BE18" s="409">
        <v>0.30941000000000002</v>
      </c>
      <c r="BF18" s="397">
        <v>433.7</v>
      </c>
      <c r="BG18" s="415">
        <v>1.95</v>
      </c>
      <c r="BH18" s="334">
        <v>0.86319999999999997</v>
      </c>
      <c r="BI18" s="416">
        <v>1.1134999999999999</v>
      </c>
      <c r="BJ18" s="396">
        <v>164.8</v>
      </c>
      <c r="BK18" s="240">
        <v>35</v>
      </c>
      <c r="BL18" s="37"/>
      <c r="BM18" s="243">
        <v>40</v>
      </c>
      <c r="BN18" s="409">
        <v>0.27925</v>
      </c>
      <c r="BO18" s="396">
        <v>437.9</v>
      </c>
      <c r="BP18" s="424">
        <v>1.954</v>
      </c>
      <c r="BQ18" s="415">
        <v>0.87250000000000005</v>
      </c>
      <c r="BR18" s="334">
        <v>1.1127</v>
      </c>
      <c r="BS18" s="396">
        <v>165.9</v>
      </c>
      <c r="BT18" s="731"/>
      <c r="BU18" s="409">
        <v>0.25087999999999999</v>
      </c>
      <c r="BV18" s="397">
        <v>437.7</v>
      </c>
      <c r="BW18" s="415">
        <v>1.9450000000000001</v>
      </c>
      <c r="BX18" s="334">
        <v>0.87409999999999999</v>
      </c>
      <c r="BY18" s="415">
        <v>1.1135999999999999</v>
      </c>
      <c r="BZ18" s="397">
        <v>165.7</v>
      </c>
      <c r="CA18" s="240">
        <v>40</v>
      </c>
      <c r="CB18" s="37"/>
      <c r="CC18" s="243">
        <v>40</v>
      </c>
      <c r="CD18" s="340">
        <v>0.24759</v>
      </c>
      <c r="CE18" s="396">
        <v>437.7</v>
      </c>
      <c r="CF18" s="334">
        <v>1.9439</v>
      </c>
      <c r="CG18" s="334">
        <v>0.87429999999999997</v>
      </c>
      <c r="CH18" s="334">
        <v>1.1136999999999999</v>
      </c>
      <c r="CI18" s="396">
        <v>165.7</v>
      </c>
      <c r="CJ18" s="731"/>
      <c r="CK18" s="340">
        <v>0.23154</v>
      </c>
      <c r="CL18" s="397">
        <v>442</v>
      </c>
      <c r="CM18" s="334">
        <v>1.9508000000000001</v>
      </c>
      <c r="CN18" s="334">
        <v>0.8831</v>
      </c>
      <c r="CO18" s="334">
        <v>1.1127</v>
      </c>
      <c r="CP18" s="396">
        <v>166.9</v>
      </c>
      <c r="CQ18" s="240">
        <v>45</v>
      </c>
      <c r="CR18" s="37"/>
      <c r="CS18" s="243">
        <v>45</v>
      </c>
      <c r="CT18" s="340">
        <v>0.21190999999999999</v>
      </c>
      <c r="CU18" s="398">
        <v>441.8</v>
      </c>
      <c r="CV18" s="422">
        <v>1.9434</v>
      </c>
      <c r="CW18" s="334">
        <v>0.88449999999999995</v>
      </c>
      <c r="CX18" s="334">
        <v>1.1134999999999999</v>
      </c>
      <c r="CY18" s="449">
        <v>166.6</v>
      </c>
      <c r="CZ18" s="731"/>
      <c r="DA18" s="340">
        <v>0.19531000000000001</v>
      </c>
      <c r="DB18" s="397">
        <v>441.7</v>
      </c>
      <c r="DC18" s="444">
        <v>1.9365000000000001</v>
      </c>
      <c r="DD18" s="334">
        <v>0.88600000000000001</v>
      </c>
      <c r="DE18" s="334">
        <v>1.1144000000000001</v>
      </c>
      <c r="DF18" s="449">
        <v>166.4</v>
      </c>
      <c r="DG18" s="240">
        <v>45</v>
      </c>
      <c r="DH18" s="37"/>
      <c r="DI18" s="243">
        <v>50</v>
      </c>
      <c r="DJ18" s="409">
        <v>0.18412999999999999</v>
      </c>
      <c r="DK18" s="396">
        <v>446</v>
      </c>
      <c r="DL18" s="455">
        <v>1.944</v>
      </c>
      <c r="DM18" s="415">
        <v>0.89459999999999995</v>
      </c>
      <c r="DN18" s="444">
        <v>1.1133999999999999</v>
      </c>
      <c r="DO18" s="396">
        <v>167.6</v>
      </c>
      <c r="DP18" s="731"/>
      <c r="DQ18" s="453">
        <v>0.17155999999999999</v>
      </c>
      <c r="DR18" s="397">
        <v>445.8</v>
      </c>
      <c r="DS18" s="415">
        <v>1.9379999999999999</v>
      </c>
      <c r="DT18" s="415">
        <v>0.89600000000000002</v>
      </c>
      <c r="DU18" s="415">
        <v>1.1142000000000001</v>
      </c>
      <c r="DV18" s="396">
        <v>167.4</v>
      </c>
      <c r="DW18" s="240">
        <v>50</v>
      </c>
      <c r="DY18" s="247">
        <v>50</v>
      </c>
      <c r="DZ18" s="464">
        <v>0.16059000000000001</v>
      </c>
      <c r="EA18" s="467">
        <v>445.7</v>
      </c>
      <c r="EB18" s="470">
        <v>1.9323999999999999</v>
      </c>
      <c r="EC18" s="470">
        <v>0.89739999999999998</v>
      </c>
      <c r="ED18" s="470">
        <v>1.115</v>
      </c>
      <c r="EE18" s="465">
        <v>167.2</v>
      </c>
      <c r="EF18" s="731"/>
      <c r="EG18" s="464">
        <v>0.15347</v>
      </c>
      <c r="EH18" s="478">
        <v>450</v>
      </c>
      <c r="EI18" s="471">
        <v>1.9410000000000001</v>
      </c>
      <c r="EJ18" s="459">
        <v>0.90569999999999995</v>
      </c>
      <c r="EK18" s="459">
        <v>1.1138999999999999</v>
      </c>
      <c r="EL18" s="478">
        <v>168.4</v>
      </c>
      <c r="EM18" s="248">
        <v>55</v>
      </c>
      <c r="EO18" s="247">
        <v>55</v>
      </c>
      <c r="EP18" s="460">
        <v>0.14474000000000001</v>
      </c>
      <c r="EQ18" s="467">
        <v>449.9</v>
      </c>
      <c r="ER18" s="459">
        <v>1.9359999999999999</v>
      </c>
      <c r="ES18" s="459">
        <v>0.90710000000000002</v>
      </c>
      <c r="ET18" s="459">
        <v>1.1147</v>
      </c>
      <c r="EU18" s="467">
        <v>168.2</v>
      </c>
      <c r="EV18" s="731"/>
      <c r="EW18" s="474">
        <v>0.13693</v>
      </c>
      <c r="EX18" s="478">
        <v>449.8</v>
      </c>
      <c r="EY18" s="473">
        <v>1.9313</v>
      </c>
      <c r="EZ18" s="473">
        <v>0.90839999999999999</v>
      </c>
      <c r="FA18" s="473">
        <v>1.1154999999999999</v>
      </c>
      <c r="FB18" s="467">
        <v>168</v>
      </c>
      <c r="FC18" s="248">
        <v>55</v>
      </c>
      <c r="FE18" s="243">
        <v>55</v>
      </c>
      <c r="FF18" s="340">
        <v>0.12989000000000001</v>
      </c>
      <c r="FG18" s="396">
        <v>449.6</v>
      </c>
      <c r="FH18" s="491">
        <v>1.9268000000000001</v>
      </c>
      <c r="FI18" s="334">
        <v>0.90969999999999995</v>
      </c>
      <c r="FJ18" s="491">
        <v>1.1163000000000001</v>
      </c>
      <c r="FK18" s="396">
        <v>167.8</v>
      </c>
      <c r="FL18" s="731"/>
      <c r="FM18" s="340">
        <v>0.12559999999999999</v>
      </c>
      <c r="FN18" s="397">
        <v>454</v>
      </c>
      <c r="FO18" s="334">
        <v>1.9362999999999999</v>
      </c>
      <c r="FP18" s="334">
        <v>0.91759999999999997</v>
      </c>
      <c r="FQ18" s="334">
        <v>1.1149</v>
      </c>
      <c r="FR18" s="397">
        <v>169</v>
      </c>
      <c r="FS18" s="240">
        <v>55</v>
      </c>
      <c r="FU18" s="243">
        <v>60</v>
      </c>
      <c r="FV18" s="409">
        <v>0.1197</v>
      </c>
      <c r="FW18" s="396">
        <v>453.9</v>
      </c>
      <c r="FX18" s="415">
        <v>1.9321999999999999</v>
      </c>
      <c r="FY18" s="415">
        <v>0.91890000000000005</v>
      </c>
      <c r="FZ18" s="492">
        <v>1.1156999999999999</v>
      </c>
      <c r="GA18" s="396">
        <v>168.8</v>
      </c>
      <c r="GB18" s="731"/>
      <c r="GC18" s="409">
        <v>0.11434999999999999</v>
      </c>
      <c r="GD18" s="397">
        <v>453.8</v>
      </c>
      <c r="GE18" s="415">
        <v>1.9282999999999999</v>
      </c>
      <c r="GF18" s="415">
        <v>0.92020000000000002</v>
      </c>
      <c r="GG18" s="415">
        <v>1.1165</v>
      </c>
      <c r="GH18" s="396">
        <v>168.6</v>
      </c>
      <c r="GI18" s="240">
        <v>60</v>
      </c>
      <c r="GK18" s="243">
        <v>60</v>
      </c>
      <c r="GL18" s="409">
        <v>0.10942</v>
      </c>
      <c r="GM18" s="404">
        <v>453.6</v>
      </c>
      <c r="GN18" s="415">
        <v>1.9245000000000001</v>
      </c>
      <c r="GO18" s="415">
        <v>0.9214</v>
      </c>
      <c r="GP18" s="334">
        <v>1.1172</v>
      </c>
      <c r="GQ18" s="396">
        <v>168.4</v>
      </c>
      <c r="GR18" s="731"/>
      <c r="GS18" s="409">
        <v>0.10668</v>
      </c>
      <c r="GT18" s="397">
        <v>458.1</v>
      </c>
      <c r="GU18" s="241">
        <v>1.9347000000000001</v>
      </c>
      <c r="GV18" s="170">
        <v>0.92900000000000005</v>
      </c>
      <c r="GW18" s="241">
        <v>1.1157999999999999</v>
      </c>
      <c r="GX18" s="397">
        <v>169.6</v>
      </c>
      <c r="GY18" s="240">
        <v>65</v>
      </c>
      <c r="HA18" s="243">
        <v>65</v>
      </c>
      <c r="HB18" s="340">
        <v>0.10242999999999999</v>
      </c>
      <c r="HC18" s="396">
        <v>458</v>
      </c>
      <c r="HD18" s="334">
        <v>1.9312</v>
      </c>
      <c r="HE18" s="334">
        <v>0.93020000000000003</v>
      </c>
      <c r="HF18" s="334">
        <v>1.1165</v>
      </c>
      <c r="HG18" s="396">
        <v>169.5</v>
      </c>
      <c r="HH18" s="731"/>
      <c r="HI18" s="340">
        <v>9.851E-2</v>
      </c>
      <c r="HJ18" s="397">
        <v>457.9</v>
      </c>
      <c r="HK18" s="334">
        <v>1.9278999999999999</v>
      </c>
      <c r="HL18" s="334">
        <v>0.93140000000000001</v>
      </c>
      <c r="HM18" s="334">
        <v>1.1173</v>
      </c>
      <c r="HN18" s="396">
        <v>169.3</v>
      </c>
      <c r="HO18" s="240">
        <v>65</v>
      </c>
      <c r="HQ18" s="243">
        <v>65</v>
      </c>
      <c r="HR18" s="340">
        <v>9.4850000000000004E-2</v>
      </c>
      <c r="HS18" s="396">
        <v>457.7</v>
      </c>
      <c r="HT18" s="491">
        <v>1.9246000000000001</v>
      </c>
      <c r="HU18" s="334">
        <v>0.93259999999999998</v>
      </c>
      <c r="HV18" s="491">
        <v>1.1180000000000001</v>
      </c>
      <c r="HW18" s="396">
        <v>169.1</v>
      </c>
      <c r="HX18" s="731"/>
      <c r="HY18" s="340">
        <v>9.1450000000000004E-2</v>
      </c>
      <c r="HZ18" s="397">
        <v>457.6</v>
      </c>
      <c r="IA18" s="334">
        <v>1.9215</v>
      </c>
      <c r="IB18" s="334">
        <v>0.93379999999999996</v>
      </c>
      <c r="IC18" s="334">
        <v>1.1187</v>
      </c>
      <c r="ID18" s="397">
        <v>168.9</v>
      </c>
      <c r="IE18" s="240">
        <v>65</v>
      </c>
      <c r="IG18" s="243">
        <v>70</v>
      </c>
      <c r="IH18" s="409">
        <v>8.9779999999999999E-2</v>
      </c>
      <c r="II18" s="396">
        <v>462.1</v>
      </c>
      <c r="IJ18" s="415">
        <v>1.9321999999999999</v>
      </c>
      <c r="IK18" s="415">
        <v>0.94110000000000005</v>
      </c>
      <c r="IL18" s="334">
        <v>1.1171</v>
      </c>
      <c r="IM18" s="489">
        <v>170.2</v>
      </c>
      <c r="IN18" s="731"/>
      <c r="IO18" s="409">
        <v>8.6779999999999996E-2</v>
      </c>
      <c r="IP18" s="397">
        <v>462</v>
      </c>
      <c r="IQ18" s="500">
        <v>1.9292</v>
      </c>
      <c r="IR18" s="415">
        <v>0.94220000000000004</v>
      </c>
      <c r="IS18" s="415">
        <v>1.1177999999999999</v>
      </c>
      <c r="IT18" s="489">
        <v>170</v>
      </c>
      <c r="IU18" s="240">
        <v>70</v>
      </c>
      <c r="IW18" s="254">
        <v>70</v>
      </c>
      <c r="IX18" s="511">
        <v>8.3960000000000007E-2</v>
      </c>
      <c r="IY18" s="514">
        <v>461.9</v>
      </c>
      <c r="IZ18" s="523">
        <v>1.9263999999999999</v>
      </c>
      <c r="JA18" s="522">
        <v>0.94330000000000003</v>
      </c>
      <c r="JB18" s="523">
        <v>1.1186</v>
      </c>
      <c r="JC18" s="526">
        <v>169.8</v>
      </c>
      <c r="JD18" s="731"/>
      <c r="JE18" s="511">
        <v>8.1309999999999993E-2</v>
      </c>
      <c r="JF18" s="528">
        <v>461.8</v>
      </c>
      <c r="JG18" s="523">
        <v>1.9236</v>
      </c>
      <c r="JH18" s="536">
        <v>0.94450000000000001</v>
      </c>
      <c r="JI18" s="523">
        <v>1.1193</v>
      </c>
      <c r="JJ18" s="530">
        <v>169.6</v>
      </c>
      <c r="JK18" s="257">
        <v>70</v>
      </c>
      <c r="JM18" s="254">
        <v>70</v>
      </c>
      <c r="JN18" s="537">
        <v>7.8799999999999995E-2</v>
      </c>
      <c r="JO18" s="514">
        <v>461.6</v>
      </c>
      <c r="JP18" s="508">
        <v>1.9209000000000001</v>
      </c>
      <c r="JQ18" s="536">
        <v>0.9456</v>
      </c>
      <c r="JR18" s="508">
        <v>1.1200000000000001</v>
      </c>
      <c r="JS18" s="526">
        <v>169.5</v>
      </c>
      <c r="JT18" s="731"/>
      <c r="JU18" s="537">
        <v>7.775E-2</v>
      </c>
      <c r="JV18" s="530">
        <v>466.2</v>
      </c>
      <c r="JW18" s="536">
        <v>1.9319999999999999</v>
      </c>
      <c r="JX18" s="508">
        <v>0.95250000000000001</v>
      </c>
      <c r="JY18" s="508">
        <v>1.1183000000000001</v>
      </c>
      <c r="JZ18" s="514">
        <v>170.7</v>
      </c>
      <c r="KA18" s="194">
        <v>75</v>
      </c>
      <c r="KC18" s="176">
        <v>75</v>
      </c>
      <c r="KD18" s="340">
        <v>7.5509999999999994E-2</v>
      </c>
      <c r="KE18" s="540">
        <v>466.1</v>
      </c>
      <c r="KF18" s="196">
        <v>1.9294</v>
      </c>
      <c r="KG18" s="170">
        <v>0.9536</v>
      </c>
      <c r="KH18" s="196">
        <v>1.1189</v>
      </c>
      <c r="KI18" s="540">
        <v>170.6</v>
      </c>
      <c r="KJ18" s="731"/>
      <c r="KK18" s="340">
        <v>7.3359999999999995E-2</v>
      </c>
      <c r="KL18" s="397">
        <v>466</v>
      </c>
      <c r="KM18" s="334">
        <v>1.9269000000000001</v>
      </c>
      <c r="KN18" s="334">
        <v>0.95469999999999999</v>
      </c>
      <c r="KO18" s="334">
        <v>1.1195999999999999</v>
      </c>
      <c r="KP18" s="396">
        <v>170.4</v>
      </c>
      <c r="KQ18" s="260">
        <v>75</v>
      </c>
      <c r="KS18" s="243">
        <v>75</v>
      </c>
      <c r="KT18" s="409">
        <v>7.1349999999999997E-2</v>
      </c>
      <c r="KU18" s="543">
        <v>465.9</v>
      </c>
      <c r="KV18" s="546">
        <v>1.9245000000000001</v>
      </c>
      <c r="KW18" s="415">
        <v>0.95579999999999998</v>
      </c>
      <c r="KX18" s="541">
        <v>1.1203000000000001</v>
      </c>
      <c r="KY18" s="543">
        <v>170.2</v>
      </c>
      <c r="KZ18" s="731"/>
      <c r="LA18" s="340">
        <v>6.9419999999999996E-2</v>
      </c>
      <c r="LB18" s="397">
        <v>465.7</v>
      </c>
      <c r="LC18" s="415">
        <v>1.9220999999999999</v>
      </c>
      <c r="LD18" s="415">
        <v>0.95689999999999997</v>
      </c>
      <c r="LE18" s="415">
        <v>1.121</v>
      </c>
      <c r="LF18" s="396">
        <v>170.1</v>
      </c>
      <c r="LG18" s="240">
        <v>75</v>
      </c>
      <c r="LI18" s="254">
        <v>75</v>
      </c>
      <c r="LJ18" s="511">
        <v>6.7610000000000003E-2</v>
      </c>
      <c r="LK18" s="514">
        <v>465.6</v>
      </c>
      <c r="LL18" s="523">
        <v>1.9198</v>
      </c>
      <c r="LM18" s="523">
        <v>0.95799999999999996</v>
      </c>
      <c r="LN18" s="523">
        <v>1.1216999999999999</v>
      </c>
      <c r="LO18" s="526">
        <v>169.9</v>
      </c>
      <c r="LP18" s="731"/>
      <c r="LQ18" s="511">
        <v>6.4519999999999994E-2</v>
      </c>
      <c r="LR18" s="530">
        <v>470.1</v>
      </c>
      <c r="LS18" s="522">
        <v>1.9278999999999999</v>
      </c>
      <c r="LT18" s="508">
        <v>0.96609999999999996</v>
      </c>
      <c r="LU18" s="508">
        <v>1.1208</v>
      </c>
      <c r="LV18" s="514">
        <v>171</v>
      </c>
      <c r="LW18" s="257">
        <v>80</v>
      </c>
      <c r="LY18" s="193">
        <v>80</v>
      </c>
      <c r="LZ18" s="509">
        <v>6.0749999999999998E-2</v>
      </c>
      <c r="MA18" s="526">
        <v>469.8</v>
      </c>
      <c r="MB18" s="508">
        <v>1.9226000000000001</v>
      </c>
      <c r="MC18" s="508">
        <v>0.96879999999999999</v>
      </c>
      <c r="MD18" s="508">
        <v>1.1225000000000001</v>
      </c>
      <c r="ME18" s="514">
        <v>170.6</v>
      </c>
      <c r="MF18" s="731"/>
      <c r="MG18" s="537">
        <v>5.7369999999999997E-2</v>
      </c>
      <c r="MH18" s="530">
        <v>469.5</v>
      </c>
      <c r="MI18" s="192">
        <v>1.9176</v>
      </c>
      <c r="MJ18" s="191">
        <v>0.97140000000000004</v>
      </c>
      <c r="MK18" s="191">
        <v>1.1242000000000001</v>
      </c>
      <c r="ML18" s="514">
        <v>170.1</v>
      </c>
      <c r="MM18" s="194">
        <v>80</v>
      </c>
      <c r="MO18" s="176">
        <v>85</v>
      </c>
      <c r="MP18" s="340">
        <v>5.5280000000000003E-2</v>
      </c>
      <c r="MQ18" s="564">
        <v>474.1</v>
      </c>
      <c r="MR18" s="335">
        <v>1.9265000000000001</v>
      </c>
      <c r="MS18" s="334">
        <v>0.97909999999999997</v>
      </c>
      <c r="MT18" s="335">
        <v>1.123</v>
      </c>
      <c r="MU18" s="396">
        <v>177.3</v>
      </c>
      <c r="MV18" s="731"/>
      <c r="MW18" s="340">
        <v>5.2499999999999998E-2</v>
      </c>
      <c r="MX18" s="397">
        <v>473.8</v>
      </c>
      <c r="MY18" s="334">
        <v>1.9218999999999999</v>
      </c>
      <c r="MZ18" s="334">
        <v>0.98160000000000003</v>
      </c>
      <c r="NA18" s="334">
        <v>1.1246</v>
      </c>
      <c r="NB18" s="397">
        <v>170.9</v>
      </c>
      <c r="NC18" s="260">
        <v>85</v>
      </c>
      <c r="NE18" s="243">
        <v>85</v>
      </c>
      <c r="NF18" s="409">
        <v>4.9959999999999997E-2</v>
      </c>
      <c r="NG18" s="396">
        <v>473.5</v>
      </c>
      <c r="NH18" s="415">
        <v>1.9175</v>
      </c>
      <c r="NI18" s="415">
        <v>0.98419999999999996</v>
      </c>
      <c r="NJ18" s="335">
        <v>1.1263000000000001</v>
      </c>
      <c r="NK18" s="396">
        <v>170.5</v>
      </c>
      <c r="NL18" s="731"/>
      <c r="NM18" s="409">
        <v>4.8469999999999999E-2</v>
      </c>
      <c r="NN18" s="397">
        <v>478.1</v>
      </c>
      <c r="NO18" s="415">
        <v>1.927</v>
      </c>
      <c r="NP18" s="334">
        <v>0.99139999999999995</v>
      </c>
      <c r="NQ18" s="415">
        <v>1.125</v>
      </c>
      <c r="NR18" s="396">
        <v>171.6</v>
      </c>
      <c r="NS18" s="240">
        <v>90</v>
      </c>
      <c r="NU18" s="254">
        <v>90</v>
      </c>
      <c r="NV18" s="463">
        <v>4.6330000000000003E-2</v>
      </c>
      <c r="NW18" s="528">
        <v>477.9</v>
      </c>
      <c r="NX18" s="470">
        <v>1.9229000000000001</v>
      </c>
      <c r="NY18" s="470">
        <v>0.99380000000000002</v>
      </c>
      <c r="NZ18" s="459">
        <v>1.1265000000000001</v>
      </c>
      <c r="OA18" s="476">
        <v>171.3</v>
      </c>
      <c r="OB18" s="731"/>
      <c r="OC18" s="511">
        <v>4.4339999999999997E-2</v>
      </c>
      <c r="OD18" s="528">
        <v>477.6</v>
      </c>
      <c r="OE18" s="574">
        <v>1.919</v>
      </c>
      <c r="OF18" s="459">
        <v>0.99629999999999996</v>
      </c>
      <c r="OG18" s="575">
        <v>1.1282000000000001</v>
      </c>
      <c r="OH18" s="528">
        <v>170.9</v>
      </c>
      <c r="OI18" s="257">
        <v>90</v>
      </c>
      <c r="OK18" s="193">
        <v>90</v>
      </c>
      <c r="OL18" s="537">
        <v>4.2520000000000002E-2</v>
      </c>
      <c r="OM18" s="517">
        <v>477.3</v>
      </c>
      <c r="ON18" s="459">
        <v>1.9152</v>
      </c>
      <c r="OO18" s="459">
        <v>0.99880000000000002</v>
      </c>
      <c r="OP18" s="459">
        <v>1.1297999999999999</v>
      </c>
      <c r="OQ18" s="528">
        <v>170.5</v>
      </c>
      <c r="OR18" s="731"/>
      <c r="OS18" s="537">
        <v>4.1549999999999997E-2</v>
      </c>
      <c r="OT18" s="528">
        <v>482</v>
      </c>
      <c r="OU18" s="459">
        <v>1.9253</v>
      </c>
      <c r="OV18" s="459">
        <v>1.0054000000000001</v>
      </c>
      <c r="OW18" s="459">
        <v>1.1282000000000001</v>
      </c>
      <c r="OX18" s="528">
        <v>171.7</v>
      </c>
      <c r="OY18" s="194">
        <v>95</v>
      </c>
      <c r="PA18" s="176">
        <v>95</v>
      </c>
      <c r="PB18" s="340">
        <v>3.9949999999999999E-2</v>
      </c>
      <c r="PC18" s="396">
        <v>481.7</v>
      </c>
      <c r="PD18" s="334">
        <v>1.9217</v>
      </c>
      <c r="PE18" s="334">
        <v>1.0078</v>
      </c>
      <c r="PF18" s="334">
        <v>1.1296999999999999</v>
      </c>
      <c r="PG18" s="397">
        <v>171.3</v>
      </c>
      <c r="PH18" s="731"/>
      <c r="PI18" s="340">
        <v>3.8469999999999997E-2</v>
      </c>
      <c r="PJ18" s="397">
        <v>481.5</v>
      </c>
      <c r="PK18" s="492">
        <v>1.9182999999999999</v>
      </c>
      <c r="PL18" s="334">
        <v>1.0103</v>
      </c>
      <c r="PM18" s="334">
        <v>1.1313</v>
      </c>
      <c r="PN18" s="542">
        <v>171</v>
      </c>
      <c r="PO18" s="260">
        <v>95</v>
      </c>
      <c r="PQ18" s="243">
        <v>95</v>
      </c>
      <c r="PR18" s="409">
        <v>3.7080000000000002E-2</v>
      </c>
      <c r="PS18" s="396">
        <v>481.2</v>
      </c>
      <c r="PT18" s="429">
        <v>1.915</v>
      </c>
      <c r="PU18" s="415">
        <v>1.0126999999999999</v>
      </c>
      <c r="PV18" s="334">
        <v>1.1329</v>
      </c>
      <c r="PW18" s="396">
        <v>170.6</v>
      </c>
      <c r="PX18" s="731"/>
      <c r="PY18" s="409">
        <v>3.5200000000000002E-2</v>
      </c>
      <c r="PZ18" s="397">
        <v>485.7</v>
      </c>
      <c r="QA18" s="415">
        <v>1.9222999999999999</v>
      </c>
      <c r="QB18" s="546">
        <v>1.0212000000000001</v>
      </c>
      <c r="QC18" s="415">
        <v>1.1325000000000001</v>
      </c>
      <c r="QD18" s="540">
        <v>171.5</v>
      </c>
      <c r="QE18" s="245">
        <v>100</v>
      </c>
      <c r="QG18" s="264">
        <v>100</v>
      </c>
      <c r="QH18" s="512">
        <v>3.295E-2</v>
      </c>
      <c r="QI18" s="514">
        <v>485.1</v>
      </c>
      <c r="QJ18" s="523">
        <v>1.9162999999999999</v>
      </c>
      <c r="QK18" s="523">
        <v>1.0259</v>
      </c>
      <c r="QL18" s="591">
        <v>1.1356999999999999</v>
      </c>
      <c r="QM18" s="526">
        <v>170.8</v>
      </c>
      <c r="QN18" s="731"/>
      <c r="QO18" s="512">
        <v>3.1510000000000003E-2</v>
      </c>
      <c r="QP18" s="532">
        <v>489.8</v>
      </c>
      <c r="QQ18" s="255">
        <v>1.9242999999999999</v>
      </c>
      <c r="QR18" s="191">
        <v>1.0338000000000001</v>
      </c>
      <c r="QS18" s="255">
        <v>1.1351</v>
      </c>
      <c r="QT18" s="527">
        <v>171.7</v>
      </c>
      <c r="QU18" s="257">
        <v>105</v>
      </c>
      <c r="QW18" s="199">
        <v>105</v>
      </c>
      <c r="QX18" s="509">
        <v>2.971E-2</v>
      </c>
      <c r="QY18" s="517">
        <v>489.2</v>
      </c>
      <c r="QZ18" s="508">
        <v>1.9188000000000001</v>
      </c>
      <c r="RA18" s="508">
        <v>1.0384</v>
      </c>
      <c r="RB18" s="594">
        <v>1.1380999999999999</v>
      </c>
      <c r="RC18" s="526">
        <v>171.1</v>
      </c>
      <c r="RD18" s="731"/>
      <c r="RE18" s="509">
        <v>2.8070000000000001E-2</v>
      </c>
      <c r="RF18" s="530">
        <v>488.7</v>
      </c>
      <c r="RG18" s="536">
        <v>1.9136</v>
      </c>
      <c r="RH18" s="590">
        <v>1.0431999999999999</v>
      </c>
      <c r="RI18" s="536">
        <v>1.1413</v>
      </c>
      <c r="RJ18" s="526">
        <v>170.4</v>
      </c>
      <c r="RK18" s="194">
        <v>105</v>
      </c>
      <c r="RM18" s="270">
        <v>110</v>
      </c>
      <c r="RN18" s="340">
        <v>2.5729999999999999E-2</v>
      </c>
      <c r="RO18" s="396">
        <v>492.9</v>
      </c>
      <c r="RP18" s="491">
        <v>1.9175</v>
      </c>
      <c r="RQ18" s="491">
        <v>1.0548999999999999</v>
      </c>
      <c r="RR18" s="492">
        <v>1.1433</v>
      </c>
      <c r="RS18" s="489">
        <v>170.7</v>
      </c>
      <c r="RT18" s="731"/>
      <c r="RU18" s="340">
        <v>2.3789999999999999E-2</v>
      </c>
      <c r="RV18" s="397">
        <v>497.1</v>
      </c>
      <c r="RW18" s="334">
        <v>1.9220999999999999</v>
      </c>
      <c r="RX18" s="492">
        <v>1.0660000000000001</v>
      </c>
      <c r="RY18" s="334">
        <v>1.145</v>
      </c>
      <c r="RZ18" s="488">
        <v>171.2</v>
      </c>
      <c r="SA18" s="260">
        <v>115</v>
      </c>
      <c r="SC18" s="268">
        <v>115</v>
      </c>
      <c r="SD18" s="409">
        <v>2.1749999999999999E-2</v>
      </c>
      <c r="SE18" s="505">
        <v>496.1</v>
      </c>
      <c r="SF18" s="499">
        <v>1.9136</v>
      </c>
      <c r="SG18" s="415">
        <v>1.0751999999999999</v>
      </c>
      <c r="SH18" s="500">
        <v>1.1512</v>
      </c>
      <c r="SI18" s="489">
        <v>169.9</v>
      </c>
      <c r="SJ18" s="731"/>
      <c r="SK18" s="409">
        <v>2.0379999999999999E-2</v>
      </c>
      <c r="SL18" s="286">
        <v>500.5</v>
      </c>
      <c r="SM18" s="499">
        <v>1.9194</v>
      </c>
      <c r="SN18" s="415">
        <v>1.0853999999999999</v>
      </c>
      <c r="SO18" s="415">
        <v>1.1524000000000001</v>
      </c>
      <c r="SP18" s="170">
        <v>170.5</v>
      </c>
      <c r="SQ18" s="240">
        <v>120</v>
      </c>
      <c r="SS18" s="268">
        <v>125</v>
      </c>
      <c r="ST18" s="409">
        <v>1.9210000000000001E-2</v>
      </c>
      <c r="SU18" s="170">
        <v>504.9</v>
      </c>
      <c r="SV18" s="499">
        <v>1.9257</v>
      </c>
      <c r="SW18" s="499">
        <v>1.095</v>
      </c>
      <c r="SX18" s="499">
        <v>1.1532</v>
      </c>
      <c r="SY18" s="190">
        <v>171.1</v>
      </c>
      <c r="SZ18" s="731"/>
      <c r="TA18" s="409">
        <v>1.7850000000000001E-2</v>
      </c>
      <c r="TB18" s="397">
        <v>503.9</v>
      </c>
      <c r="TC18" s="415">
        <v>1.9186000000000001</v>
      </c>
      <c r="TD18" s="491">
        <v>1.1037999999999999</v>
      </c>
      <c r="TE18" s="334">
        <v>1.1593</v>
      </c>
      <c r="TF18" s="488">
        <v>169.9</v>
      </c>
      <c r="TG18" s="240">
        <v>125</v>
      </c>
      <c r="TI18" s="270">
        <v>130</v>
      </c>
      <c r="TJ18" s="340">
        <v>1.6979999999999999E-2</v>
      </c>
      <c r="TK18" s="396">
        <v>508.5</v>
      </c>
      <c r="TL18" s="491">
        <v>1.9256</v>
      </c>
      <c r="TM18" s="491">
        <v>1.1126</v>
      </c>
      <c r="TN18" s="491">
        <v>1.1597</v>
      </c>
      <c r="TO18" s="489">
        <v>170.7</v>
      </c>
      <c r="TP18" s="731"/>
      <c r="TQ18" s="340">
        <v>1.5890000000000001E-2</v>
      </c>
      <c r="TR18" s="397">
        <v>507.5</v>
      </c>
      <c r="TS18" s="334">
        <v>1.9191</v>
      </c>
      <c r="TT18" s="491">
        <v>1.1214</v>
      </c>
      <c r="TU18" s="334">
        <v>1.1657</v>
      </c>
      <c r="TV18" s="489">
        <v>169.5</v>
      </c>
      <c r="TW18" s="260">
        <v>130</v>
      </c>
      <c r="TY18" s="270">
        <v>135</v>
      </c>
      <c r="TZ18" s="474">
        <v>1.523E-2</v>
      </c>
      <c r="UA18" s="467">
        <v>512.20000000000005</v>
      </c>
      <c r="UB18" s="491">
        <v>1.9268000000000001</v>
      </c>
      <c r="UC18" s="473">
        <v>1.1293</v>
      </c>
      <c r="UD18" s="610">
        <v>1.1656</v>
      </c>
      <c r="UE18" s="489">
        <v>170.4</v>
      </c>
      <c r="UF18" s="749"/>
      <c r="UG18" s="474">
        <v>1.434E-2</v>
      </c>
      <c r="UH18" s="478">
        <v>511.2</v>
      </c>
      <c r="UI18" s="473">
        <v>1.9208000000000001</v>
      </c>
      <c r="UJ18" s="491">
        <v>1.1379999999999999</v>
      </c>
      <c r="UK18" s="473">
        <v>1.1717</v>
      </c>
      <c r="UL18" s="488">
        <v>169.2</v>
      </c>
      <c r="UM18" s="310">
        <v>135</v>
      </c>
      <c r="UO18" s="268">
        <v>140</v>
      </c>
      <c r="UP18" s="464">
        <v>1.308E-2</v>
      </c>
      <c r="UQ18" s="467">
        <v>515.1</v>
      </c>
      <c r="UR18" s="499">
        <v>1.9235</v>
      </c>
      <c r="US18" s="499">
        <v>1.1536999999999999</v>
      </c>
      <c r="UT18" s="610">
        <v>1.177</v>
      </c>
      <c r="UU18" s="489">
        <v>169.1</v>
      </c>
      <c r="UV18" s="749"/>
      <c r="UW18" s="464">
        <v>1.205E-2</v>
      </c>
      <c r="UX18" s="478">
        <v>519</v>
      </c>
      <c r="UY18" s="499">
        <v>1.927</v>
      </c>
      <c r="UZ18" s="471">
        <v>1.1684000000000001</v>
      </c>
      <c r="VA18" s="471">
        <v>1.1817</v>
      </c>
      <c r="VB18" s="467">
        <v>169.2</v>
      </c>
      <c r="VC18" s="248">
        <v>145</v>
      </c>
      <c r="VE18" s="264">
        <v>145</v>
      </c>
      <c r="VF18" s="511">
        <v>1.094E-2</v>
      </c>
      <c r="VG18" s="514">
        <v>517.20000000000005</v>
      </c>
      <c r="VH18" s="523">
        <v>1.917</v>
      </c>
      <c r="VI18" s="523">
        <v>1.1860999999999999</v>
      </c>
      <c r="VJ18" s="508">
        <v>1.1942999999999999</v>
      </c>
      <c r="VK18" s="527">
        <v>167.1</v>
      </c>
      <c r="VL18" s="749"/>
      <c r="VM18" s="512">
        <v>1.022E-2</v>
      </c>
      <c r="VN18" s="532">
        <v>521.29999999999995</v>
      </c>
      <c r="VO18" s="522">
        <v>1.9218</v>
      </c>
      <c r="VP18" s="508">
        <v>1.1994</v>
      </c>
      <c r="VQ18" s="522">
        <v>1.1980999999999999</v>
      </c>
      <c r="VR18" s="526">
        <v>167.4</v>
      </c>
      <c r="VS18" s="257">
        <v>150</v>
      </c>
      <c r="VU18" s="199">
        <v>155</v>
      </c>
      <c r="VV18" s="509">
        <v>9.5999999999999992E-3</v>
      </c>
      <c r="VW18" s="514">
        <v>525.5</v>
      </c>
      <c r="VX18" s="508">
        <v>1.9271</v>
      </c>
      <c r="VY18" s="508">
        <v>1.2116</v>
      </c>
      <c r="VZ18" s="508">
        <v>1.2011000000000001</v>
      </c>
      <c r="WA18" s="526">
        <v>167.9</v>
      </c>
      <c r="WB18" s="749"/>
      <c r="WC18" s="509">
        <v>8.8699999999999994E-3</v>
      </c>
      <c r="WD18" s="528">
        <v>523.70000000000005</v>
      </c>
      <c r="WE18" s="536">
        <v>1.9186000000000001</v>
      </c>
      <c r="WF18" s="391">
        <v>1.2294</v>
      </c>
      <c r="WG18" s="536">
        <v>1.2139</v>
      </c>
      <c r="WH18" s="526">
        <v>166</v>
      </c>
      <c r="WI18" s="194">
        <v>155</v>
      </c>
      <c r="WK18" s="199">
        <v>160</v>
      </c>
      <c r="WL18" s="509">
        <v>8.4200000000000004E-3</v>
      </c>
      <c r="WM18" s="514">
        <v>528.1</v>
      </c>
      <c r="WN18" s="508">
        <v>1.9247000000000001</v>
      </c>
      <c r="WO18" s="508">
        <v>1.2399</v>
      </c>
      <c r="WP18" s="508">
        <v>1.2158</v>
      </c>
      <c r="WQ18" s="526">
        <v>166.7</v>
      </c>
      <c r="WR18" s="749"/>
      <c r="WS18" s="537">
        <v>8.0199999999999994E-3</v>
      </c>
      <c r="WT18" s="528">
        <v>532.6</v>
      </c>
      <c r="WU18" s="536">
        <v>1.9313</v>
      </c>
      <c r="WV18" s="492">
        <v>1.2494000000000001</v>
      </c>
      <c r="WW18" s="536">
        <v>1.2170000000000001</v>
      </c>
      <c r="WX18" s="530">
        <v>167.5</v>
      </c>
      <c r="WY18" s="194">
        <v>165</v>
      </c>
      <c r="WZ18" s="469"/>
      <c r="XA18" s="264">
        <v>165</v>
      </c>
      <c r="XB18" s="512">
        <v>7.4900000000000001E-3</v>
      </c>
      <c r="XC18" s="514">
        <v>530.9</v>
      </c>
      <c r="XD18" s="523">
        <v>1.9238999999999999</v>
      </c>
      <c r="XE18" s="523">
        <v>1.2665999999999999</v>
      </c>
      <c r="XF18" s="492">
        <v>1.2293000000000001</v>
      </c>
      <c r="XG18" s="526">
        <v>166</v>
      </c>
      <c r="XH18" s="749"/>
      <c r="XI18" s="511">
        <v>7.1900000000000002E-3</v>
      </c>
      <c r="XJ18" s="528">
        <v>535.6</v>
      </c>
      <c r="XK18" s="523">
        <v>1.9311</v>
      </c>
      <c r="XL18" s="522">
        <v>1.2743</v>
      </c>
      <c r="XM18" s="522">
        <v>1.2293000000000001</v>
      </c>
      <c r="XN18" s="526">
        <v>167</v>
      </c>
      <c r="XO18" s="257">
        <v>170</v>
      </c>
      <c r="XP18" s="206"/>
    </row>
    <row r="19" spans="1:640" ht="15.75" thickBot="1" x14ac:dyDescent="0.3">
      <c r="A19" s="282">
        <v>5</v>
      </c>
      <c r="B19" s="365">
        <v>2.2624399999999998</v>
      </c>
      <c r="C19" s="368">
        <v>410.1</v>
      </c>
      <c r="D19" s="360">
        <v>2.0377000000000001</v>
      </c>
      <c r="E19" s="360">
        <v>0.79920000000000002</v>
      </c>
      <c r="F19" s="388">
        <v>1.1153999999999999</v>
      </c>
      <c r="G19" s="172">
        <v>158.6</v>
      </c>
      <c r="H19" s="266"/>
      <c r="I19" s="365">
        <v>1.16822</v>
      </c>
      <c r="J19" s="374">
        <v>418</v>
      </c>
      <c r="K19" s="360">
        <v>2.0091999999999999</v>
      </c>
      <c r="L19" s="358">
        <v>0.81910000000000005</v>
      </c>
      <c r="M19" s="360">
        <v>1.1135999999999999</v>
      </c>
      <c r="N19" s="368">
        <v>161</v>
      </c>
      <c r="O19" s="382">
        <v>15</v>
      </c>
      <c r="P19" s="238"/>
      <c r="Q19" s="282">
        <v>25</v>
      </c>
      <c r="R19" s="363">
        <v>0.80515000000000003</v>
      </c>
      <c r="S19" s="389">
        <v>426.1</v>
      </c>
      <c r="T19" s="358">
        <v>2.004</v>
      </c>
      <c r="U19" s="358">
        <v>0.83819999999999995</v>
      </c>
      <c r="V19" s="358">
        <v>1.1116999999999999</v>
      </c>
      <c r="W19" s="368">
        <v>163.4</v>
      </c>
      <c r="X19" s="266"/>
      <c r="Y19" s="363">
        <v>0.61312</v>
      </c>
      <c r="Z19" s="374">
        <v>430.1</v>
      </c>
      <c r="AA19" s="358">
        <v>1.9941</v>
      </c>
      <c r="AB19" s="358">
        <v>0.84840000000000004</v>
      </c>
      <c r="AC19" s="358">
        <v>1.1112</v>
      </c>
      <c r="AD19" s="368">
        <v>164.4</v>
      </c>
      <c r="AE19" s="283">
        <v>30</v>
      </c>
      <c r="AF19" s="37"/>
      <c r="AG19" s="243">
        <v>30</v>
      </c>
      <c r="AH19" s="340">
        <v>0.48948000000000003</v>
      </c>
      <c r="AI19" s="396">
        <v>430</v>
      </c>
      <c r="AJ19" s="401">
        <v>1.9755</v>
      </c>
      <c r="AK19" s="334">
        <v>0.85009999999999997</v>
      </c>
      <c r="AL19" s="401">
        <v>1.1122000000000001</v>
      </c>
      <c r="AM19" s="404">
        <v>164.2</v>
      </c>
      <c r="AN19" s="731"/>
      <c r="AO19" s="340">
        <v>0.41408</v>
      </c>
      <c r="AP19" s="397">
        <v>434.1</v>
      </c>
      <c r="AQ19" s="334">
        <v>1.9742</v>
      </c>
      <c r="AR19" s="334">
        <v>0.8599</v>
      </c>
      <c r="AS19" s="401">
        <v>1.1115999999999999</v>
      </c>
      <c r="AT19" s="397">
        <v>165.3</v>
      </c>
      <c r="AU19" s="240">
        <v>35</v>
      </c>
      <c r="AV19" s="37"/>
      <c r="AW19" s="243">
        <v>40</v>
      </c>
      <c r="AX19" s="409">
        <v>0.36022999999999999</v>
      </c>
      <c r="AY19" s="396">
        <v>438.2</v>
      </c>
      <c r="AZ19" s="416">
        <v>1.9752000000000001</v>
      </c>
      <c r="BA19" s="415">
        <v>0.86939999999999995</v>
      </c>
      <c r="BB19" s="416">
        <v>1.1109</v>
      </c>
      <c r="BC19" s="396">
        <v>166.4</v>
      </c>
      <c r="BD19" s="731"/>
      <c r="BE19" s="412">
        <v>0.31466</v>
      </c>
      <c r="BF19" s="397">
        <v>438.1</v>
      </c>
      <c r="BG19" s="415">
        <v>1.964</v>
      </c>
      <c r="BH19" s="334">
        <v>0.87090000000000001</v>
      </c>
      <c r="BI19" s="416">
        <v>1.1117999999999999</v>
      </c>
      <c r="BJ19" s="396">
        <v>166.2</v>
      </c>
      <c r="BK19" s="240">
        <v>40</v>
      </c>
      <c r="BL19" s="37"/>
      <c r="BM19" s="243">
        <v>45</v>
      </c>
      <c r="BN19" s="409">
        <v>0.28393000000000002</v>
      </c>
      <c r="BO19" s="396">
        <v>442.3</v>
      </c>
      <c r="BP19" s="415">
        <v>1.9679</v>
      </c>
      <c r="BQ19" s="415">
        <v>0.88019999999999998</v>
      </c>
      <c r="BR19" s="334">
        <v>1.111</v>
      </c>
      <c r="BS19" s="396">
        <v>167.3</v>
      </c>
      <c r="BT19" s="731"/>
      <c r="BU19" s="409">
        <v>0.25517000000000001</v>
      </c>
      <c r="BV19" s="397">
        <v>442.1</v>
      </c>
      <c r="BW19" s="415">
        <v>1.9589000000000001</v>
      </c>
      <c r="BX19" s="334">
        <v>0.88160000000000005</v>
      </c>
      <c r="BY19" s="415">
        <v>1.1117999999999999</v>
      </c>
      <c r="BZ19" s="397">
        <v>167.1</v>
      </c>
      <c r="CA19" s="240">
        <v>45</v>
      </c>
      <c r="CB19" s="37"/>
      <c r="CC19" s="243">
        <v>45</v>
      </c>
      <c r="CD19" s="340">
        <v>0.25175999999999998</v>
      </c>
      <c r="CE19" s="396">
        <v>442.1</v>
      </c>
      <c r="CF19" s="334">
        <v>1.9578</v>
      </c>
      <c r="CG19" s="334">
        <v>0.88180000000000003</v>
      </c>
      <c r="CH19" s="334">
        <v>1.1119000000000001</v>
      </c>
      <c r="CI19" s="396">
        <v>167</v>
      </c>
      <c r="CJ19" s="731"/>
      <c r="CK19" s="340">
        <v>0.23546</v>
      </c>
      <c r="CL19" s="397">
        <v>446.4</v>
      </c>
      <c r="CM19" s="334">
        <v>1.9645999999999999</v>
      </c>
      <c r="CN19" s="334">
        <v>0.89049999999999996</v>
      </c>
      <c r="CO19" s="334">
        <v>1.1109</v>
      </c>
      <c r="CP19" s="396">
        <v>168.2</v>
      </c>
      <c r="CQ19" s="240">
        <v>50</v>
      </c>
      <c r="CR19" s="37"/>
      <c r="CS19" s="243">
        <v>50</v>
      </c>
      <c r="CT19" s="340">
        <v>0.21551999999999999</v>
      </c>
      <c r="CU19" s="442">
        <v>446.3</v>
      </c>
      <c r="CV19" s="444">
        <v>1.9572000000000001</v>
      </c>
      <c r="CW19" s="334">
        <v>0.89190000000000003</v>
      </c>
      <c r="CX19" s="444">
        <v>1.1116999999999999</v>
      </c>
      <c r="CY19" s="442">
        <v>168</v>
      </c>
      <c r="CZ19" s="731"/>
      <c r="DA19" s="440">
        <v>0.19861000000000001</v>
      </c>
      <c r="DB19" s="449">
        <v>446.1</v>
      </c>
      <c r="DC19" s="334">
        <v>1.9503999999999999</v>
      </c>
      <c r="DD19" s="334">
        <v>0.89329999999999998</v>
      </c>
      <c r="DE19" s="444">
        <v>1.1125</v>
      </c>
      <c r="DF19" s="397">
        <v>167.8</v>
      </c>
      <c r="DG19" s="240">
        <v>50</v>
      </c>
      <c r="DH19" s="37"/>
      <c r="DI19" s="243">
        <v>55</v>
      </c>
      <c r="DJ19" s="409">
        <v>0.18720000000000001</v>
      </c>
      <c r="DK19" s="396">
        <v>450.5</v>
      </c>
      <c r="DL19" s="455">
        <v>1.9578</v>
      </c>
      <c r="DM19" s="415">
        <v>0.90190000000000003</v>
      </c>
      <c r="DN19" s="444">
        <v>1.1114999999999999</v>
      </c>
      <c r="DO19" s="396">
        <v>168.9</v>
      </c>
      <c r="DP19" s="731"/>
      <c r="DQ19" s="409">
        <v>0.17449000000000001</v>
      </c>
      <c r="DR19" s="397">
        <v>450.3</v>
      </c>
      <c r="DS19" s="415">
        <v>1.9518</v>
      </c>
      <c r="DT19" s="415">
        <v>0.9032</v>
      </c>
      <c r="DU19" s="455">
        <v>1.1123000000000001</v>
      </c>
      <c r="DV19" s="396">
        <v>168.7</v>
      </c>
      <c r="DW19" s="240">
        <v>55</v>
      </c>
      <c r="DY19" s="247">
        <v>55</v>
      </c>
      <c r="DZ19" s="463">
        <v>0.16328999999999999</v>
      </c>
      <c r="EA19" s="467">
        <v>450.2</v>
      </c>
      <c r="EB19" s="470">
        <v>1.9462999999999999</v>
      </c>
      <c r="EC19" s="470">
        <v>0.90439999999999998</v>
      </c>
      <c r="ED19" s="470">
        <v>1.1131</v>
      </c>
      <c r="EE19" s="467">
        <v>168.6</v>
      </c>
      <c r="EF19" s="731"/>
      <c r="EG19" s="464">
        <v>0.15603</v>
      </c>
      <c r="EH19" s="478">
        <v>454.6</v>
      </c>
      <c r="EI19" s="471">
        <v>1.9548000000000001</v>
      </c>
      <c r="EJ19" s="459">
        <v>0.91269999999999996</v>
      </c>
      <c r="EK19" s="459">
        <v>1.1120000000000001</v>
      </c>
      <c r="EL19" s="478">
        <v>169.7</v>
      </c>
      <c r="EM19" s="248">
        <v>60</v>
      </c>
      <c r="EO19" s="247">
        <v>60</v>
      </c>
      <c r="EP19" s="474">
        <v>0.14717</v>
      </c>
      <c r="EQ19" s="467">
        <v>454.5</v>
      </c>
      <c r="ER19" s="459">
        <v>1.9498</v>
      </c>
      <c r="ES19" s="473">
        <v>0.91400000000000003</v>
      </c>
      <c r="ET19" s="459">
        <v>1.1127</v>
      </c>
      <c r="EU19" s="467">
        <v>169.5</v>
      </c>
      <c r="EV19" s="731"/>
      <c r="EW19" s="474">
        <v>0.13922000000000001</v>
      </c>
      <c r="EX19" s="478">
        <v>454.3</v>
      </c>
      <c r="EY19" s="473">
        <v>1.9451000000000001</v>
      </c>
      <c r="EZ19" s="473">
        <v>0.91520000000000001</v>
      </c>
      <c r="FA19" s="459">
        <v>1.1133999999999999</v>
      </c>
      <c r="FB19" s="467">
        <v>169.4</v>
      </c>
      <c r="FC19" s="248">
        <v>60</v>
      </c>
      <c r="FE19" s="243">
        <v>60</v>
      </c>
      <c r="FF19" s="340">
        <v>0.13206999999999999</v>
      </c>
      <c r="FG19" s="396">
        <v>454.2</v>
      </c>
      <c r="FH19" s="491">
        <v>1.9406000000000001</v>
      </c>
      <c r="FI19" s="334">
        <v>0.91639999999999999</v>
      </c>
      <c r="FJ19" s="492">
        <v>1.1142000000000001</v>
      </c>
      <c r="FK19" s="396">
        <v>169.2</v>
      </c>
      <c r="FL19" s="731"/>
      <c r="FM19" s="340">
        <v>0.12767999999999999</v>
      </c>
      <c r="FN19" s="397">
        <v>458.6</v>
      </c>
      <c r="FO19" s="334">
        <v>1.9500999999999999</v>
      </c>
      <c r="FP19" s="334">
        <v>0.9244</v>
      </c>
      <c r="FQ19" s="334">
        <v>1.1129</v>
      </c>
      <c r="FR19" s="397">
        <v>170.4</v>
      </c>
      <c r="FS19" s="240">
        <v>60</v>
      </c>
      <c r="FU19" s="243">
        <v>65</v>
      </c>
      <c r="FV19" s="409">
        <v>0.12171</v>
      </c>
      <c r="FW19" s="396">
        <v>458.5</v>
      </c>
      <c r="FX19" s="499">
        <v>1.946</v>
      </c>
      <c r="FY19" s="415">
        <v>0.92549999999999999</v>
      </c>
      <c r="FZ19" s="491">
        <v>1.1135999999999999</v>
      </c>
      <c r="GA19" s="396">
        <v>170.2</v>
      </c>
      <c r="GB19" s="731"/>
      <c r="GC19" s="409">
        <v>0.11627</v>
      </c>
      <c r="GD19" s="397">
        <v>458.4</v>
      </c>
      <c r="GE19" s="415">
        <v>1.9420999999999999</v>
      </c>
      <c r="GF19" s="415">
        <v>0.92669999999999997</v>
      </c>
      <c r="GG19" s="415">
        <v>1.1144000000000001</v>
      </c>
      <c r="GH19" s="396">
        <v>170</v>
      </c>
      <c r="GI19" s="240">
        <v>65</v>
      </c>
      <c r="GK19" s="243">
        <v>65</v>
      </c>
      <c r="GL19" s="409">
        <v>0.11126999999999999</v>
      </c>
      <c r="GM19" s="404">
        <v>458.3</v>
      </c>
      <c r="GN19" s="415">
        <v>1.9382999999999999</v>
      </c>
      <c r="GO19" s="415">
        <v>0.92779999999999996</v>
      </c>
      <c r="GP19" s="334">
        <v>1.1151</v>
      </c>
      <c r="GQ19" s="396">
        <v>169.8</v>
      </c>
      <c r="GR19" s="731"/>
      <c r="GS19" s="409">
        <v>0.10845</v>
      </c>
      <c r="GT19" s="397">
        <v>462.8</v>
      </c>
      <c r="GU19" s="241">
        <v>1.9483999999999999</v>
      </c>
      <c r="GV19" s="170">
        <v>0.9355</v>
      </c>
      <c r="GW19" s="241">
        <v>1.1136999999999999</v>
      </c>
      <c r="GX19" s="397">
        <v>171</v>
      </c>
      <c r="GY19" s="240">
        <v>70</v>
      </c>
      <c r="HA19" s="243">
        <v>70</v>
      </c>
      <c r="HB19" s="340">
        <v>0.10414</v>
      </c>
      <c r="HC19" s="396">
        <v>462.7</v>
      </c>
      <c r="HD19" s="334">
        <v>1.9449000000000001</v>
      </c>
      <c r="HE19" s="334">
        <v>0.93659999999999999</v>
      </c>
      <c r="HF19" s="334">
        <v>1.1144000000000001</v>
      </c>
      <c r="HG19" s="396">
        <v>170.9</v>
      </c>
      <c r="HH19" s="731"/>
      <c r="HI19" s="340">
        <v>0.10016</v>
      </c>
      <c r="HJ19" s="397">
        <v>462.5</v>
      </c>
      <c r="HK19" s="334">
        <v>1.9416</v>
      </c>
      <c r="HL19" s="334">
        <v>0.93769999999999998</v>
      </c>
      <c r="HM19" s="334">
        <v>1.1151</v>
      </c>
      <c r="HN19" s="396">
        <v>170.7</v>
      </c>
      <c r="HO19" s="240">
        <v>70</v>
      </c>
      <c r="HQ19" s="243">
        <v>70</v>
      </c>
      <c r="HR19" s="340">
        <v>9.6449999999999994E-2</v>
      </c>
      <c r="HS19" s="396">
        <v>462.4</v>
      </c>
      <c r="HT19" s="334">
        <v>1.9382999999999999</v>
      </c>
      <c r="HU19" s="334">
        <v>0.93879999999999997</v>
      </c>
      <c r="HV19" s="334">
        <v>1.1157999999999999</v>
      </c>
      <c r="HW19" s="397">
        <v>170.5</v>
      </c>
      <c r="HX19" s="731"/>
      <c r="HY19" s="340">
        <v>9.3009999999999995E-2</v>
      </c>
      <c r="HZ19" s="397">
        <v>462.3</v>
      </c>
      <c r="IA19" s="492">
        <v>1.9352</v>
      </c>
      <c r="IB19" s="334">
        <v>0.93989999999999996</v>
      </c>
      <c r="IC19" s="334">
        <v>1.1164000000000001</v>
      </c>
      <c r="ID19" s="488">
        <v>170.3</v>
      </c>
      <c r="IE19" s="240">
        <v>70</v>
      </c>
      <c r="IG19" s="243">
        <v>75</v>
      </c>
      <c r="IH19" s="409">
        <v>9.7280000000000005E-2</v>
      </c>
      <c r="II19" s="396">
        <v>466.9</v>
      </c>
      <c r="IJ19" s="499">
        <v>1.9458</v>
      </c>
      <c r="IK19" s="415">
        <v>0.94720000000000004</v>
      </c>
      <c r="IL19" s="491">
        <v>1.1149</v>
      </c>
      <c r="IM19" s="396">
        <v>171.6</v>
      </c>
      <c r="IN19" s="731"/>
      <c r="IO19" s="409">
        <v>8.8209999999999997E-2</v>
      </c>
      <c r="IP19" s="397">
        <v>466.7</v>
      </c>
      <c r="IQ19" s="415">
        <v>1.9429000000000001</v>
      </c>
      <c r="IR19" s="415">
        <v>0.94830000000000003</v>
      </c>
      <c r="IS19" s="499">
        <v>1.1155999999999999</v>
      </c>
      <c r="IT19" s="396">
        <v>171.4</v>
      </c>
      <c r="IU19" s="240">
        <v>75</v>
      </c>
      <c r="IW19" s="254">
        <v>75</v>
      </c>
      <c r="IX19" s="512">
        <v>8.5370000000000001E-2</v>
      </c>
      <c r="IY19" s="514">
        <v>466.6</v>
      </c>
      <c r="IZ19" s="523">
        <v>1.9400999999999999</v>
      </c>
      <c r="JA19" s="523">
        <v>0.94930000000000003</v>
      </c>
      <c r="JB19" s="523">
        <v>1.1163000000000001</v>
      </c>
      <c r="JC19" s="514">
        <v>171.3</v>
      </c>
      <c r="JD19" s="731"/>
      <c r="JE19" s="511">
        <v>8.2669999999999993E-2</v>
      </c>
      <c r="JF19" s="530">
        <v>466.5</v>
      </c>
      <c r="JG19" s="522">
        <v>1.9373</v>
      </c>
      <c r="JH19" s="508">
        <v>0.95040000000000002</v>
      </c>
      <c r="JI19" s="523">
        <v>1.1169</v>
      </c>
      <c r="JJ19" s="528">
        <v>171.1</v>
      </c>
      <c r="JK19" s="257">
        <v>75</v>
      </c>
      <c r="JM19" s="254">
        <v>75</v>
      </c>
      <c r="JN19" s="509">
        <v>8.0130000000000007E-2</v>
      </c>
      <c r="JO19" s="526">
        <v>466.4</v>
      </c>
      <c r="JP19" s="508">
        <v>1.9346000000000001</v>
      </c>
      <c r="JQ19" s="508">
        <v>0.95150000000000001</v>
      </c>
      <c r="JR19" s="508">
        <v>1.1175999999999999</v>
      </c>
      <c r="JS19" s="514">
        <v>170.9</v>
      </c>
      <c r="JT19" s="731"/>
      <c r="JU19" s="537">
        <v>7.9039999999999999E-2</v>
      </c>
      <c r="JV19" s="530">
        <v>471</v>
      </c>
      <c r="JW19" s="536">
        <v>1.9456</v>
      </c>
      <c r="JX19" s="508">
        <v>0.95850000000000002</v>
      </c>
      <c r="JY19" s="508">
        <v>1.1160000000000001</v>
      </c>
      <c r="JZ19" s="514">
        <v>172.2</v>
      </c>
      <c r="KA19" s="194">
        <v>80</v>
      </c>
      <c r="KC19" s="176">
        <v>80</v>
      </c>
      <c r="KD19" s="340">
        <v>7.6759999999999995E-2</v>
      </c>
      <c r="KE19" s="540">
        <v>470.9</v>
      </c>
      <c r="KF19" s="196">
        <v>1.9430000000000001</v>
      </c>
      <c r="KG19" s="170">
        <v>0.95950000000000002</v>
      </c>
      <c r="KH19" s="196">
        <v>1.1166</v>
      </c>
      <c r="KI19" s="396">
        <v>172</v>
      </c>
      <c r="KJ19" s="731"/>
      <c r="KK19" s="340">
        <v>7.4590000000000004E-2</v>
      </c>
      <c r="KL19" s="397">
        <v>470.8</v>
      </c>
      <c r="KM19" s="334">
        <v>1.9406000000000001</v>
      </c>
      <c r="KN19" s="334">
        <v>0.96050000000000002</v>
      </c>
      <c r="KO19" s="334">
        <v>1.1172</v>
      </c>
      <c r="KP19" s="396">
        <v>171.9</v>
      </c>
      <c r="KQ19" s="260">
        <v>80</v>
      </c>
      <c r="KS19" s="243">
        <v>80</v>
      </c>
      <c r="KT19" s="409">
        <v>7.2539999999999993E-2</v>
      </c>
      <c r="KU19" s="543">
        <v>470.7</v>
      </c>
      <c r="KV19" s="415">
        <v>1.9380999999999999</v>
      </c>
      <c r="KW19" s="415">
        <v>0.96150000000000002</v>
      </c>
      <c r="KX19" s="541">
        <v>1.1178999999999999</v>
      </c>
      <c r="KY19" s="543">
        <v>171.7</v>
      </c>
      <c r="KZ19" s="731"/>
      <c r="LA19" s="340">
        <v>7.0610000000000006E-2</v>
      </c>
      <c r="LB19" s="397">
        <v>470.5</v>
      </c>
      <c r="LC19" s="415">
        <v>1.9358</v>
      </c>
      <c r="LD19" s="415">
        <v>0.96250000000000002</v>
      </c>
      <c r="LE19" s="415">
        <v>1.1185</v>
      </c>
      <c r="LF19" s="396">
        <v>171.5</v>
      </c>
      <c r="LG19" s="240">
        <v>80</v>
      </c>
      <c r="LI19" s="254">
        <v>80</v>
      </c>
      <c r="LJ19" s="512">
        <v>6.8760000000000002E-2</v>
      </c>
      <c r="LK19" s="526">
        <v>470.4</v>
      </c>
      <c r="LL19" s="523">
        <v>1.9335</v>
      </c>
      <c r="LM19" s="523">
        <v>0.96350000000000002</v>
      </c>
      <c r="LN19" s="523">
        <v>1.1192</v>
      </c>
      <c r="LO19" s="526">
        <v>171.4</v>
      </c>
      <c r="LP19" s="731"/>
      <c r="LQ19" s="511">
        <v>6.5589999999999996E-2</v>
      </c>
      <c r="LR19" s="528">
        <v>475</v>
      </c>
      <c r="LS19" s="523">
        <v>1.9415</v>
      </c>
      <c r="LT19" s="508">
        <v>0.97160000000000002</v>
      </c>
      <c r="LU19" s="508">
        <v>1.1183000000000001</v>
      </c>
      <c r="LV19" s="514">
        <v>172.4</v>
      </c>
      <c r="LW19" s="257">
        <v>85</v>
      </c>
      <c r="LY19" s="193">
        <v>85</v>
      </c>
      <c r="LZ19" s="509">
        <v>6.1780000000000002E-2</v>
      </c>
      <c r="MA19" s="514">
        <v>474.7</v>
      </c>
      <c r="MB19" s="508">
        <v>1.9362999999999999</v>
      </c>
      <c r="MC19" s="508">
        <v>0.97409999999999997</v>
      </c>
      <c r="MD19" s="508">
        <v>1.1198999999999999</v>
      </c>
      <c r="ME19" s="526">
        <v>172.1</v>
      </c>
      <c r="MF19" s="731"/>
      <c r="MG19" s="537">
        <v>5.8360000000000002E-2</v>
      </c>
      <c r="MH19" s="528">
        <v>474.4</v>
      </c>
      <c r="MI19" s="192">
        <v>1.9313</v>
      </c>
      <c r="MJ19" s="191">
        <v>0.97650000000000003</v>
      </c>
      <c r="MK19" s="191">
        <v>1.1214</v>
      </c>
      <c r="ML19" s="514">
        <v>171.7</v>
      </c>
      <c r="MM19" s="194">
        <v>85</v>
      </c>
      <c r="MO19" s="176">
        <v>90</v>
      </c>
      <c r="MP19" s="340">
        <v>5.6210000000000003E-2</v>
      </c>
      <c r="MQ19" s="564">
        <v>479</v>
      </c>
      <c r="MR19" s="334">
        <v>1.9400999999999999</v>
      </c>
      <c r="MS19" s="334">
        <v>0.98419999999999996</v>
      </c>
      <c r="MT19" s="335">
        <v>1.1204000000000001</v>
      </c>
      <c r="MU19" s="396">
        <v>172.8</v>
      </c>
      <c r="MV19" s="731"/>
      <c r="MW19" s="340">
        <v>5.3379999999999997E-2</v>
      </c>
      <c r="MX19" s="397">
        <v>478.7</v>
      </c>
      <c r="MY19" s="334">
        <v>1.9355</v>
      </c>
      <c r="MZ19" s="334">
        <v>0.98660000000000003</v>
      </c>
      <c r="NA19" s="334">
        <v>1.1218999999999999</v>
      </c>
      <c r="NB19" s="397">
        <v>172.4</v>
      </c>
      <c r="NC19" s="260">
        <v>90</v>
      </c>
      <c r="NE19" s="243">
        <v>90</v>
      </c>
      <c r="NF19" s="409">
        <v>5.0819999999999997E-2</v>
      </c>
      <c r="NG19" s="396">
        <v>478.4</v>
      </c>
      <c r="NH19" s="415">
        <v>1.9312</v>
      </c>
      <c r="NI19" s="415">
        <v>0.9889</v>
      </c>
      <c r="NJ19" s="335">
        <v>1.1234</v>
      </c>
      <c r="NK19" s="396">
        <v>172</v>
      </c>
      <c r="NL19" s="731"/>
      <c r="NM19" s="409">
        <v>4.9299999999999997E-2</v>
      </c>
      <c r="NN19" s="397">
        <v>483.1</v>
      </c>
      <c r="NO19" s="387">
        <v>1.9406000000000001</v>
      </c>
      <c r="NP19" s="334">
        <v>0.99619999999999997</v>
      </c>
      <c r="NQ19" s="415">
        <v>1.1222000000000001</v>
      </c>
      <c r="NR19" s="396">
        <v>173.2</v>
      </c>
      <c r="NS19" s="240">
        <v>95</v>
      </c>
      <c r="NU19" s="254">
        <v>95</v>
      </c>
      <c r="NV19" s="511">
        <v>4.7120000000000002E-2</v>
      </c>
      <c r="NW19" s="476">
        <v>482.8</v>
      </c>
      <c r="NX19" s="470">
        <v>1.9365000000000001</v>
      </c>
      <c r="NY19" s="470">
        <v>0.99850000000000005</v>
      </c>
      <c r="NZ19" s="459">
        <v>1.1235999999999999</v>
      </c>
      <c r="OA19" s="528">
        <v>172.8</v>
      </c>
      <c r="OB19" s="731"/>
      <c r="OC19" s="511">
        <v>4.5109999999999997E-2</v>
      </c>
      <c r="OD19" s="528">
        <v>482.6</v>
      </c>
      <c r="OE19" s="575">
        <v>1.9327000000000001</v>
      </c>
      <c r="OF19" s="459">
        <v>1.0007999999999999</v>
      </c>
      <c r="OG19" s="575">
        <v>1.1251</v>
      </c>
      <c r="OH19" s="528">
        <v>172.4</v>
      </c>
      <c r="OI19" s="257">
        <v>95</v>
      </c>
      <c r="OK19" s="193">
        <v>95</v>
      </c>
      <c r="OL19" s="537">
        <v>4.326E-2</v>
      </c>
      <c r="OM19" s="479">
        <v>482.3</v>
      </c>
      <c r="ON19" s="459">
        <v>1.9289000000000001</v>
      </c>
      <c r="OO19" s="459">
        <v>1.0031000000000001</v>
      </c>
      <c r="OP19" s="459">
        <v>1.1266</v>
      </c>
      <c r="OQ19" s="528">
        <v>172.1</v>
      </c>
      <c r="OR19" s="731"/>
      <c r="OS19" s="537">
        <v>4.2259999999999999E-2</v>
      </c>
      <c r="OT19" s="528">
        <v>487</v>
      </c>
      <c r="OU19" s="459">
        <v>1.9389000000000001</v>
      </c>
      <c r="OV19" s="536">
        <v>1.0098</v>
      </c>
      <c r="OW19" s="536">
        <v>1.1251</v>
      </c>
      <c r="OX19" s="476">
        <v>173.3</v>
      </c>
      <c r="OY19" s="289">
        <v>100</v>
      </c>
      <c r="PA19" s="259">
        <v>100</v>
      </c>
      <c r="PB19" s="340">
        <v>4.0640000000000003E-2</v>
      </c>
      <c r="PC19" s="396">
        <v>486.8</v>
      </c>
      <c r="PD19" s="541">
        <v>1.9354</v>
      </c>
      <c r="PE19" s="334">
        <v>1.012</v>
      </c>
      <c r="PF19" s="492">
        <v>1.1266</v>
      </c>
      <c r="PG19" s="396">
        <v>172.9</v>
      </c>
      <c r="PH19" s="731"/>
      <c r="PI19" s="340">
        <v>3.9140000000000001E-2</v>
      </c>
      <c r="PJ19" s="397">
        <v>486.5</v>
      </c>
      <c r="PK19" s="334">
        <v>1.9319999999999999</v>
      </c>
      <c r="PL19" s="541">
        <v>1.0143</v>
      </c>
      <c r="PM19" s="334">
        <v>1.1279999999999999</v>
      </c>
      <c r="PN19" s="542">
        <v>172.6</v>
      </c>
      <c r="PO19" s="260">
        <v>100</v>
      </c>
      <c r="PQ19" s="261">
        <v>100</v>
      </c>
      <c r="PR19" s="409">
        <v>3.7740000000000003E-2</v>
      </c>
      <c r="PS19" s="396">
        <v>486.2</v>
      </c>
      <c r="PT19" s="546">
        <v>1.9287000000000001</v>
      </c>
      <c r="PU19" s="415">
        <v>1.0165</v>
      </c>
      <c r="PV19" s="492">
        <v>1.1294999999999999</v>
      </c>
      <c r="PW19" s="540">
        <v>172.2</v>
      </c>
      <c r="PX19" s="731"/>
      <c r="PY19" s="409">
        <v>3.5810000000000002E-2</v>
      </c>
      <c r="PZ19" s="397">
        <v>490.8</v>
      </c>
      <c r="QA19" s="415">
        <v>1.9359999999999999</v>
      </c>
      <c r="QB19" s="546">
        <v>1.0249999999999999</v>
      </c>
      <c r="QC19" s="415">
        <v>1.1292</v>
      </c>
      <c r="QD19" s="540">
        <v>173.1</v>
      </c>
      <c r="QE19" s="240">
        <v>105</v>
      </c>
      <c r="QG19" s="264">
        <v>105</v>
      </c>
      <c r="QH19" s="512">
        <v>3.3529999999999997E-2</v>
      </c>
      <c r="QI19" s="514">
        <v>490.3</v>
      </c>
      <c r="QJ19" s="523">
        <v>1.93</v>
      </c>
      <c r="QK19" s="523">
        <v>1.0293000000000001</v>
      </c>
      <c r="QL19" s="387">
        <v>1.1321000000000001</v>
      </c>
      <c r="QM19" s="526">
        <v>172.4</v>
      </c>
      <c r="QN19" s="731"/>
      <c r="QO19" s="512">
        <v>3.2070000000000001E-2</v>
      </c>
      <c r="QP19" s="532">
        <v>494.9</v>
      </c>
      <c r="QQ19" s="255">
        <v>1.9379</v>
      </c>
      <c r="QR19" s="198">
        <v>1.0373000000000001</v>
      </c>
      <c r="QS19" s="255">
        <v>1.1315</v>
      </c>
      <c r="QT19" s="527">
        <v>173.4</v>
      </c>
      <c r="QU19" s="257">
        <v>110</v>
      </c>
      <c r="QW19" s="199">
        <v>110</v>
      </c>
      <c r="QX19" s="509">
        <v>3.023E-2</v>
      </c>
      <c r="QY19" s="517">
        <v>494.4</v>
      </c>
      <c r="QZ19" s="508">
        <v>1.9325000000000001</v>
      </c>
      <c r="RA19" s="508">
        <v>1.0415000000000001</v>
      </c>
      <c r="RB19" s="594">
        <v>1.1343000000000001</v>
      </c>
      <c r="RC19" s="526">
        <v>172.7</v>
      </c>
      <c r="RD19" s="731"/>
      <c r="RE19" s="509">
        <v>2.8590000000000001E-2</v>
      </c>
      <c r="RF19" s="530">
        <v>493.9</v>
      </c>
      <c r="RG19" s="536">
        <v>1.9273</v>
      </c>
      <c r="RH19" s="590">
        <v>1.0459000000000001</v>
      </c>
      <c r="RI19" s="536">
        <v>1.1372</v>
      </c>
      <c r="RJ19" s="514">
        <v>172.1</v>
      </c>
      <c r="RK19" s="194">
        <v>110</v>
      </c>
      <c r="RM19" s="176">
        <v>115</v>
      </c>
      <c r="RN19" s="340">
        <v>2.6200000000000001E-2</v>
      </c>
      <c r="RO19" s="396">
        <v>498.1</v>
      </c>
      <c r="RP19" s="491">
        <v>1.9312</v>
      </c>
      <c r="RQ19" s="491">
        <v>1.0572999999999999</v>
      </c>
      <c r="RR19" s="492">
        <v>1.1391</v>
      </c>
      <c r="RS19" s="396">
        <v>172.5</v>
      </c>
      <c r="RT19" s="731"/>
      <c r="RU19" s="340">
        <v>2.4230000000000002E-2</v>
      </c>
      <c r="RV19" s="397">
        <v>502.5</v>
      </c>
      <c r="RW19" s="491">
        <v>1.9358</v>
      </c>
      <c r="RX19" s="436">
        <v>1.0682</v>
      </c>
      <c r="RY19" s="334">
        <v>1.1407</v>
      </c>
      <c r="RZ19" s="397">
        <v>173</v>
      </c>
      <c r="SA19" s="260">
        <v>120</v>
      </c>
      <c r="SC19" s="243">
        <v>120</v>
      </c>
      <c r="SD19" s="409">
        <v>2.2159999999999999E-2</v>
      </c>
      <c r="SE19" s="505">
        <v>501.5</v>
      </c>
      <c r="SF19" s="415">
        <v>1.9274</v>
      </c>
      <c r="SG19" s="415">
        <v>1.0766</v>
      </c>
      <c r="SH19" s="415">
        <v>1.1464000000000001</v>
      </c>
      <c r="SI19" s="489">
        <v>171.7</v>
      </c>
      <c r="SJ19" s="731"/>
      <c r="SK19" s="409">
        <v>2.077E-2</v>
      </c>
      <c r="SL19" s="176">
        <v>505.9</v>
      </c>
      <c r="SM19" s="415">
        <v>1.9332</v>
      </c>
      <c r="SN19" s="500">
        <v>1.0866</v>
      </c>
      <c r="SO19" s="415">
        <v>1.1475</v>
      </c>
      <c r="SP19" s="170">
        <v>172.3</v>
      </c>
      <c r="SQ19" s="240">
        <v>125</v>
      </c>
      <c r="SS19" s="268">
        <v>130</v>
      </c>
      <c r="ST19" s="409">
        <v>1.958E-2</v>
      </c>
      <c r="SU19" s="170">
        <v>510.4</v>
      </c>
      <c r="SV19" s="499">
        <v>1.9394</v>
      </c>
      <c r="SW19" s="415">
        <v>1.0962000000000001</v>
      </c>
      <c r="SX19" s="499">
        <v>1.1483000000000001</v>
      </c>
      <c r="SY19" s="170">
        <v>173</v>
      </c>
      <c r="SZ19" s="731"/>
      <c r="TA19" s="497">
        <v>1.8200000000000001E-2</v>
      </c>
      <c r="TB19" s="397">
        <v>509.5</v>
      </c>
      <c r="TC19" s="415">
        <v>1.9322999999999999</v>
      </c>
      <c r="TD19" s="491">
        <v>1.1042000000000001</v>
      </c>
      <c r="TE19" s="334">
        <v>1.1538999999999999</v>
      </c>
      <c r="TF19" s="488">
        <v>171.8</v>
      </c>
      <c r="TG19" s="240">
        <v>130</v>
      </c>
      <c r="TI19" s="270">
        <v>135</v>
      </c>
      <c r="TJ19" s="340">
        <v>1.7299999999999999E-2</v>
      </c>
      <c r="TK19" s="396">
        <v>514.1</v>
      </c>
      <c r="TL19" s="491">
        <v>1.9393</v>
      </c>
      <c r="TM19" s="491">
        <v>1.113</v>
      </c>
      <c r="TN19" s="491">
        <v>1.1541999999999999</v>
      </c>
      <c r="TO19" s="489">
        <v>172.6</v>
      </c>
      <c r="TP19" s="731"/>
      <c r="TQ19" s="340">
        <v>1.6209999999999999E-2</v>
      </c>
      <c r="TR19" s="397">
        <v>513.1</v>
      </c>
      <c r="TS19" s="334">
        <v>1.9329000000000001</v>
      </c>
      <c r="TT19" s="491">
        <v>1.121</v>
      </c>
      <c r="TU19" s="334">
        <v>1.1597999999999999</v>
      </c>
      <c r="TV19" s="489">
        <v>171.5</v>
      </c>
      <c r="TW19" s="260">
        <v>135</v>
      </c>
      <c r="TY19" s="270">
        <v>140</v>
      </c>
      <c r="TZ19" s="474">
        <v>1.553E-2</v>
      </c>
      <c r="UA19" s="467">
        <v>517.79999999999995</v>
      </c>
      <c r="UB19" s="491">
        <v>1.9404999999999999</v>
      </c>
      <c r="UC19" s="473">
        <v>1.129</v>
      </c>
      <c r="UD19" s="610">
        <v>1.1597</v>
      </c>
      <c r="UE19" s="467">
        <v>172.4</v>
      </c>
      <c r="UF19" s="749"/>
      <c r="UG19" s="490">
        <v>1.4630000000000001E-2</v>
      </c>
      <c r="UH19" s="478">
        <v>516.9</v>
      </c>
      <c r="UI19" s="473">
        <v>1.9347000000000001</v>
      </c>
      <c r="UJ19" s="610">
        <v>1.1369</v>
      </c>
      <c r="UK19" s="473">
        <v>1.1652</v>
      </c>
      <c r="UL19" s="478">
        <v>171.3</v>
      </c>
      <c r="UM19" s="310">
        <v>140</v>
      </c>
      <c r="UO19" s="247">
        <v>145</v>
      </c>
      <c r="UP19" s="497">
        <v>1.3350000000000001E-2</v>
      </c>
      <c r="UQ19" s="467">
        <v>520.79999999999995</v>
      </c>
      <c r="UR19" s="471">
        <v>1.9374</v>
      </c>
      <c r="US19" s="471">
        <v>1.1518999999999999</v>
      </c>
      <c r="UT19" s="473">
        <v>1.1700999999999999</v>
      </c>
      <c r="UU19" s="478">
        <v>171.2</v>
      </c>
      <c r="UV19" s="749"/>
      <c r="UW19" s="464">
        <v>1.23E-2</v>
      </c>
      <c r="UX19" s="478">
        <v>524.9</v>
      </c>
      <c r="UY19" s="471">
        <v>1.9408000000000001</v>
      </c>
      <c r="UZ19" s="622">
        <v>1.1659999999999999</v>
      </c>
      <c r="VA19" s="471">
        <v>1.1744000000000001</v>
      </c>
      <c r="VB19" s="467">
        <v>171.3</v>
      </c>
      <c r="VC19" s="248">
        <v>150</v>
      </c>
      <c r="VE19" s="264">
        <v>150</v>
      </c>
      <c r="VF19" s="512">
        <v>1.1180000000000001E-2</v>
      </c>
      <c r="VG19" s="514">
        <v>523.1</v>
      </c>
      <c r="VH19" s="523">
        <v>1.9311</v>
      </c>
      <c r="VI19" s="523">
        <v>1.1820999999999999</v>
      </c>
      <c r="VJ19" s="391">
        <v>1.1858</v>
      </c>
      <c r="VK19" s="527">
        <v>169.4</v>
      </c>
      <c r="VL19" s="749"/>
      <c r="VM19" s="512">
        <v>1.0449999999999999E-2</v>
      </c>
      <c r="VN19" s="532">
        <v>527.29999999999995</v>
      </c>
      <c r="VO19" s="522">
        <v>1.9358</v>
      </c>
      <c r="VP19" s="391">
        <v>1.1949000000000001</v>
      </c>
      <c r="VQ19" s="522">
        <v>1.1893</v>
      </c>
      <c r="VR19" s="526">
        <v>169.7</v>
      </c>
      <c r="VS19" s="257">
        <v>155</v>
      </c>
      <c r="VU19" s="199">
        <v>160</v>
      </c>
      <c r="VV19" s="509">
        <v>9.8200000000000006E-3</v>
      </c>
      <c r="VW19" s="514">
        <v>531.6</v>
      </c>
      <c r="VX19" s="508">
        <v>1.9411</v>
      </c>
      <c r="VY19" s="508">
        <v>1.2068000000000001</v>
      </c>
      <c r="VZ19" s="391">
        <v>1.1920999999999999</v>
      </c>
      <c r="WA19" s="526">
        <v>170.2</v>
      </c>
      <c r="WB19" s="749"/>
      <c r="WC19" s="509">
        <v>9.0699999999999999E-3</v>
      </c>
      <c r="WD19" s="528">
        <v>529.79999999999995</v>
      </c>
      <c r="WE19" s="536">
        <v>1.9328000000000001</v>
      </c>
      <c r="WF19" s="391">
        <v>1.2228000000000001</v>
      </c>
      <c r="WG19" s="536">
        <v>1.2036</v>
      </c>
      <c r="WH19" s="526">
        <v>168.4</v>
      </c>
      <c r="WI19" s="194">
        <v>160</v>
      </c>
      <c r="WK19" s="199">
        <v>165</v>
      </c>
      <c r="WL19" s="509">
        <v>8.6099999999999996E-3</v>
      </c>
      <c r="WM19" s="514">
        <v>534.29999999999995</v>
      </c>
      <c r="WN19" s="508">
        <v>1.9389000000000001</v>
      </c>
      <c r="WO19" s="508">
        <v>1.2331000000000001</v>
      </c>
      <c r="WP19" s="492">
        <v>1.2054</v>
      </c>
      <c r="WQ19" s="526">
        <v>169.1</v>
      </c>
      <c r="WR19" s="749"/>
      <c r="WS19" s="537">
        <v>8.2100000000000003E-3</v>
      </c>
      <c r="WT19" s="528">
        <v>538.79999999999995</v>
      </c>
      <c r="WU19" s="508">
        <v>1.9454</v>
      </c>
      <c r="WV19" s="536">
        <v>1.2424999999999999</v>
      </c>
      <c r="WW19" s="508">
        <v>1.2065999999999999</v>
      </c>
      <c r="WX19" s="530">
        <v>169.9</v>
      </c>
      <c r="WY19" s="194">
        <v>170</v>
      </c>
      <c r="WZ19" s="469"/>
      <c r="XA19" s="254">
        <v>170</v>
      </c>
      <c r="XB19" s="512">
        <v>7.6699999999999997E-3</v>
      </c>
      <c r="XC19" s="514">
        <v>537.20000000000005</v>
      </c>
      <c r="XD19" s="522">
        <v>1.9381999999999999</v>
      </c>
      <c r="XE19" s="522">
        <v>1.258</v>
      </c>
      <c r="XF19" s="536">
        <v>1.2176</v>
      </c>
      <c r="XG19" s="526">
        <v>168.4</v>
      </c>
      <c r="XH19" s="749"/>
      <c r="XI19" s="512">
        <v>7.3699999999999998E-3</v>
      </c>
      <c r="XJ19" s="528">
        <v>541.9</v>
      </c>
      <c r="XK19" s="522">
        <v>1.9454</v>
      </c>
      <c r="XL19" s="523">
        <v>1.2658</v>
      </c>
      <c r="XM19" s="522">
        <v>1.2177</v>
      </c>
      <c r="XN19" s="526">
        <v>169.4</v>
      </c>
      <c r="XO19" s="257">
        <v>175</v>
      </c>
      <c r="XP19" s="189"/>
    </row>
    <row r="20" spans="1:640" ht="15.75" thickBot="1" x14ac:dyDescent="0.3">
      <c r="A20" s="282">
        <v>10</v>
      </c>
      <c r="B20" s="365">
        <v>2.3041499999999999</v>
      </c>
      <c r="C20" s="368">
        <v>414.1</v>
      </c>
      <c r="D20" s="360">
        <v>2.052</v>
      </c>
      <c r="E20" s="360">
        <v>0.80810000000000004</v>
      </c>
      <c r="F20" s="360">
        <v>1.1138999999999999</v>
      </c>
      <c r="G20" s="172">
        <v>159.9</v>
      </c>
      <c r="H20" s="266"/>
      <c r="I20" s="365">
        <v>1.18906</v>
      </c>
      <c r="J20" s="374">
        <v>422.1</v>
      </c>
      <c r="K20" s="360">
        <v>2.0234000000000001</v>
      </c>
      <c r="L20" s="358">
        <v>0.82769999999999999</v>
      </c>
      <c r="M20" s="360">
        <v>1.1121000000000001</v>
      </c>
      <c r="N20" s="368">
        <v>162.30000000000001</v>
      </c>
      <c r="O20" s="382">
        <v>20</v>
      </c>
      <c r="P20" s="238"/>
      <c r="Q20" s="282">
        <v>30</v>
      </c>
      <c r="R20" s="363">
        <v>0.81899999999999995</v>
      </c>
      <c r="S20" s="564">
        <v>430.3</v>
      </c>
      <c r="T20" s="358">
        <v>2.0179999999999998</v>
      </c>
      <c r="U20" s="358">
        <v>0.84660000000000002</v>
      </c>
      <c r="V20" s="358">
        <v>1.1102000000000001</v>
      </c>
      <c r="W20" s="368">
        <v>164.7</v>
      </c>
      <c r="X20" s="266"/>
      <c r="Y20" s="363">
        <v>0.62343999999999999</v>
      </c>
      <c r="Z20" s="374">
        <v>434.4</v>
      </c>
      <c r="AA20" s="358">
        <v>2.0081000000000002</v>
      </c>
      <c r="AB20" s="358">
        <v>0.85660000000000003</v>
      </c>
      <c r="AC20" s="358">
        <v>1.1096999999999999</v>
      </c>
      <c r="AD20" s="368">
        <v>165.7</v>
      </c>
      <c r="AE20" s="283">
        <v>35</v>
      </c>
      <c r="AF20" s="37"/>
      <c r="AG20" s="243">
        <v>35</v>
      </c>
      <c r="AH20" s="340">
        <v>0.49775999999999998</v>
      </c>
      <c r="AI20" s="396">
        <v>434.2</v>
      </c>
      <c r="AJ20" s="401">
        <v>1.9895</v>
      </c>
      <c r="AK20" s="334">
        <v>0.85819999999999996</v>
      </c>
      <c r="AL20" s="401">
        <v>1.1106</v>
      </c>
      <c r="AM20" s="406">
        <v>165.5</v>
      </c>
      <c r="AN20" s="731"/>
      <c r="AO20" s="340">
        <v>0.42104999999999998</v>
      </c>
      <c r="AP20" s="397">
        <v>438.4</v>
      </c>
      <c r="AQ20" s="334">
        <v>1.9881</v>
      </c>
      <c r="AR20" s="334">
        <v>0.8679</v>
      </c>
      <c r="AS20" s="401">
        <v>1.1100000000000001</v>
      </c>
      <c r="AT20" s="397">
        <v>166.6</v>
      </c>
      <c r="AU20" s="240">
        <v>40</v>
      </c>
      <c r="AV20" s="37"/>
      <c r="AW20" s="281">
        <v>45</v>
      </c>
      <c r="AX20" s="409">
        <v>0.36630000000000001</v>
      </c>
      <c r="AY20" s="396">
        <v>442.6</v>
      </c>
      <c r="AZ20" s="417">
        <v>1.9890000000000001</v>
      </c>
      <c r="BA20" s="415">
        <v>0.87729999999999997</v>
      </c>
      <c r="BB20" s="415">
        <v>1.1093</v>
      </c>
      <c r="BC20" s="394">
        <v>167.7</v>
      </c>
      <c r="BD20" s="731"/>
      <c r="BE20" s="409">
        <v>0.32</v>
      </c>
      <c r="BF20" s="397">
        <v>442.4</v>
      </c>
      <c r="BG20" s="419">
        <v>1.9778</v>
      </c>
      <c r="BH20" s="334">
        <v>0.87870000000000004</v>
      </c>
      <c r="BI20" s="415">
        <v>1.1101000000000001</v>
      </c>
      <c r="BJ20" s="394">
        <v>167.5</v>
      </c>
      <c r="BK20" s="240">
        <v>45</v>
      </c>
      <c r="BL20" s="37"/>
      <c r="BM20" s="243">
        <v>50</v>
      </c>
      <c r="BN20" s="409">
        <v>0.28860000000000002</v>
      </c>
      <c r="BO20" s="396">
        <v>446.7</v>
      </c>
      <c r="BP20" s="415">
        <v>1.9816</v>
      </c>
      <c r="BQ20" s="415">
        <v>0.88790000000000002</v>
      </c>
      <c r="BR20" s="334">
        <v>1.1093</v>
      </c>
      <c r="BS20" s="396">
        <v>168.6</v>
      </c>
      <c r="BT20" s="731"/>
      <c r="BU20" s="409">
        <v>0.25940000000000002</v>
      </c>
      <c r="BV20" s="397">
        <v>446.6</v>
      </c>
      <c r="BW20" s="415">
        <v>1.9726999999999999</v>
      </c>
      <c r="BX20" s="334">
        <v>0.88919999999999999</v>
      </c>
      <c r="BY20" s="415">
        <v>1.1101000000000001</v>
      </c>
      <c r="BZ20" s="397">
        <v>168.4</v>
      </c>
      <c r="CA20" s="240">
        <v>50</v>
      </c>
      <c r="CB20" s="37"/>
      <c r="CC20" s="243">
        <v>50</v>
      </c>
      <c r="CD20" s="340">
        <v>0.25595000000000001</v>
      </c>
      <c r="CE20" s="396">
        <v>446.5</v>
      </c>
      <c r="CF20" s="334">
        <v>1.9716</v>
      </c>
      <c r="CG20" s="334">
        <v>0.88939999999999997</v>
      </c>
      <c r="CH20" s="334">
        <v>1.1102000000000001</v>
      </c>
      <c r="CI20" s="396">
        <v>168.4</v>
      </c>
      <c r="CJ20" s="731"/>
      <c r="CK20" s="340">
        <v>0.23929</v>
      </c>
      <c r="CL20" s="397">
        <v>450.9</v>
      </c>
      <c r="CM20" s="334">
        <v>1.9783999999999999</v>
      </c>
      <c r="CN20" s="334">
        <v>0.89810000000000001</v>
      </c>
      <c r="CO20" s="334">
        <v>1.1093</v>
      </c>
      <c r="CP20" s="396">
        <v>169.5</v>
      </c>
      <c r="CQ20" s="240">
        <v>55</v>
      </c>
      <c r="CR20" s="37"/>
      <c r="CS20" s="243">
        <v>55</v>
      </c>
      <c r="CT20" s="340">
        <v>0.21906</v>
      </c>
      <c r="CU20" s="396">
        <v>450.7</v>
      </c>
      <c r="CV20" s="444">
        <v>1.9710000000000001</v>
      </c>
      <c r="CW20" s="334">
        <v>0.89929999999999999</v>
      </c>
      <c r="CX20" s="444">
        <v>1.1100000000000001</v>
      </c>
      <c r="CY20" s="442">
        <v>169.3</v>
      </c>
      <c r="CZ20" s="731"/>
      <c r="DA20" s="440">
        <v>0.2019</v>
      </c>
      <c r="DB20" s="449">
        <v>450.6</v>
      </c>
      <c r="DC20" s="334">
        <v>1.9641</v>
      </c>
      <c r="DD20" s="334">
        <v>0.90059999999999996</v>
      </c>
      <c r="DE20" s="444">
        <v>1.1108</v>
      </c>
      <c r="DF20" s="397">
        <v>169.1</v>
      </c>
      <c r="DG20" s="240">
        <v>55</v>
      </c>
      <c r="DH20" s="37"/>
      <c r="DI20" s="243">
        <v>60</v>
      </c>
      <c r="DJ20" s="409">
        <v>0.19026000000000001</v>
      </c>
      <c r="DK20" s="396">
        <v>455</v>
      </c>
      <c r="DL20" s="455">
        <v>1.9715</v>
      </c>
      <c r="DM20" s="415">
        <v>0.90910000000000002</v>
      </c>
      <c r="DN20" s="444">
        <v>1.1097999999999999</v>
      </c>
      <c r="DO20" s="396">
        <v>170.3</v>
      </c>
      <c r="DP20" s="731"/>
      <c r="DQ20" s="409">
        <v>0.17734</v>
      </c>
      <c r="DR20" s="397">
        <v>454.9</v>
      </c>
      <c r="DS20" s="415">
        <v>1.9656</v>
      </c>
      <c r="DT20" s="415">
        <v>0.9103</v>
      </c>
      <c r="DU20" s="415">
        <v>1.1105</v>
      </c>
      <c r="DV20" s="396">
        <v>170.1</v>
      </c>
      <c r="DW20" s="240">
        <v>60</v>
      </c>
      <c r="DX20" s="37"/>
      <c r="DY20" s="247">
        <v>60</v>
      </c>
      <c r="DZ20" s="463">
        <v>0.16600000000000001</v>
      </c>
      <c r="EA20" s="467">
        <v>454.7</v>
      </c>
      <c r="EB20" s="470">
        <v>1.96</v>
      </c>
      <c r="EC20" s="470">
        <v>0.91149999999999998</v>
      </c>
      <c r="ED20" s="470">
        <v>1.1112</v>
      </c>
      <c r="EE20" s="465">
        <v>169.9</v>
      </c>
      <c r="EF20" s="731"/>
      <c r="EG20" s="464">
        <v>0.15858</v>
      </c>
      <c r="EH20" s="478">
        <v>459.2</v>
      </c>
      <c r="EI20" s="471">
        <v>1.9683999999999999</v>
      </c>
      <c r="EJ20" s="459">
        <v>0.91979999999999995</v>
      </c>
      <c r="EK20" s="459">
        <v>1.1102000000000001</v>
      </c>
      <c r="EL20" s="478">
        <v>171.1</v>
      </c>
      <c r="EM20" s="248">
        <v>65</v>
      </c>
      <c r="EO20" s="247">
        <v>65</v>
      </c>
      <c r="EP20" s="474">
        <v>0.14957000000000001</v>
      </c>
      <c r="EQ20" s="467">
        <v>459</v>
      </c>
      <c r="ER20" s="459">
        <v>1.9635</v>
      </c>
      <c r="ES20" s="473">
        <v>0.92090000000000005</v>
      </c>
      <c r="ET20" s="459">
        <v>1.1109</v>
      </c>
      <c r="EU20" s="467">
        <v>170.9</v>
      </c>
      <c r="EV20" s="731"/>
      <c r="EW20" s="474">
        <v>0.14152000000000001</v>
      </c>
      <c r="EX20" s="478">
        <v>458.9</v>
      </c>
      <c r="EY20" s="473">
        <v>1.9588000000000001</v>
      </c>
      <c r="EZ20" s="473">
        <v>0.92210000000000003</v>
      </c>
      <c r="FA20" s="459">
        <v>1.1114999999999999</v>
      </c>
      <c r="FB20" s="467">
        <v>170.7</v>
      </c>
      <c r="FC20" s="248">
        <v>65</v>
      </c>
      <c r="FE20" s="243">
        <v>65</v>
      </c>
      <c r="FF20" s="340">
        <v>0.13425000000000001</v>
      </c>
      <c r="FG20" s="396">
        <v>458.8</v>
      </c>
      <c r="FH20" s="491">
        <v>1.9542999999999999</v>
      </c>
      <c r="FI20" s="334">
        <v>0.92320000000000002</v>
      </c>
      <c r="FJ20" s="492">
        <v>1.1122000000000001</v>
      </c>
      <c r="FK20" s="396">
        <v>170.5</v>
      </c>
      <c r="FL20" s="731"/>
      <c r="FM20" s="340">
        <v>0.12975</v>
      </c>
      <c r="FN20" s="397">
        <v>463.3</v>
      </c>
      <c r="FO20" s="492">
        <v>1.9637</v>
      </c>
      <c r="FP20" s="334">
        <v>0.93120000000000003</v>
      </c>
      <c r="FQ20" s="334">
        <v>1.1111</v>
      </c>
      <c r="FR20" s="397">
        <v>171.7</v>
      </c>
      <c r="FS20" s="240">
        <v>65</v>
      </c>
      <c r="FU20" s="243">
        <v>70</v>
      </c>
      <c r="FV20" s="409">
        <v>0.1237</v>
      </c>
      <c r="FW20" s="396">
        <v>463.2</v>
      </c>
      <c r="FX20" s="372">
        <v>1.9596</v>
      </c>
      <c r="FY20" s="415">
        <v>0.93220000000000003</v>
      </c>
      <c r="FZ20" s="456">
        <v>1.1116999999999999</v>
      </c>
      <c r="GA20" s="489">
        <v>171.6</v>
      </c>
      <c r="GB20" s="731"/>
      <c r="GC20" s="409">
        <v>0.11817999999999999</v>
      </c>
      <c r="GD20" s="397">
        <v>463</v>
      </c>
      <c r="GE20" s="500">
        <v>1.9557</v>
      </c>
      <c r="GF20" s="415">
        <v>0.93330000000000002</v>
      </c>
      <c r="GG20" s="415">
        <v>1.1124000000000001</v>
      </c>
      <c r="GH20" s="396">
        <v>171.4</v>
      </c>
      <c r="GI20" s="240">
        <v>70</v>
      </c>
      <c r="GK20" s="243">
        <v>70</v>
      </c>
      <c r="GL20" s="409">
        <v>0.11311</v>
      </c>
      <c r="GM20" s="404">
        <v>462.9</v>
      </c>
      <c r="GN20" s="415">
        <v>1.952</v>
      </c>
      <c r="GO20" s="415">
        <v>0.93440000000000001</v>
      </c>
      <c r="GP20" s="334">
        <v>1.113</v>
      </c>
      <c r="GQ20" s="396">
        <v>171.2</v>
      </c>
      <c r="GR20" s="731"/>
      <c r="GS20" s="409">
        <v>0.11019</v>
      </c>
      <c r="GT20" s="397">
        <v>467.5</v>
      </c>
      <c r="GU20" s="241">
        <v>1.962</v>
      </c>
      <c r="GV20" s="170">
        <v>0.94210000000000005</v>
      </c>
      <c r="GW20" s="241">
        <v>1.1117999999999999</v>
      </c>
      <c r="GX20" s="397">
        <v>172.4</v>
      </c>
      <c r="GY20" s="240">
        <v>75</v>
      </c>
      <c r="HA20" s="243">
        <v>75</v>
      </c>
      <c r="HB20" s="340">
        <v>0.10582999999999999</v>
      </c>
      <c r="HC20" s="396">
        <v>467.4</v>
      </c>
      <c r="HD20" s="334">
        <v>1.9584999999999999</v>
      </c>
      <c r="HE20" s="334">
        <v>0.94310000000000005</v>
      </c>
      <c r="HF20" s="334">
        <v>1.1124000000000001</v>
      </c>
      <c r="HG20" s="396">
        <v>172.3</v>
      </c>
      <c r="HH20" s="731"/>
      <c r="HI20" s="340">
        <v>0.1018</v>
      </c>
      <c r="HJ20" s="397">
        <v>467.2</v>
      </c>
      <c r="HK20" s="334">
        <v>1.9552</v>
      </c>
      <c r="HL20" s="334">
        <v>0.94410000000000005</v>
      </c>
      <c r="HM20" s="334">
        <v>1.113</v>
      </c>
      <c r="HN20" s="396">
        <v>172.1</v>
      </c>
      <c r="HO20" s="240">
        <v>75</v>
      </c>
      <c r="HQ20" s="243">
        <v>75</v>
      </c>
      <c r="HR20" s="340">
        <v>9.8040000000000002E-2</v>
      </c>
      <c r="HS20" s="396">
        <v>467.1</v>
      </c>
      <c r="HT20" s="491">
        <v>1.952</v>
      </c>
      <c r="HU20" s="334">
        <v>0.94510000000000005</v>
      </c>
      <c r="HV20" s="491">
        <v>1.1136999999999999</v>
      </c>
      <c r="HW20" s="396">
        <v>171.9</v>
      </c>
      <c r="HX20" s="731"/>
      <c r="HY20" s="340">
        <v>9.4549999999999995E-2</v>
      </c>
      <c r="HZ20" s="397">
        <v>467</v>
      </c>
      <c r="IA20" s="334">
        <v>1.9489000000000001</v>
      </c>
      <c r="IB20" s="334">
        <v>0.94620000000000004</v>
      </c>
      <c r="IC20" s="491">
        <v>1.1143000000000001</v>
      </c>
      <c r="ID20" s="397">
        <v>171.8</v>
      </c>
      <c r="IE20" s="240">
        <v>75</v>
      </c>
      <c r="IG20" s="243">
        <v>80</v>
      </c>
      <c r="IH20" s="409">
        <v>9.2759999999999995E-2</v>
      </c>
      <c r="II20" s="396">
        <v>471.6</v>
      </c>
      <c r="IJ20" s="499">
        <v>1.9594</v>
      </c>
      <c r="IK20" s="415">
        <v>0.95350000000000001</v>
      </c>
      <c r="IL20" s="491">
        <v>1.1129</v>
      </c>
      <c r="IM20" s="396">
        <v>173</v>
      </c>
      <c r="IN20" s="731"/>
      <c r="IO20" s="409">
        <v>8.967E-2</v>
      </c>
      <c r="IP20" s="397">
        <v>471.5</v>
      </c>
      <c r="IQ20" s="415">
        <v>1.9564999999999999</v>
      </c>
      <c r="IR20" s="415">
        <v>0.95450000000000002</v>
      </c>
      <c r="IS20" s="415">
        <v>1.1134999999999999</v>
      </c>
      <c r="IT20" s="396">
        <v>172.8</v>
      </c>
      <c r="IU20" s="240">
        <v>80</v>
      </c>
      <c r="IW20" s="254">
        <v>80</v>
      </c>
      <c r="IX20" s="512">
        <v>8.6760000000000004E-2</v>
      </c>
      <c r="IY20" s="514">
        <v>471.4</v>
      </c>
      <c r="IZ20" s="523">
        <v>1.9536</v>
      </c>
      <c r="JA20" s="523">
        <v>0.95550000000000002</v>
      </c>
      <c r="JB20" s="523">
        <v>1.1141000000000001</v>
      </c>
      <c r="JC20" s="526">
        <v>172.7</v>
      </c>
      <c r="JD20" s="731"/>
      <c r="JE20" s="511">
        <v>8.4029999999999994E-2</v>
      </c>
      <c r="JF20" s="528">
        <v>471.3</v>
      </c>
      <c r="JG20" s="522">
        <v>1.9509000000000001</v>
      </c>
      <c r="JH20" s="508">
        <v>0.95650000000000002</v>
      </c>
      <c r="JI20" s="523">
        <v>1.1147</v>
      </c>
      <c r="JJ20" s="528">
        <v>172.5</v>
      </c>
      <c r="JK20" s="257">
        <v>80</v>
      </c>
      <c r="JM20" s="254">
        <v>80</v>
      </c>
      <c r="JN20" s="509">
        <v>8.1460000000000005E-2</v>
      </c>
      <c r="JO20" s="538">
        <v>471.1</v>
      </c>
      <c r="JP20" s="508">
        <v>1.9481999999999999</v>
      </c>
      <c r="JQ20" s="508">
        <v>0.95750000000000002</v>
      </c>
      <c r="JR20" s="508">
        <v>1.1153</v>
      </c>
      <c r="JS20" s="514">
        <v>172.3</v>
      </c>
      <c r="JT20" s="731"/>
      <c r="JU20" s="537">
        <v>8.0329999999999999E-2</v>
      </c>
      <c r="JV20" s="528">
        <v>475.8</v>
      </c>
      <c r="JW20" s="536">
        <v>1.9591000000000001</v>
      </c>
      <c r="JX20" s="508">
        <v>0.96450000000000002</v>
      </c>
      <c r="JY20" s="508">
        <v>1.1137999999999999</v>
      </c>
      <c r="JZ20" s="514">
        <v>173.6</v>
      </c>
      <c r="KA20" s="194">
        <v>85</v>
      </c>
      <c r="KC20" s="176">
        <v>85</v>
      </c>
      <c r="KD20" s="340">
        <v>7.8E-2</v>
      </c>
      <c r="KE20" s="540">
        <v>475.7</v>
      </c>
      <c r="KF20" s="196">
        <v>1.9565999999999999</v>
      </c>
      <c r="KG20" s="170">
        <v>0.96540000000000004</v>
      </c>
      <c r="KH20" s="196">
        <v>1.1144000000000001</v>
      </c>
      <c r="KI20" s="540">
        <v>173.4</v>
      </c>
      <c r="KJ20" s="731"/>
      <c r="KK20" s="340">
        <v>7.5819999999999999E-2</v>
      </c>
      <c r="KL20" s="397">
        <v>475.6</v>
      </c>
      <c r="KM20" s="334">
        <v>1.9540999999999999</v>
      </c>
      <c r="KN20" s="334">
        <v>0.96640000000000004</v>
      </c>
      <c r="KO20" s="334">
        <v>1.115</v>
      </c>
      <c r="KP20" s="540">
        <v>173.3</v>
      </c>
      <c r="KQ20" s="260">
        <v>85</v>
      </c>
      <c r="KS20" s="243">
        <v>85</v>
      </c>
      <c r="KT20" s="409">
        <v>7.374E-2</v>
      </c>
      <c r="KU20" s="543">
        <v>475.5</v>
      </c>
      <c r="KV20" s="415">
        <v>1.9517</v>
      </c>
      <c r="KW20" s="415">
        <v>0.96730000000000005</v>
      </c>
      <c r="KX20" s="541">
        <v>1.1155999999999999</v>
      </c>
      <c r="KY20" s="404">
        <v>173.1</v>
      </c>
      <c r="KZ20" s="731"/>
      <c r="LA20" s="421">
        <v>7.177E-2</v>
      </c>
      <c r="LB20" s="397">
        <v>475.4</v>
      </c>
      <c r="LC20" s="415">
        <v>1.9494</v>
      </c>
      <c r="LD20" s="415">
        <v>0.96830000000000005</v>
      </c>
      <c r="LE20" s="415">
        <v>1.1162000000000001</v>
      </c>
      <c r="LF20" s="396">
        <v>173</v>
      </c>
      <c r="LG20" s="240">
        <v>85</v>
      </c>
      <c r="LI20" s="254">
        <v>85</v>
      </c>
      <c r="LJ20" s="512">
        <v>6.9889999999999994E-2</v>
      </c>
      <c r="LK20" s="514">
        <v>475.3</v>
      </c>
      <c r="LL20" s="523">
        <v>1.9471000000000001</v>
      </c>
      <c r="LM20" s="523">
        <v>0.96919999999999995</v>
      </c>
      <c r="LN20" s="523">
        <v>1.1168</v>
      </c>
      <c r="LO20" s="526">
        <v>172.8</v>
      </c>
      <c r="LP20" s="731"/>
      <c r="LQ20" s="511">
        <v>6.6680000000000003E-2</v>
      </c>
      <c r="LR20" s="530">
        <v>479.8</v>
      </c>
      <c r="LS20" s="522">
        <v>1.9550000000000001</v>
      </c>
      <c r="LT20" s="508">
        <v>0.97729999999999995</v>
      </c>
      <c r="LU20" s="508">
        <v>1.1160000000000001</v>
      </c>
      <c r="LV20" s="514">
        <v>173.9</v>
      </c>
      <c r="LW20" s="257">
        <v>90</v>
      </c>
      <c r="LY20" s="193">
        <v>90</v>
      </c>
      <c r="LZ20" s="509">
        <v>6.2789999999999999E-2</v>
      </c>
      <c r="MA20" s="514">
        <v>479.6</v>
      </c>
      <c r="MB20" s="508">
        <v>1.9498</v>
      </c>
      <c r="MC20" s="508">
        <v>0.97960000000000003</v>
      </c>
      <c r="MD20" s="508">
        <v>1.1173999999999999</v>
      </c>
      <c r="ME20" s="526">
        <v>173.5</v>
      </c>
      <c r="MF20" s="731"/>
      <c r="MG20" s="537">
        <v>5.9339999999999997E-2</v>
      </c>
      <c r="MH20" s="528">
        <v>479.3</v>
      </c>
      <c r="MI20" s="191">
        <v>1.9448000000000001</v>
      </c>
      <c r="MJ20" s="191">
        <v>0.9819</v>
      </c>
      <c r="MK20" s="191">
        <v>1.1189</v>
      </c>
      <c r="ML20" s="514">
        <v>173.1</v>
      </c>
      <c r="MM20" s="194">
        <v>90</v>
      </c>
      <c r="MO20" s="176">
        <v>95</v>
      </c>
      <c r="MP20" s="340">
        <v>5.713E-2</v>
      </c>
      <c r="MQ20" s="564">
        <v>483.9</v>
      </c>
      <c r="MR20" s="334">
        <v>1.9536</v>
      </c>
      <c r="MS20" s="334">
        <v>0.98950000000000005</v>
      </c>
      <c r="MT20" s="334">
        <v>1.1178999999999999</v>
      </c>
      <c r="MU20" s="397">
        <v>174.2</v>
      </c>
      <c r="MV20" s="731"/>
      <c r="MW20" s="340">
        <v>5.4280000000000002E-2</v>
      </c>
      <c r="MX20" s="397">
        <v>483.7</v>
      </c>
      <c r="MY20" s="335">
        <v>1.9491000000000001</v>
      </c>
      <c r="MZ20" s="334">
        <v>0.99170000000000003</v>
      </c>
      <c r="NA20" s="334">
        <v>1.1193</v>
      </c>
      <c r="NB20" s="397">
        <v>173.9</v>
      </c>
      <c r="NC20" s="260">
        <v>95</v>
      </c>
      <c r="NE20" s="243">
        <v>95</v>
      </c>
      <c r="NF20" s="409">
        <v>5.1670000000000001E-2</v>
      </c>
      <c r="NG20" s="396">
        <v>483.4</v>
      </c>
      <c r="NH20" s="415">
        <v>1.9447000000000001</v>
      </c>
      <c r="NI20" s="415">
        <v>0.99390000000000001</v>
      </c>
      <c r="NJ20" s="334">
        <v>1.1207</v>
      </c>
      <c r="NK20" s="396">
        <v>173.5</v>
      </c>
      <c r="NL20" s="731"/>
      <c r="NM20" s="409">
        <v>5.0110000000000002E-2</v>
      </c>
      <c r="NN20" s="397">
        <v>488.1</v>
      </c>
      <c r="NO20" s="415">
        <v>1.954</v>
      </c>
      <c r="NP20" s="335">
        <v>1.0012000000000001</v>
      </c>
      <c r="NQ20" s="415">
        <v>1.1195999999999999</v>
      </c>
      <c r="NR20" s="396">
        <v>174.7</v>
      </c>
      <c r="NS20" s="240">
        <v>100</v>
      </c>
      <c r="NU20" s="288">
        <v>100</v>
      </c>
      <c r="NV20" s="511">
        <v>4.7899999999999998E-2</v>
      </c>
      <c r="NW20" s="528">
        <v>487.8</v>
      </c>
      <c r="NX20" s="470">
        <v>1.95</v>
      </c>
      <c r="NY20" s="470">
        <v>1.0033000000000001</v>
      </c>
      <c r="NZ20" s="339">
        <v>1.1209</v>
      </c>
      <c r="OA20" s="528">
        <v>174.3</v>
      </c>
      <c r="OB20" s="731"/>
      <c r="OC20" s="463">
        <v>4.5870000000000001E-2</v>
      </c>
      <c r="OD20" s="528">
        <v>487.6</v>
      </c>
      <c r="OE20" s="575">
        <v>1.9461999999999999</v>
      </c>
      <c r="OF20" s="536">
        <v>1.0055000000000001</v>
      </c>
      <c r="OG20" s="575">
        <v>1.1223000000000001</v>
      </c>
      <c r="OH20" s="476">
        <v>174</v>
      </c>
      <c r="OI20" s="263">
        <v>100</v>
      </c>
      <c r="OK20" s="267">
        <v>100</v>
      </c>
      <c r="OL20" s="537">
        <v>4.3990000000000001E-2</v>
      </c>
      <c r="OM20" s="468">
        <v>487.3</v>
      </c>
      <c r="ON20" s="459">
        <v>1.9424999999999999</v>
      </c>
      <c r="OO20" s="459">
        <v>1.0076000000000001</v>
      </c>
      <c r="OP20" s="459">
        <v>1.1236999999999999</v>
      </c>
      <c r="OQ20" s="476">
        <v>173.6</v>
      </c>
      <c r="OR20" s="731"/>
      <c r="OS20" s="537">
        <v>4.2959999999999998E-2</v>
      </c>
      <c r="OT20" s="528">
        <v>492.1</v>
      </c>
      <c r="OU20" s="459">
        <v>1.9522999999999999</v>
      </c>
      <c r="OV20" s="536">
        <v>1.0144</v>
      </c>
      <c r="OW20" s="536">
        <v>1.1223000000000001</v>
      </c>
      <c r="OX20" s="476">
        <v>174.8</v>
      </c>
      <c r="OY20" s="289">
        <v>105</v>
      </c>
      <c r="PA20" s="259">
        <v>105</v>
      </c>
      <c r="PB20" s="340">
        <v>4.1329999999999999E-2</v>
      </c>
      <c r="PC20" s="396">
        <v>491.9</v>
      </c>
      <c r="PD20" s="541">
        <v>1.9489000000000001</v>
      </c>
      <c r="PE20" s="334">
        <v>1.0165</v>
      </c>
      <c r="PF20" s="492">
        <v>1.1235999999999999</v>
      </c>
      <c r="PG20" s="540">
        <v>174.5</v>
      </c>
      <c r="PH20" s="731"/>
      <c r="PI20" s="340">
        <v>3.9809999999999998E-2</v>
      </c>
      <c r="PJ20" s="397">
        <v>491.6</v>
      </c>
      <c r="PK20" s="334">
        <v>1.9455</v>
      </c>
      <c r="PL20" s="541">
        <v>1.0185999999999999</v>
      </c>
      <c r="PM20" s="334">
        <v>1.125</v>
      </c>
      <c r="PN20" s="397">
        <v>174.1</v>
      </c>
      <c r="PO20" s="276">
        <v>105</v>
      </c>
      <c r="PQ20" s="261">
        <v>105</v>
      </c>
      <c r="PR20" s="409">
        <v>3.8390000000000001E-2</v>
      </c>
      <c r="PS20" s="505">
        <v>491.3</v>
      </c>
      <c r="PT20" s="546">
        <v>1.9421999999999999</v>
      </c>
      <c r="PU20" s="415">
        <v>1.0206999999999999</v>
      </c>
      <c r="PV20" s="541">
        <v>1.1264000000000001</v>
      </c>
      <c r="PW20" s="396">
        <v>173.8</v>
      </c>
      <c r="PX20" s="731"/>
      <c r="PY20" s="409">
        <v>3.6420000000000001E-2</v>
      </c>
      <c r="PZ20" s="397">
        <v>495.9</v>
      </c>
      <c r="QA20" s="415">
        <v>1.9494</v>
      </c>
      <c r="QB20" s="500">
        <v>1.0290999999999999</v>
      </c>
      <c r="QC20" s="415">
        <v>1.1261000000000001</v>
      </c>
      <c r="QD20" s="540">
        <v>174.7</v>
      </c>
      <c r="QE20" s="240">
        <v>110</v>
      </c>
      <c r="QG20" s="264">
        <v>110</v>
      </c>
      <c r="QH20" s="511">
        <v>3.4119999999999998E-2</v>
      </c>
      <c r="QI20" s="514">
        <v>495.4</v>
      </c>
      <c r="QJ20" s="523">
        <v>1.9435</v>
      </c>
      <c r="QK20" s="523">
        <v>1.0330999999999999</v>
      </c>
      <c r="QL20" s="591">
        <v>1.1288</v>
      </c>
      <c r="QM20" s="514">
        <v>174.1</v>
      </c>
      <c r="QN20" s="731"/>
      <c r="QO20" s="512">
        <v>3.2620000000000003E-2</v>
      </c>
      <c r="QP20" s="532">
        <v>500.1</v>
      </c>
      <c r="QQ20" s="255">
        <v>1.9514</v>
      </c>
      <c r="QR20" s="198">
        <v>1.0409999999999999</v>
      </c>
      <c r="QS20" s="255">
        <v>1.1282000000000001</v>
      </c>
      <c r="QT20" s="527">
        <v>175</v>
      </c>
      <c r="QU20" s="257">
        <v>115</v>
      </c>
      <c r="QW20" s="199">
        <v>115</v>
      </c>
      <c r="QX20" s="509">
        <v>3.0759999999999999E-2</v>
      </c>
      <c r="QY20" s="517">
        <v>499.6</v>
      </c>
      <c r="QZ20" s="508">
        <v>1.946</v>
      </c>
      <c r="RA20" s="508">
        <v>1.0449999999999999</v>
      </c>
      <c r="RB20" s="594">
        <v>1.1309</v>
      </c>
      <c r="RC20" s="526">
        <v>174.4</v>
      </c>
      <c r="RD20" s="731"/>
      <c r="RE20" s="509">
        <v>2.9090000000000001E-2</v>
      </c>
      <c r="RF20" s="530">
        <v>499.1</v>
      </c>
      <c r="RG20" s="536">
        <v>1.9409000000000001</v>
      </c>
      <c r="RH20" s="590">
        <v>1.0489999999999999</v>
      </c>
      <c r="RI20" s="536">
        <v>1.1335</v>
      </c>
      <c r="RJ20" s="514">
        <v>173.8</v>
      </c>
      <c r="RK20" s="194">
        <v>115</v>
      </c>
      <c r="RM20" s="176">
        <v>120</v>
      </c>
      <c r="RN20" s="490">
        <v>2.666E-2</v>
      </c>
      <c r="RO20" s="396">
        <v>503.4</v>
      </c>
      <c r="RP20" s="334">
        <v>1.9447000000000001</v>
      </c>
      <c r="RQ20" s="334">
        <v>1.0602</v>
      </c>
      <c r="RR20" s="334">
        <v>1.1353</v>
      </c>
      <c r="RS20" s="397">
        <v>174.2</v>
      </c>
      <c r="RT20" s="731"/>
      <c r="RU20" s="340">
        <v>2.4660000000000001E-2</v>
      </c>
      <c r="RV20" s="397">
        <v>507.8</v>
      </c>
      <c r="RW20" s="334">
        <v>1.9493</v>
      </c>
      <c r="RX20" s="492">
        <v>1.0708</v>
      </c>
      <c r="RY20" s="334">
        <v>1.1368</v>
      </c>
      <c r="RZ20" s="488">
        <v>174.7</v>
      </c>
      <c r="SA20" s="260">
        <v>125</v>
      </c>
      <c r="SC20" s="268">
        <v>125</v>
      </c>
      <c r="SD20" s="409">
        <v>2.257E-2</v>
      </c>
      <c r="SE20" s="396">
        <v>506.9</v>
      </c>
      <c r="SF20" s="499">
        <v>1.9410000000000001</v>
      </c>
      <c r="SG20" s="499">
        <v>1.0786</v>
      </c>
      <c r="SH20" s="500">
        <v>1.1419999999999999</v>
      </c>
      <c r="SI20" s="396">
        <v>173.5</v>
      </c>
      <c r="SJ20" s="731"/>
      <c r="SK20" s="497">
        <v>2.1149999999999999E-2</v>
      </c>
      <c r="SL20" s="176">
        <v>511.3</v>
      </c>
      <c r="SM20" s="415">
        <v>1.9467000000000001</v>
      </c>
      <c r="SN20" s="500">
        <v>1.0885</v>
      </c>
      <c r="SO20" s="415">
        <v>1.143</v>
      </c>
      <c r="SP20" s="190">
        <v>174.1</v>
      </c>
      <c r="SQ20" s="240">
        <v>130</v>
      </c>
      <c r="SS20" s="268">
        <v>135</v>
      </c>
      <c r="ST20" s="409">
        <v>1.993E-2</v>
      </c>
      <c r="SU20" s="170">
        <v>515.9</v>
      </c>
      <c r="SV20" s="499">
        <v>1.9529000000000001</v>
      </c>
      <c r="SW20" s="415">
        <v>1.0979000000000001</v>
      </c>
      <c r="SX20" s="499">
        <v>1.1437999999999999</v>
      </c>
      <c r="SY20" s="190">
        <v>174.8</v>
      </c>
      <c r="SZ20" s="731"/>
      <c r="TA20" s="409">
        <v>1.8540000000000001E-2</v>
      </c>
      <c r="TB20" s="397">
        <v>515</v>
      </c>
      <c r="TC20" s="415">
        <v>1.946</v>
      </c>
      <c r="TD20" s="491">
        <v>1.1052999999999999</v>
      </c>
      <c r="TE20" s="334">
        <v>1.1489</v>
      </c>
      <c r="TF20" s="488">
        <v>173.7</v>
      </c>
      <c r="TG20" s="240">
        <v>135</v>
      </c>
      <c r="TI20" s="270">
        <v>140</v>
      </c>
      <c r="TJ20" s="340">
        <v>1.763E-2</v>
      </c>
      <c r="TK20" s="396">
        <v>519.6</v>
      </c>
      <c r="TL20" s="491">
        <v>1.9529000000000001</v>
      </c>
      <c r="TM20" s="491">
        <v>1.1140000000000001</v>
      </c>
      <c r="TN20" s="491">
        <v>1.1493</v>
      </c>
      <c r="TO20" s="489">
        <v>174.5</v>
      </c>
      <c r="TP20" s="731"/>
      <c r="TQ20" s="340">
        <v>1.652E-2</v>
      </c>
      <c r="TR20" s="397">
        <v>518.70000000000005</v>
      </c>
      <c r="TS20" s="334">
        <v>1.9466000000000001</v>
      </c>
      <c r="TT20" s="491">
        <v>1.1213</v>
      </c>
      <c r="TU20" s="334">
        <v>1.1544000000000001</v>
      </c>
      <c r="TV20" s="489">
        <v>173.4</v>
      </c>
      <c r="TW20" s="260">
        <v>140</v>
      </c>
      <c r="TY20" s="185">
        <v>145</v>
      </c>
      <c r="TZ20" s="490">
        <v>1.5820000000000001E-2</v>
      </c>
      <c r="UA20" s="467">
        <v>523.5</v>
      </c>
      <c r="UB20" s="491">
        <v>1.9540999999999999</v>
      </c>
      <c r="UC20" s="473">
        <v>1.1293</v>
      </c>
      <c r="UD20" s="473">
        <v>1.1543000000000001</v>
      </c>
      <c r="UE20" s="478">
        <v>174.3</v>
      </c>
      <c r="UF20" s="749"/>
      <c r="UG20" s="474">
        <v>1.4919999999999999E-2</v>
      </c>
      <c r="UH20" s="478">
        <v>522.6</v>
      </c>
      <c r="UI20" s="491">
        <v>1.9482999999999999</v>
      </c>
      <c r="UJ20" s="473">
        <v>1.1366000000000001</v>
      </c>
      <c r="UK20" s="473">
        <v>1.1594</v>
      </c>
      <c r="UL20" s="488">
        <v>173.3</v>
      </c>
      <c r="UM20" s="310">
        <v>145</v>
      </c>
      <c r="UO20" s="268">
        <v>150</v>
      </c>
      <c r="UP20" s="464">
        <v>1.362E-2</v>
      </c>
      <c r="UQ20" s="467">
        <v>526.6</v>
      </c>
      <c r="UR20" s="499">
        <v>1.9510000000000001</v>
      </c>
      <c r="US20" s="499">
        <v>1.151</v>
      </c>
      <c r="UT20" s="610">
        <v>1.1638999999999999</v>
      </c>
      <c r="UU20" s="489">
        <v>173.3</v>
      </c>
      <c r="UV20" s="749"/>
      <c r="UW20" s="464">
        <v>1.255E-2</v>
      </c>
      <c r="UX20" s="478">
        <v>530.70000000000005</v>
      </c>
      <c r="UY20" s="471">
        <v>1.9544999999999999</v>
      </c>
      <c r="UZ20" s="622">
        <v>1.1646000000000001</v>
      </c>
      <c r="VA20" s="471">
        <v>1.1678999999999999</v>
      </c>
      <c r="VB20" s="489">
        <v>173.4</v>
      </c>
      <c r="VC20" s="248">
        <v>155</v>
      </c>
      <c r="VE20" s="264">
        <v>155</v>
      </c>
      <c r="VF20" s="511">
        <v>1.142E-2</v>
      </c>
      <c r="VG20" s="514">
        <v>529</v>
      </c>
      <c r="VH20" s="523">
        <v>1.9450000000000001</v>
      </c>
      <c r="VI20" s="523">
        <v>1.1793</v>
      </c>
      <c r="VJ20" s="391">
        <v>1.1781999999999999</v>
      </c>
      <c r="VK20" s="527">
        <v>171.5</v>
      </c>
      <c r="VL20" s="749"/>
      <c r="VM20" s="512">
        <v>1.0670000000000001E-2</v>
      </c>
      <c r="VN20" s="532">
        <v>533.20000000000005</v>
      </c>
      <c r="VO20" s="522">
        <v>1.9497</v>
      </c>
      <c r="VP20" s="391">
        <v>1.1917</v>
      </c>
      <c r="VQ20" s="522">
        <v>1.1814</v>
      </c>
      <c r="VR20" s="526">
        <v>171.9</v>
      </c>
      <c r="VS20" s="257">
        <v>160</v>
      </c>
      <c r="VU20" s="199">
        <v>165</v>
      </c>
      <c r="VV20" s="509">
        <v>1.0030000000000001E-2</v>
      </c>
      <c r="VW20" s="514">
        <v>537.6</v>
      </c>
      <c r="VX20" s="508">
        <v>1.9549000000000001</v>
      </c>
      <c r="VY20" s="508">
        <v>1.2032</v>
      </c>
      <c r="VZ20" s="508">
        <v>1.1840999999999999</v>
      </c>
      <c r="WA20" s="526">
        <v>172.4</v>
      </c>
      <c r="WB20" s="749"/>
      <c r="WC20" s="537">
        <v>9.2700000000000005E-3</v>
      </c>
      <c r="WD20" s="528">
        <v>535.9</v>
      </c>
      <c r="WE20" s="536">
        <v>1.9468000000000001</v>
      </c>
      <c r="WF20" s="508">
        <v>1.2177</v>
      </c>
      <c r="WG20" s="508">
        <v>1.1943999999999999</v>
      </c>
      <c r="WH20" s="526">
        <v>170.7</v>
      </c>
      <c r="WI20" s="194">
        <v>165</v>
      </c>
      <c r="WK20" s="193">
        <v>170</v>
      </c>
      <c r="WL20" s="509">
        <v>8.8000000000000005E-3</v>
      </c>
      <c r="WM20" s="514">
        <v>540.4</v>
      </c>
      <c r="WN20" s="536">
        <v>1.9529000000000001</v>
      </c>
      <c r="WO20" s="536">
        <v>1.2279</v>
      </c>
      <c r="WP20" s="536">
        <v>1.1961999999999999</v>
      </c>
      <c r="WQ20" s="530">
        <v>171.4</v>
      </c>
      <c r="WR20" s="749"/>
      <c r="WS20" s="537">
        <v>8.3899999999999999E-3</v>
      </c>
      <c r="WT20" s="528">
        <v>545</v>
      </c>
      <c r="WU20" s="536">
        <v>1.9594</v>
      </c>
      <c r="WV20" s="492">
        <v>1.2373000000000001</v>
      </c>
      <c r="WW20" s="536">
        <v>1.1974</v>
      </c>
      <c r="WX20" s="528">
        <v>172.2</v>
      </c>
      <c r="WY20" s="194">
        <v>175</v>
      </c>
      <c r="WZ20" s="469"/>
      <c r="XA20" s="264">
        <v>175</v>
      </c>
      <c r="XB20" s="512">
        <v>7.8499999999999993E-3</v>
      </c>
      <c r="XC20" s="514">
        <v>543.5</v>
      </c>
      <c r="XD20" s="523">
        <v>1.9522999999999999</v>
      </c>
      <c r="XE20" s="523">
        <v>1.2512000000000001</v>
      </c>
      <c r="XF20" s="508">
        <v>1.2073</v>
      </c>
      <c r="XG20" s="526">
        <v>170.8</v>
      </c>
      <c r="XH20" s="749"/>
      <c r="XI20" s="512">
        <v>7.5300000000000002E-3</v>
      </c>
      <c r="XJ20" s="528">
        <v>548.20000000000005</v>
      </c>
      <c r="XK20" s="522">
        <v>1.9594</v>
      </c>
      <c r="XL20" s="500">
        <v>1.2591000000000001</v>
      </c>
      <c r="XM20" s="522">
        <v>1.2076</v>
      </c>
      <c r="XN20" s="526">
        <v>171.8</v>
      </c>
      <c r="XO20" s="257">
        <v>180</v>
      </c>
      <c r="XP20" s="173"/>
    </row>
    <row r="21" spans="1:640" ht="15.75" thickBot="1" x14ac:dyDescent="0.3">
      <c r="A21" s="282">
        <v>15</v>
      </c>
      <c r="B21" s="365">
        <v>2.34192</v>
      </c>
      <c r="C21" s="368">
        <v>418.2</v>
      </c>
      <c r="D21" s="360">
        <v>2.0661999999999998</v>
      </c>
      <c r="E21" s="360">
        <v>0.81689999999999996</v>
      </c>
      <c r="F21" s="360">
        <v>1.1124000000000001</v>
      </c>
      <c r="G21" s="172">
        <v>161.19999999999999</v>
      </c>
      <c r="H21" s="266"/>
      <c r="I21" s="365">
        <v>1.20919</v>
      </c>
      <c r="J21" s="374">
        <v>426.3</v>
      </c>
      <c r="K21" s="360">
        <v>2.0375000000000001</v>
      </c>
      <c r="L21" s="358">
        <v>0.83630000000000004</v>
      </c>
      <c r="M21" s="360">
        <v>1.1106</v>
      </c>
      <c r="N21" s="368">
        <v>163.6</v>
      </c>
      <c r="O21" s="382">
        <v>25</v>
      </c>
      <c r="P21" s="238"/>
      <c r="Q21" s="282">
        <v>35</v>
      </c>
      <c r="R21" s="363">
        <v>0.83264000000000005</v>
      </c>
      <c r="S21" s="564">
        <v>434.6</v>
      </c>
      <c r="T21" s="358">
        <v>2.0318999999999998</v>
      </c>
      <c r="U21" s="358">
        <v>0.85499999999999998</v>
      </c>
      <c r="V21" s="358">
        <v>1.1087</v>
      </c>
      <c r="W21" s="368">
        <v>166</v>
      </c>
      <c r="X21" s="266"/>
      <c r="Y21" s="384">
        <v>0.63371</v>
      </c>
      <c r="Z21" s="374">
        <v>438.7</v>
      </c>
      <c r="AA21" s="358">
        <v>2.0219</v>
      </c>
      <c r="AB21" s="358">
        <v>0.8649</v>
      </c>
      <c r="AC21" s="358">
        <v>1.1082000000000001</v>
      </c>
      <c r="AD21" s="368">
        <v>167</v>
      </c>
      <c r="AE21" s="283">
        <v>40</v>
      </c>
      <c r="AF21" s="37"/>
      <c r="AG21" s="243">
        <v>40</v>
      </c>
      <c r="AH21" s="393">
        <v>0.50607000000000002</v>
      </c>
      <c r="AI21" s="396">
        <v>438.5</v>
      </c>
      <c r="AJ21" s="334">
        <v>2.0034000000000001</v>
      </c>
      <c r="AK21" s="334">
        <v>0.86639999999999995</v>
      </c>
      <c r="AL21" s="401">
        <v>1.1091</v>
      </c>
      <c r="AM21" s="406">
        <v>166.8</v>
      </c>
      <c r="AN21" s="731"/>
      <c r="AO21" s="340">
        <v>0.42808000000000002</v>
      </c>
      <c r="AP21" s="397">
        <v>442.7</v>
      </c>
      <c r="AQ21" s="334">
        <v>2.0019999999999998</v>
      </c>
      <c r="AR21" s="334">
        <v>0.87590000000000001</v>
      </c>
      <c r="AS21" s="401">
        <v>1.1085</v>
      </c>
      <c r="AT21" s="407">
        <v>167.9</v>
      </c>
      <c r="AU21" s="240">
        <v>45</v>
      </c>
      <c r="AV21" s="37"/>
      <c r="AW21" s="243">
        <v>50</v>
      </c>
      <c r="AX21" s="409">
        <v>0.37230000000000002</v>
      </c>
      <c r="AY21" s="396">
        <v>447</v>
      </c>
      <c r="AZ21" s="415">
        <v>2.0028000000000001</v>
      </c>
      <c r="BA21" s="415">
        <v>0.88519999999999999</v>
      </c>
      <c r="BB21" s="416">
        <v>1.1077999999999999</v>
      </c>
      <c r="BC21" s="396">
        <v>169</v>
      </c>
      <c r="BD21" s="731"/>
      <c r="BE21" s="409">
        <v>0.32519999999999999</v>
      </c>
      <c r="BF21" s="397">
        <v>446.9</v>
      </c>
      <c r="BG21" s="415">
        <v>1.9916</v>
      </c>
      <c r="BH21" s="334">
        <v>0.88649999999999995</v>
      </c>
      <c r="BI21" s="416">
        <v>1.1085</v>
      </c>
      <c r="BJ21" s="396">
        <v>168.8</v>
      </c>
      <c r="BK21" s="240">
        <v>50</v>
      </c>
      <c r="BL21" s="37"/>
      <c r="BM21" s="243">
        <v>55</v>
      </c>
      <c r="BN21" s="409">
        <v>0.29333999999999999</v>
      </c>
      <c r="BO21" s="396">
        <v>451.2</v>
      </c>
      <c r="BP21" s="415">
        <v>1.9953000000000001</v>
      </c>
      <c r="BQ21" s="415">
        <v>0.89559999999999995</v>
      </c>
      <c r="BR21" s="334">
        <v>1.1077999999999999</v>
      </c>
      <c r="BS21" s="396">
        <v>169.9</v>
      </c>
      <c r="BT21" s="731"/>
      <c r="BU21" s="409">
        <v>0.26363999999999999</v>
      </c>
      <c r="BV21" s="397">
        <v>451</v>
      </c>
      <c r="BW21" s="415">
        <v>1.9863999999999999</v>
      </c>
      <c r="BX21" s="334">
        <v>0.89680000000000004</v>
      </c>
      <c r="BY21" s="415">
        <v>1.1085</v>
      </c>
      <c r="BZ21" s="397">
        <v>169.7</v>
      </c>
      <c r="CA21" s="240">
        <v>55</v>
      </c>
      <c r="CB21" s="37"/>
      <c r="CC21" s="243">
        <v>55</v>
      </c>
      <c r="CD21" s="340">
        <v>0.26014999999999999</v>
      </c>
      <c r="CE21" s="396">
        <v>451</v>
      </c>
      <c r="CF21" s="426">
        <v>1.9853000000000001</v>
      </c>
      <c r="CG21" s="334">
        <v>0.89700000000000002</v>
      </c>
      <c r="CH21" s="426">
        <v>1.1086</v>
      </c>
      <c r="CI21" s="396">
        <v>169.7</v>
      </c>
      <c r="CJ21" s="731"/>
      <c r="CK21" s="340">
        <v>0.24313000000000001</v>
      </c>
      <c r="CL21" s="397">
        <v>455.4</v>
      </c>
      <c r="CM21" s="334">
        <v>1.992</v>
      </c>
      <c r="CN21" s="334">
        <v>0.90559999999999996</v>
      </c>
      <c r="CO21" s="334">
        <v>1.1076999999999999</v>
      </c>
      <c r="CP21" s="396">
        <v>170.8</v>
      </c>
      <c r="CQ21" s="240">
        <v>60</v>
      </c>
      <c r="CR21" s="37"/>
      <c r="CS21" s="243">
        <v>60</v>
      </c>
      <c r="CT21" s="340">
        <v>0.22262000000000001</v>
      </c>
      <c r="CU21" s="396">
        <v>455.3</v>
      </c>
      <c r="CV21" s="444">
        <v>1.9845999999999999</v>
      </c>
      <c r="CW21" s="334">
        <v>0.90680000000000005</v>
      </c>
      <c r="CX21" s="444">
        <v>1.1084000000000001</v>
      </c>
      <c r="CY21" s="442">
        <v>170.7</v>
      </c>
      <c r="CZ21" s="731"/>
      <c r="DA21" s="340">
        <v>0.20521</v>
      </c>
      <c r="DB21" s="397">
        <v>455.1</v>
      </c>
      <c r="DC21" s="334">
        <v>1.9778</v>
      </c>
      <c r="DD21" s="334">
        <v>0.90800000000000003</v>
      </c>
      <c r="DE21" s="444">
        <v>1.1091</v>
      </c>
      <c r="DF21" s="397">
        <v>170.5</v>
      </c>
      <c r="DG21" s="240">
        <v>60</v>
      </c>
      <c r="DH21" s="37"/>
      <c r="DI21" s="243">
        <v>65</v>
      </c>
      <c r="DJ21" s="409">
        <v>0.19331000000000001</v>
      </c>
      <c r="DK21" s="396">
        <v>459.6</v>
      </c>
      <c r="DL21" s="455">
        <v>1.9851000000000001</v>
      </c>
      <c r="DM21" s="415">
        <v>0.91649999999999998</v>
      </c>
      <c r="DN21" s="444">
        <v>1.1082000000000001</v>
      </c>
      <c r="DO21" s="442">
        <v>171.6</v>
      </c>
      <c r="DP21" s="731"/>
      <c r="DQ21" s="409">
        <v>0.18018000000000001</v>
      </c>
      <c r="DR21" s="397">
        <v>459.4</v>
      </c>
      <c r="DS21" s="415">
        <v>1.9792000000000001</v>
      </c>
      <c r="DT21" s="415">
        <v>0.91759999999999997</v>
      </c>
      <c r="DU21" s="415">
        <v>1.1088</v>
      </c>
      <c r="DV21" s="396">
        <v>171.4</v>
      </c>
      <c r="DW21" s="240">
        <v>65</v>
      </c>
      <c r="DX21" s="37"/>
      <c r="DY21" s="247">
        <v>65</v>
      </c>
      <c r="DZ21" s="463">
        <v>0.16869000000000001</v>
      </c>
      <c r="EA21" s="467">
        <v>459.3</v>
      </c>
      <c r="EB21" s="470">
        <v>1.9736</v>
      </c>
      <c r="EC21" s="470">
        <v>0.91869999999999996</v>
      </c>
      <c r="ED21" s="470">
        <v>1.1094999999999999</v>
      </c>
      <c r="EE21" s="465">
        <v>171.3</v>
      </c>
      <c r="EF21" s="731"/>
      <c r="EG21" s="464">
        <v>0.16108</v>
      </c>
      <c r="EH21" s="476">
        <v>463.8</v>
      </c>
      <c r="EI21" s="470">
        <v>1.982</v>
      </c>
      <c r="EJ21" s="473">
        <v>0.92689999999999995</v>
      </c>
      <c r="EK21" s="459">
        <v>1.1085</v>
      </c>
      <c r="EL21" s="478">
        <v>172.4</v>
      </c>
      <c r="EM21" s="263">
        <v>70</v>
      </c>
      <c r="EN21" s="37"/>
      <c r="EO21" s="247">
        <v>70</v>
      </c>
      <c r="EP21" s="474">
        <v>0.15195</v>
      </c>
      <c r="EQ21" s="467">
        <v>463.7</v>
      </c>
      <c r="ER21" s="459">
        <v>1.9770000000000001</v>
      </c>
      <c r="ES21" s="473">
        <v>0.92800000000000005</v>
      </c>
      <c r="ET21" s="459">
        <v>1.1091</v>
      </c>
      <c r="EU21" s="465">
        <v>172.2</v>
      </c>
      <c r="EV21" s="731"/>
      <c r="EW21" s="474">
        <v>0.14380000000000001</v>
      </c>
      <c r="EX21" s="476">
        <v>463.5</v>
      </c>
      <c r="EY21" s="459">
        <v>1.9723999999999999</v>
      </c>
      <c r="EZ21" s="473">
        <v>0.92900000000000005</v>
      </c>
      <c r="FA21" s="459">
        <v>1.1097999999999999</v>
      </c>
      <c r="FB21" s="467">
        <v>172.1</v>
      </c>
      <c r="FC21" s="248">
        <v>70</v>
      </c>
      <c r="FE21" s="243">
        <v>70</v>
      </c>
      <c r="FF21" s="340">
        <v>0.13643</v>
      </c>
      <c r="FG21" s="396">
        <v>463.4</v>
      </c>
      <c r="FH21" s="334">
        <v>1.9679</v>
      </c>
      <c r="FI21" s="334">
        <v>0.93010000000000004</v>
      </c>
      <c r="FJ21" s="334">
        <v>1.1104000000000001</v>
      </c>
      <c r="FK21" s="488">
        <v>171.9</v>
      </c>
      <c r="FL21" s="731"/>
      <c r="FM21" s="340">
        <v>0.13184000000000001</v>
      </c>
      <c r="FN21" s="397">
        <v>468</v>
      </c>
      <c r="FO21" s="334">
        <v>1.9772000000000001</v>
      </c>
      <c r="FP21" s="334">
        <v>0.93799999999999994</v>
      </c>
      <c r="FQ21" s="334">
        <v>1.1093</v>
      </c>
      <c r="FR21" s="397">
        <v>173.1</v>
      </c>
      <c r="FS21" s="240">
        <v>70</v>
      </c>
      <c r="FU21" s="243">
        <v>75</v>
      </c>
      <c r="FV21" s="409">
        <v>0.12569</v>
      </c>
      <c r="FW21" s="396">
        <v>467.8</v>
      </c>
      <c r="FX21" s="499">
        <v>1.9732000000000001</v>
      </c>
      <c r="FY21" s="415">
        <v>0.93899999999999995</v>
      </c>
      <c r="FZ21" s="491">
        <v>1.1099000000000001</v>
      </c>
      <c r="GA21" s="396">
        <v>172.9</v>
      </c>
      <c r="GB21" s="731"/>
      <c r="GC21" s="409">
        <v>0.12008000000000001</v>
      </c>
      <c r="GD21" s="397">
        <v>467.7</v>
      </c>
      <c r="GE21" s="415">
        <v>1.9693000000000001</v>
      </c>
      <c r="GF21" s="415">
        <v>0.94</v>
      </c>
      <c r="GG21" s="415">
        <v>1.1105</v>
      </c>
      <c r="GH21" s="396">
        <v>172.7</v>
      </c>
      <c r="GI21" s="240">
        <v>75</v>
      </c>
      <c r="GK21" s="243">
        <v>75</v>
      </c>
      <c r="GL21" s="409">
        <v>0.11494</v>
      </c>
      <c r="GM21" s="404">
        <v>467.6</v>
      </c>
      <c r="GN21" s="415">
        <v>1.9656</v>
      </c>
      <c r="GO21" s="415">
        <v>0.94099999999999995</v>
      </c>
      <c r="GP21" s="334">
        <v>1.1111</v>
      </c>
      <c r="GQ21" s="396">
        <v>172.6</v>
      </c>
      <c r="GR21" s="731"/>
      <c r="GS21" s="409">
        <v>0.11197</v>
      </c>
      <c r="GT21" s="397">
        <v>472.2</v>
      </c>
      <c r="GU21" s="241">
        <v>1.9755</v>
      </c>
      <c r="GV21" s="170">
        <v>0.94869999999999999</v>
      </c>
      <c r="GW21" s="241">
        <v>1.1099000000000001</v>
      </c>
      <c r="GX21" s="397">
        <v>173.8</v>
      </c>
      <c r="GY21" s="240">
        <v>80</v>
      </c>
      <c r="HA21" s="243">
        <v>80</v>
      </c>
      <c r="HB21" s="340">
        <v>0.10753</v>
      </c>
      <c r="HC21" s="396">
        <v>472.1</v>
      </c>
      <c r="HD21" s="334">
        <v>1.972</v>
      </c>
      <c r="HE21" s="334">
        <v>0.94969999999999999</v>
      </c>
      <c r="HF21" s="334">
        <v>1.1105</v>
      </c>
      <c r="HG21" s="396">
        <v>173.6</v>
      </c>
      <c r="HH21" s="731"/>
      <c r="HI21" s="340">
        <v>0.10342</v>
      </c>
      <c r="HJ21" s="397">
        <v>472</v>
      </c>
      <c r="HK21" s="334">
        <v>1.9686999999999999</v>
      </c>
      <c r="HL21" s="334">
        <v>0.9506</v>
      </c>
      <c r="HM21" s="334">
        <v>1.1111</v>
      </c>
      <c r="HN21" s="396">
        <v>173.5</v>
      </c>
      <c r="HO21" s="240">
        <v>80</v>
      </c>
      <c r="HQ21" s="243">
        <v>80</v>
      </c>
      <c r="HR21" s="340">
        <v>9.962E-2</v>
      </c>
      <c r="HS21" s="396">
        <v>471.8</v>
      </c>
      <c r="HT21" s="491">
        <v>1.9655</v>
      </c>
      <c r="HU21" s="334">
        <v>0.9516</v>
      </c>
      <c r="HV21" s="492">
        <v>1.1116999999999999</v>
      </c>
      <c r="HW21" s="396">
        <v>173.3</v>
      </c>
      <c r="HX21" s="731"/>
      <c r="HY21" s="340">
        <v>9.6060000000000006E-2</v>
      </c>
      <c r="HZ21" s="397">
        <v>471.7</v>
      </c>
      <c r="IA21" s="334">
        <v>1.9623999999999999</v>
      </c>
      <c r="IB21" s="334">
        <v>0.95250000000000001</v>
      </c>
      <c r="IC21" s="334">
        <v>1.1123000000000001</v>
      </c>
      <c r="ID21" s="397">
        <v>173.1</v>
      </c>
      <c r="IE21" s="240">
        <v>80</v>
      </c>
      <c r="IG21" s="243">
        <v>85</v>
      </c>
      <c r="IH21" s="409">
        <v>9.4240000000000004E-2</v>
      </c>
      <c r="II21" s="396">
        <v>476.4</v>
      </c>
      <c r="IJ21" s="499">
        <v>1.9728000000000001</v>
      </c>
      <c r="IK21" s="415">
        <v>0.95989999999999998</v>
      </c>
      <c r="IL21" s="492">
        <v>1.111</v>
      </c>
      <c r="IM21" s="489">
        <v>174.4</v>
      </c>
      <c r="IN21" s="731"/>
      <c r="IO21" s="409">
        <v>9.1109999999999997E-2</v>
      </c>
      <c r="IP21" s="397">
        <v>476.3</v>
      </c>
      <c r="IQ21" s="415">
        <v>1.9699</v>
      </c>
      <c r="IR21" s="415">
        <v>0.96079999999999999</v>
      </c>
      <c r="IS21" s="415">
        <v>1.1114999999999999</v>
      </c>
      <c r="IT21" s="396">
        <v>174.2</v>
      </c>
      <c r="IU21" s="240">
        <v>85</v>
      </c>
      <c r="IW21" s="254">
        <v>85</v>
      </c>
      <c r="IX21" s="512">
        <v>8.8160000000000002E-2</v>
      </c>
      <c r="IY21" s="514">
        <v>476.2</v>
      </c>
      <c r="IZ21" s="523">
        <v>1.9671000000000001</v>
      </c>
      <c r="JA21" s="523">
        <v>0.9617</v>
      </c>
      <c r="JB21" s="523">
        <v>1.1121000000000001</v>
      </c>
      <c r="JC21" s="526">
        <v>174.1</v>
      </c>
      <c r="JD21" s="731"/>
      <c r="JE21" s="511">
        <v>8.5379999999999998E-2</v>
      </c>
      <c r="JF21" s="528">
        <v>476.1</v>
      </c>
      <c r="JG21" s="522">
        <v>1.9643999999999999</v>
      </c>
      <c r="JH21" s="508">
        <v>0.9627</v>
      </c>
      <c r="JI21" s="523">
        <v>1.1127</v>
      </c>
      <c r="JJ21" s="530">
        <v>173.9</v>
      </c>
      <c r="JK21" s="257">
        <v>85</v>
      </c>
      <c r="JM21" s="254">
        <v>85</v>
      </c>
      <c r="JN21" s="509">
        <v>8.2799999999999999E-2</v>
      </c>
      <c r="JO21" s="658">
        <v>475.9</v>
      </c>
      <c r="JP21" s="508">
        <v>1.9617</v>
      </c>
      <c r="JQ21" s="508">
        <v>0.96360000000000001</v>
      </c>
      <c r="JR21" s="508">
        <v>1.1132</v>
      </c>
      <c r="JS21" s="526">
        <v>173.8</v>
      </c>
      <c r="JT21" s="731"/>
      <c r="JU21" s="537">
        <v>8.1610000000000002E-2</v>
      </c>
      <c r="JV21" s="530">
        <v>480.7</v>
      </c>
      <c r="JW21" s="536">
        <v>1.9724999999999999</v>
      </c>
      <c r="JX21" s="508">
        <v>0.97070000000000001</v>
      </c>
      <c r="JY21" s="508">
        <v>1.1117999999999999</v>
      </c>
      <c r="JZ21" s="514">
        <v>175</v>
      </c>
      <c r="KA21" s="194">
        <v>90</v>
      </c>
      <c r="KC21" s="176">
        <v>90</v>
      </c>
      <c r="KD21" s="340">
        <v>7.9250000000000001E-2</v>
      </c>
      <c r="KE21" s="540">
        <v>480.6</v>
      </c>
      <c r="KF21" s="170">
        <v>1.97</v>
      </c>
      <c r="KG21" s="170">
        <v>0.97160000000000002</v>
      </c>
      <c r="KH21" s="196">
        <v>1.1124000000000001</v>
      </c>
      <c r="KI21" s="540">
        <v>174.9</v>
      </c>
      <c r="KJ21" s="731"/>
      <c r="KK21" s="340">
        <v>7.7020000000000005E-2</v>
      </c>
      <c r="KL21" s="397">
        <v>480.4</v>
      </c>
      <c r="KM21" s="334">
        <v>1.9675</v>
      </c>
      <c r="KN21" s="334">
        <v>0.97240000000000004</v>
      </c>
      <c r="KO21" s="334">
        <v>1.1129</v>
      </c>
      <c r="KP21" s="396">
        <v>174.7</v>
      </c>
      <c r="KQ21" s="260">
        <v>90</v>
      </c>
      <c r="KS21" s="243">
        <v>90</v>
      </c>
      <c r="KT21" s="409">
        <v>7.492E-2</v>
      </c>
      <c r="KU21" s="543">
        <v>480.3</v>
      </c>
      <c r="KV21" s="415">
        <v>1.9652000000000001</v>
      </c>
      <c r="KW21" s="415">
        <v>0.97330000000000005</v>
      </c>
      <c r="KX21" s="541">
        <v>1.1134999999999999</v>
      </c>
      <c r="KY21" s="543">
        <v>174.6</v>
      </c>
      <c r="KZ21" s="731"/>
      <c r="LA21" s="421">
        <v>7.2929999999999995E-2</v>
      </c>
      <c r="LB21" s="397">
        <v>480.2</v>
      </c>
      <c r="LC21" s="415">
        <v>1.9628000000000001</v>
      </c>
      <c r="LD21" s="415">
        <v>0.97419999999999995</v>
      </c>
      <c r="LE21" s="415">
        <v>1.1140000000000001</v>
      </c>
      <c r="LF21" s="396">
        <v>174.4</v>
      </c>
      <c r="LG21" s="240">
        <v>90</v>
      </c>
      <c r="LI21" s="254">
        <v>90</v>
      </c>
      <c r="LJ21" s="511">
        <v>7.102E-2</v>
      </c>
      <c r="LK21" s="514">
        <v>480.1</v>
      </c>
      <c r="LL21" s="523">
        <v>1.9604999999999999</v>
      </c>
      <c r="LM21" s="523">
        <v>0.97509999999999997</v>
      </c>
      <c r="LN21" s="523">
        <v>1.1146</v>
      </c>
      <c r="LO21" s="514">
        <v>174.3</v>
      </c>
      <c r="LP21" s="731"/>
      <c r="LQ21" s="511">
        <v>6.7739999999999995E-2</v>
      </c>
      <c r="LR21" s="528">
        <v>484.7</v>
      </c>
      <c r="LS21" s="523">
        <v>1.9683999999999999</v>
      </c>
      <c r="LT21" s="536">
        <v>0.98309999999999997</v>
      </c>
      <c r="LU21" s="508">
        <v>1.1137999999999999</v>
      </c>
      <c r="LV21" s="526">
        <v>175.3</v>
      </c>
      <c r="LW21" s="265">
        <v>95</v>
      </c>
      <c r="LY21" s="193">
        <v>95</v>
      </c>
      <c r="LZ21" s="537">
        <v>6.3810000000000006E-2</v>
      </c>
      <c r="MA21" s="514">
        <v>484.5</v>
      </c>
      <c r="MB21" s="508">
        <v>1.9632000000000001</v>
      </c>
      <c r="MC21" s="536">
        <v>0.98519999999999996</v>
      </c>
      <c r="MD21" s="508">
        <v>1.1152</v>
      </c>
      <c r="ME21" s="514">
        <v>175</v>
      </c>
      <c r="MF21" s="731"/>
      <c r="MG21" s="537">
        <v>6.0299999999999999E-2</v>
      </c>
      <c r="MH21" s="528">
        <v>484.2</v>
      </c>
      <c r="MI21" s="191">
        <v>1.9582999999999999</v>
      </c>
      <c r="MJ21" s="192">
        <v>0.98740000000000006</v>
      </c>
      <c r="MK21" s="191">
        <v>1.1165</v>
      </c>
      <c r="ML21" s="526">
        <v>174.6</v>
      </c>
      <c r="MM21" s="279">
        <v>95</v>
      </c>
      <c r="MO21" s="290">
        <v>100</v>
      </c>
      <c r="MP21" s="340">
        <v>5.806E-2</v>
      </c>
      <c r="MQ21" s="396">
        <v>488.9</v>
      </c>
      <c r="MR21" s="335">
        <v>1.9670000000000001</v>
      </c>
      <c r="MS21" s="334">
        <v>0.995</v>
      </c>
      <c r="MT21" s="335">
        <v>1.1155999999999999</v>
      </c>
      <c r="MU21" s="396">
        <v>175.7</v>
      </c>
      <c r="MV21" s="731"/>
      <c r="MW21" s="340">
        <v>5.5160000000000001E-2</v>
      </c>
      <c r="MX21" s="397">
        <v>488.6</v>
      </c>
      <c r="MY21" s="334">
        <v>1.9624999999999999</v>
      </c>
      <c r="MZ21" s="334">
        <v>0.99709999999999999</v>
      </c>
      <c r="NA21" s="334">
        <v>1.1169</v>
      </c>
      <c r="NB21" s="397">
        <v>175.4</v>
      </c>
      <c r="NC21" s="260">
        <v>100</v>
      </c>
      <c r="NE21" s="291">
        <v>100</v>
      </c>
      <c r="NF21" s="409">
        <v>5.2519999999999997E-2</v>
      </c>
      <c r="NG21" s="396">
        <v>488.4</v>
      </c>
      <c r="NH21" s="415">
        <v>1.9581999999999999</v>
      </c>
      <c r="NI21" s="415">
        <v>0.99909999999999999</v>
      </c>
      <c r="NJ21" s="335">
        <v>1.1182000000000001</v>
      </c>
      <c r="NK21" s="396">
        <v>175</v>
      </c>
      <c r="NL21" s="731"/>
      <c r="NM21" s="409">
        <v>5.092E-2</v>
      </c>
      <c r="NN21" s="397">
        <v>493.1</v>
      </c>
      <c r="NO21" s="415">
        <v>1.9674</v>
      </c>
      <c r="NP21" s="335">
        <v>1.0065</v>
      </c>
      <c r="NQ21" s="415">
        <v>1.1171</v>
      </c>
      <c r="NR21" s="396">
        <v>176.1</v>
      </c>
      <c r="NS21" s="240">
        <v>105</v>
      </c>
      <c r="NU21" s="288">
        <v>105</v>
      </c>
      <c r="NV21" s="511">
        <v>4.8680000000000001E-2</v>
      </c>
      <c r="NW21" s="476">
        <v>492.9</v>
      </c>
      <c r="NX21" s="470">
        <v>1.9634</v>
      </c>
      <c r="NY21" s="470">
        <v>1.0084</v>
      </c>
      <c r="NZ21" s="459">
        <v>1.1184000000000001</v>
      </c>
      <c r="OA21" s="528">
        <v>175.8</v>
      </c>
      <c r="OB21" s="731"/>
      <c r="OC21" s="511">
        <v>4.6629999999999998E-2</v>
      </c>
      <c r="OD21" s="528">
        <v>492.6</v>
      </c>
      <c r="OE21" s="575">
        <v>1.9596</v>
      </c>
      <c r="OF21" s="536">
        <v>1.0104</v>
      </c>
      <c r="OG21" s="574">
        <v>1.1196999999999999</v>
      </c>
      <c r="OH21" s="476">
        <v>175.5</v>
      </c>
      <c r="OI21" s="263">
        <v>105</v>
      </c>
      <c r="OK21" s="267">
        <v>105</v>
      </c>
      <c r="OL21" s="460">
        <v>4.4720000000000003E-2</v>
      </c>
      <c r="OM21" s="517">
        <v>492.4</v>
      </c>
      <c r="ON21" s="459">
        <v>1.9559</v>
      </c>
      <c r="OO21" s="459">
        <v>1.0124</v>
      </c>
      <c r="OP21" s="339">
        <v>1.121</v>
      </c>
      <c r="OQ21" s="528">
        <v>175.1</v>
      </c>
      <c r="OR21" s="731"/>
      <c r="OS21" s="537">
        <v>4.367E-2</v>
      </c>
      <c r="OT21" s="528">
        <v>497.2</v>
      </c>
      <c r="OU21" s="459">
        <v>1.9657</v>
      </c>
      <c r="OV21" s="536">
        <v>1.0193000000000001</v>
      </c>
      <c r="OW21" s="536">
        <v>1.1196999999999999</v>
      </c>
      <c r="OX21" s="476">
        <v>176.3</v>
      </c>
      <c r="OY21" s="289">
        <v>110</v>
      </c>
      <c r="PA21" s="259">
        <v>110</v>
      </c>
      <c r="PB21" s="340">
        <v>4.2009999999999999E-2</v>
      </c>
      <c r="PC21" s="396">
        <v>496.9</v>
      </c>
      <c r="PD21" s="541">
        <v>1.9621999999999999</v>
      </c>
      <c r="PE21" s="541">
        <v>1.0212000000000001</v>
      </c>
      <c r="PF21" s="492">
        <v>1.1209</v>
      </c>
      <c r="PG21" s="540">
        <v>176</v>
      </c>
      <c r="PH21" s="731"/>
      <c r="PI21" s="340">
        <v>4.0469999999999999E-2</v>
      </c>
      <c r="PJ21" s="397">
        <v>496.7</v>
      </c>
      <c r="PK21" s="334">
        <v>1.9589000000000001</v>
      </c>
      <c r="PL21" s="541">
        <v>1.0230999999999999</v>
      </c>
      <c r="PM21" s="334">
        <v>1.1222000000000001</v>
      </c>
      <c r="PN21" s="542">
        <v>175.7</v>
      </c>
      <c r="PO21" s="260">
        <v>110</v>
      </c>
      <c r="PQ21" s="261">
        <v>110</v>
      </c>
      <c r="PR21" s="409">
        <v>3.9030000000000002E-2</v>
      </c>
      <c r="PS21" s="505">
        <v>496.4</v>
      </c>
      <c r="PT21" s="546">
        <v>1.9557</v>
      </c>
      <c r="PU21" s="415">
        <v>1.0250999999999999</v>
      </c>
      <c r="PV21" s="492">
        <v>1.1234999999999999</v>
      </c>
      <c r="PW21" s="396">
        <v>175.4</v>
      </c>
      <c r="PX21" s="731"/>
      <c r="PY21" s="409">
        <v>3.703E-2</v>
      </c>
      <c r="PZ21" s="397">
        <v>501.1</v>
      </c>
      <c r="QA21" s="415">
        <v>1.9628000000000001</v>
      </c>
      <c r="QB21" s="500">
        <v>1.0334000000000001</v>
      </c>
      <c r="QC21" s="415">
        <v>1.1232</v>
      </c>
      <c r="QD21" s="396">
        <v>176.3</v>
      </c>
      <c r="QE21" s="240">
        <v>115</v>
      </c>
      <c r="QG21" s="264">
        <v>115</v>
      </c>
      <c r="QH21" s="512">
        <v>3.4689999999999999E-2</v>
      </c>
      <c r="QI21" s="514">
        <v>500.6</v>
      </c>
      <c r="QJ21" s="523">
        <v>1.9569000000000001</v>
      </c>
      <c r="QK21" s="523">
        <v>1.0371999999999999</v>
      </c>
      <c r="QL21" s="387">
        <v>1.1256999999999999</v>
      </c>
      <c r="QM21" s="526">
        <v>175.6</v>
      </c>
      <c r="QN21" s="731"/>
      <c r="QO21" s="512">
        <v>3.3160000000000002E-2</v>
      </c>
      <c r="QP21" s="532">
        <v>505.3</v>
      </c>
      <c r="QQ21" s="255">
        <v>1.9646999999999999</v>
      </c>
      <c r="QR21" s="191">
        <v>1.0450999999999999</v>
      </c>
      <c r="QS21" s="256">
        <v>1.1252</v>
      </c>
      <c r="QT21" s="527">
        <v>176.6</v>
      </c>
      <c r="QU21" s="265">
        <v>120</v>
      </c>
      <c r="QW21" s="199">
        <v>120</v>
      </c>
      <c r="QX21" s="509">
        <v>3.1280000000000002E-2</v>
      </c>
      <c r="QY21" s="517">
        <v>504.9</v>
      </c>
      <c r="QZ21" s="508">
        <v>1.9594</v>
      </c>
      <c r="RA21" s="508">
        <v>1.0488</v>
      </c>
      <c r="RB21" s="594">
        <v>1.1276999999999999</v>
      </c>
      <c r="RC21" s="514">
        <v>176</v>
      </c>
      <c r="RD21" s="731"/>
      <c r="RE21" s="509">
        <v>2.9590000000000002E-2</v>
      </c>
      <c r="RF21" s="528">
        <v>504.4</v>
      </c>
      <c r="RG21" s="536">
        <v>1.9542999999999999</v>
      </c>
      <c r="RH21" s="508">
        <v>1.0525</v>
      </c>
      <c r="RI21" s="508">
        <v>1.1301000000000001</v>
      </c>
      <c r="RJ21" s="526">
        <v>175.4</v>
      </c>
      <c r="RK21" s="279">
        <v>120</v>
      </c>
      <c r="RM21" s="270">
        <v>125</v>
      </c>
      <c r="RN21" s="340">
        <v>2.7130000000000001E-2</v>
      </c>
      <c r="RO21" s="396">
        <v>508.7</v>
      </c>
      <c r="RP21" s="491">
        <v>1.9581999999999999</v>
      </c>
      <c r="RQ21" s="491">
        <v>1.0633999999999999</v>
      </c>
      <c r="RR21" s="492">
        <v>1.1317999999999999</v>
      </c>
      <c r="RS21" s="396">
        <v>175.9</v>
      </c>
      <c r="RT21" s="731"/>
      <c r="RU21" s="340">
        <v>2.5080000000000002E-2</v>
      </c>
      <c r="RV21" s="397">
        <v>513.20000000000005</v>
      </c>
      <c r="RW21" s="334">
        <v>1.9626999999999999</v>
      </c>
      <c r="RX21" s="492">
        <v>1.0739000000000001</v>
      </c>
      <c r="RY21" s="334">
        <v>1.1331</v>
      </c>
      <c r="RZ21" s="488">
        <v>176.4</v>
      </c>
      <c r="SA21" s="260">
        <v>130</v>
      </c>
      <c r="SC21" s="268">
        <v>130</v>
      </c>
      <c r="SD21" s="409">
        <v>2.2970000000000001E-2</v>
      </c>
      <c r="SE21" s="396">
        <v>512.29999999999995</v>
      </c>
      <c r="SF21" s="499">
        <v>1.9544999999999999</v>
      </c>
      <c r="SG21" s="415">
        <v>1.081</v>
      </c>
      <c r="SH21" s="500">
        <v>1.1379999999999999</v>
      </c>
      <c r="SI21" s="396">
        <v>175.3</v>
      </c>
      <c r="SJ21" s="731"/>
      <c r="SK21" s="409">
        <v>2.1530000000000001E-2</v>
      </c>
      <c r="SL21" s="176">
        <v>516.79999999999995</v>
      </c>
      <c r="SM21" s="415">
        <v>1.9601999999999999</v>
      </c>
      <c r="SN21" s="500">
        <v>1.0908</v>
      </c>
      <c r="SO21" s="415">
        <v>1.139</v>
      </c>
      <c r="SP21" s="190">
        <v>175.9</v>
      </c>
      <c r="SQ21" s="240">
        <v>135</v>
      </c>
      <c r="SS21" s="268">
        <v>140</v>
      </c>
      <c r="ST21" s="409">
        <v>2.0279999999999999E-2</v>
      </c>
      <c r="SU21" s="170">
        <v>521.4</v>
      </c>
      <c r="SV21" s="499">
        <v>1.9662999999999999</v>
      </c>
      <c r="SW21" s="415">
        <v>1.1001000000000001</v>
      </c>
      <c r="SX21" s="499">
        <v>1.1396999999999999</v>
      </c>
      <c r="SY21" s="190">
        <v>176.6</v>
      </c>
      <c r="SZ21" s="731"/>
      <c r="TA21" s="409">
        <v>1.8870000000000001E-2</v>
      </c>
      <c r="TB21" s="397">
        <v>520.5</v>
      </c>
      <c r="TC21" s="415">
        <v>1.9594</v>
      </c>
      <c r="TD21" s="491">
        <v>1.1069</v>
      </c>
      <c r="TE21" s="491">
        <v>1.1444000000000001</v>
      </c>
      <c r="TF21" s="397">
        <v>175.5</v>
      </c>
      <c r="TG21" s="240">
        <v>140</v>
      </c>
      <c r="TI21" s="176">
        <v>145</v>
      </c>
      <c r="TJ21" s="340">
        <v>1.7950000000000001E-2</v>
      </c>
      <c r="TK21" s="396">
        <v>525.20000000000005</v>
      </c>
      <c r="TL21" s="491">
        <v>1.9662999999999999</v>
      </c>
      <c r="TM21" s="491">
        <v>1.1155999999999999</v>
      </c>
      <c r="TN21" s="334">
        <v>1.1448</v>
      </c>
      <c r="TO21" s="489">
        <v>176.3</v>
      </c>
      <c r="TP21" s="731"/>
      <c r="TQ21" s="490">
        <v>1.6820000000000002E-2</v>
      </c>
      <c r="TR21" s="451">
        <v>524.29999999999995</v>
      </c>
      <c r="TS21" s="422">
        <v>1.9601</v>
      </c>
      <c r="TT21" s="602">
        <v>1.1223000000000001</v>
      </c>
      <c r="TU21" s="491">
        <v>1.1495</v>
      </c>
      <c r="TV21" s="489">
        <v>175.3</v>
      </c>
      <c r="TW21" s="271">
        <v>145</v>
      </c>
      <c r="TY21" s="270">
        <v>150</v>
      </c>
      <c r="TZ21" s="474">
        <v>1.6109999999999999E-2</v>
      </c>
      <c r="UA21" s="467">
        <v>529.1</v>
      </c>
      <c r="UB21" s="491">
        <v>1.9676</v>
      </c>
      <c r="UC21" s="491">
        <v>1.1303000000000001</v>
      </c>
      <c r="UD21" s="610">
        <v>1.1495</v>
      </c>
      <c r="UE21" s="489">
        <v>176.2</v>
      </c>
      <c r="UF21" s="749"/>
      <c r="UG21" s="474">
        <v>1.52E-2</v>
      </c>
      <c r="UH21" s="478">
        <v>528.29999999999995</v>
      </c>
      <c r="UI21" s="473">
        <v>1.9619</v>
      </c>
      <c r="UJ21" s="610">
        <v>1.137</v>
      </c>
      <c r="UK21" s="473">
        <v>1.1540999999999999</v>
      </c>
      <c r="UL21" s="488">
        <v>175.2</v>
      </c>
      <c r="UM21" s="310">
        <v>150</v>
      </c>
      <c r="UO21" s="268">
        <v>155</v>
      </c>
      <c r="UP21" s="464">
        <v>1.388E-2</v>
      </c>
      <c r="UQ21" s="467">
        <v>532.29999999999995</v>
      </c>
      <c r="UR21" s="499">
        <v>1.9645999999999999</v>
      </c>
      <c r="US21" s="499">
        <v>1.1509</v>
      </c>
      <c r="UT21" s="610">
        <v>1.1583000000000001</v>
      </c>
      <c r="UU21" s="489">
        <v>175.2</v>
      </c>
      <c r="UV21" s="749"/>
      <c r="UW21" s="497">
        <v>1.2789999999999999E-2</v>
      </c>
      <c r="UX21" s="478">
        <v>536.5</v>
      </c>
      <c r="UY21" s="471">
        <v>1.968</v>
      </c>
      <c r="UZ21" s="622">
        <v>1.1640999999999999</v>
      </c>
      <c r="VA21" s="471">
        <v>1.1619999999999999</v>
      </c>
      <c r="VB21" s="489">
        <v>175.4</v>
      </c>
      <c r="VC21" s="248">
        <v>160</v>
      </c>
      <c r="VE21" s="264">
        <v>160</v>
      </c>
      <c r="VF21" s="512">
        <v>1.1650000000000001E-2</v>
      </c>
      <c r="VG21" s="514">
        <v>534.9</v>
      </c>
      <c r="VH21" s="523">
        <v>1.9587000000000001</v>
      </c>
      <c r="VI21" s="523">
        <v>1.1775</v>
      </c>
      <c r="VJ21" s="339">
        <v>1.1714</v>
      </c>
      <c r="VK21" s="527">
        <v>173.6</v>
      </c>
      <c r="VL21" s="749"/>
      <c r="VM21" s="512">
        <v>1.0880000000000001E-2</v>
      </c>
      <c r="VN21" s="532">
        <v>539.20000000000005</v>
      </c>
      <c r="VO21" s="522">
        <v>1.9634</v>
      </c>
      <c r="VP21" s="391">
        <v>1.1895</v>
      </c>
      <c r="VQ21" s="522">
        <v>1.1744000000000001</v>
      </c>
      <c r="VR21" s="526">
        <v>174</v>
      </c>
      <c r="VS21" s="257">
        <v>165</v>
      </c>
      <c r="VU21" s="199">
        <v>170</v>
      </c>
      <c r="VV21" s="509">
        <v>1.023E-2</v>
      </c>
      <c r="VW21" s="514">
        <v>543.6</v>
      </c>
      <c r="VX21" s="508">
        <v>1.9685999999999999</v>
      </c>
      <c r="VY21" s="508">
        <v>1.2007000000000001</v>
      </c>
      <c r="VZ21" s="508">
        <v>1.177</v>
      </c>
      <c r="WA21" s="526">
        <v>174.5</v>
      </c>
      <c r="WB21" s="749"/>
      <c r="WC21" s="509">
        <v>9.4699999999999993E-3</v>
      </c>
      <c r="WD21" s="528">
        <v>542</v>
      </c>
      <c r="WE21" s="536">
        <v>1.9605999999999999</v>
      </c>
      <c r="WF21" s="508">
        <v>1.214</v>
      </c>
      <c r="WG21" s="508">
        <v>1.1862999999999999</v>
      </c>
      <c r="WH21" s="526">
        <v>173</v>
      </c>
      <c r="WI21" s="279">
        <v>170</v>
      </c>
      <c r="WK21" s="199">
        <v>175</v>
      </c>
      <c r="WL21" s="509">
        <v>8.9899999999999997E-3</v>
      </c>
      <c r="WM21" s="514">
        <v>546.6</v>
      </c>
      <c r="WN21" s="508">
        <v>1.9666999999999999</v>
      </c>
      <c r="WO21" s="508">
        <v>1.224</v>
      </c>
      <c r="WP21" s="492">
        <v>1.1879999999999999</v>
      </c>
      <c r="WQ21" s="526">
        <v>173.6</v>
      </c>
      <c r="WR21" s="749"/>
      <c r="WS21" s="509">
        <v>8.5699999999999995E-3</v>
      </c>
      <c r="WT21" s="528">
        <v>551.20000000000005</v>
      </c>
      <c r="WU21" s="536">
        <v>1.9731000000000001</v>
      </c>
      <c r="WV21" s="508">
        <v>1.2333000000000001</v>
      </c>
      <c r="WW21" s="536">
        <v>1.1892</v>
      </c>
      <c r="WX21" s="530">
        <v>174.4</v>
      </c>
      <c r="WY21" s="194">
        <v>180</v>
      </c>
      <c r="WZ21" s="400"/>
      <c r="XA21" s="264">
        <v>180</v>
      </c>
      <c r="XB21" s="512">
        <v>8.0199999999999994E-3</v>
      </c>
      <c r="XC21" s="514">
        <v>549.70000000000005</v>
      </c>
      <c r="XD21" s="523">
        <v>1.9661</v>
      </c>
      <c r="XE21" s="523">
        <v>1.2459</v>
      </c>
      <c r="XF21" s="492">
        <v>1.1981999999999999</v>
      </c>
      <c r="XG21" s="526">
        <v>173.1</v>
      </c>
      <c r="XH21" s="749"/>
      <c r="XI21" s="512">
        <v>7.7000000000000002E-3</v>
      </c>
      <c r="XJ21" s="528">
        <v>554.5</v>
      </c>
      <c r="XK21" s="522">
        <v>1.9732000000000001</v>
      </c>
      <c r="XL21" s="500">
        <v>1.2539</v>
      </c>
      <c r="XM21" s="522">
        <v>1.1984999999999999</v>
      </c>
      <c r="XN21" s="526">
        <v>174.1</v>
      </c>
      <c r="XO21" s="257">
        <v>185</v>
      </c>
      <c r="XP21" s="170"/>
    </row>
    <row r="22" spans="1:640" ht="15.75" thickBot="1" x14ac:dyDescent="0.3">
      <c r="A22" s="282">
        <v>20</v>
      </c>
      <c r="B22" s="365">
        <v>2.3809499999999999</v>
      </c>
      <c r="C22" s="368">
        <v>422.3</v>
      </c>
      <c r="D22" s="360">
        <v>2.0802999999999998</v>
      </c>
      <c r="E22" s="360">
        <v>0.82569999999999999</v>
      </c>
      <c r="F22" s="360">
        <v>1.1109</v>
      </c>
      <c r="G22" s="172">
        <v>162.6</v>
      </c>
      <c r="H22" s="266"/>
      <c r="I22" s="365">
        <v>1.23001</v>
      </c>
      <c r="J22" s="374">
        <v>430.5</v>
      </c>
      <c r="K22" s="360">
        <v>2.0514000000000001</v>
      </c>
      <c r="L22" s="358">
        <v>0.84489999999999998</v>
      </c>
      <c r="M22" s="360">
        <v>1.1092</v>
      </c>
      <c r="N22" s="368">
        <v>164.9</v>
      </c>
      <c r="O22" s="382">
        <v>30</v>
      </c>
      <c r="P22" s="238"/>
      <c r="Q22" s="282">
        <v>40</v>
      </c>
      <c r="R22" s="363">
        <v>0.84601999999999999</v>
      </c>
      <c r="S22" s="564">
        <v>438.9</v>
      </c>
      <c r="T22" s="358">
        <v>2.0457000000000001</v>
      </c>
      <c r="U22" s="358">
        <v>0.86339999999999995</v>
      </c>
      <c r="V22" s="358">
        <v>1.1073</v>
      </c>
      <c r="W22" s="368">
        <v>167.3</v>
      </c>
      <c r="X22" s="266"/>
      <c r="Y22" s="363">
        <v>0.64392000000000005</v>
      </c>
      <c r="Z22" s="374">
        <v>443</v>
      </c>
      <c r="AA22" s="358">
        <v>2.0356999999999998</v>
      </c>
      <c r="AB22" s="385">
        <v>0.87309999999999999</v>
      </c>
      <c r="AC22" s="358">
        <v>1.1068</v>
      </c>
      <c r="AD22" s="368">
        <v>168.3</v>
      </c>
      <c r="AE22" s="292">
        <v>45</v>
      </c>
      <c r="AF22" s="37"/>
      <c r="AG22" s="281">
        <v>45</v>
      </c>
      <c r="AH22" s="340">
        <v>0.51439999999999997</v>
      </c>
      <c r="AI22" s="396">
        <v>442.9</v>
      </c>
      <c r="AJ22" s="334">
        <v>2.0171999999999999</v>
      </c>
      <c r="AK22" s="334">
        <v>0.87450000000000006</v>
      </c>
      <c r="AL22" s="334">
        <v>1.7076</v>
      </c>
      <c r="AM22" s="406">
        <v>168.1</v>
      </c>
      <c r="AN22" s="731"/>
      <c r="AO22" s="340">
        <v>0.43497000000000002</v>
      </c>
      <c r="AP22" s="397">
        <v>447.1</v>
      </c>
      <c r="AQ22" s="334">
        <v>2.0156999999999998</v>
      </c>
      <c r="AR22" s="334">
        <v>0.88390000000000002</v>
      </c>
      <c r="AS22" s="401">
        <v>1.107</v>
      </c>
      <c r="AT22" s="397">
        <v>169.2</v>
      </c>
      <c r="AU22" s="240">
        <v>50</v>
      </c>
      <c r="AV22" s="37"/>
      <c r="AW22" s="243">
        <v>55</v>
      </c>
      <c r="AX22" s="409">
        <v>0.37820999999999999</v>
      </c>
      <c r="AY22" s="396">
        <v>451.4</v>
      </c>
      <c r="AZ22" s="415">
        <v>2.0164</v>
      </c>
      <c r="BA22" s="415">
        <v>0.8931</v>
      </c>
      <c r="BB22" s="416">
        <v>1.1063000000000001</v>
      </c>
      <c r="BC22" s="396">
        <v>170.3</v>
      </c>
      <c r="BD22" s="731"/>
      <c r="BE22" s="409">
        <v>0.33046999999999999</v>
      </c>
      <c r="BF22" s="397">
        <v>451.3</v>
      </c>
      <c r="BG22" s="415">
        <v>2.0053000000000001</v>
      </c>
      <c r="BH22" s="334">
        <v>0.89439999999999997</v>
      </c>
      <c r="BI22" s="416">
        <v>1.1071</v>
      </c>
      <c r="BJ22" s="396">
        <v>170.1</v>
      </c>
      <c r="BK22" s="240">
        <v>55</v>
      </c>
      <c r="BL22" s="37"/>
      <c r="BM22" s="243">
        <v>60</v>
      </c>
      <c r="BN22" s="409">
        <v>0.29797000000000001</v>
      </c>
      <c r="BO22" s="396">
        <v>455.7</v>
      </c>
      <c r="BP22" s="415">
        <v>2.0089000000000001</v>
      </c>
      <c r="BQ22" s="415">
        <v>0.90329999999999999</v>
      </c>
      <c r="BR22" s="334">
        <v>1.1063000000000001</v>
      </c>
      <c r="BS22" s="396">
        <v>171.2</v>
      </c>
      <c r="BT22" s="731"/>
      <c r="BU22" s="409">
        <v>0.26788000000000001</v>
      </c>
      <c r="BV22" s="397">
        <v>455.5</v>
      </c>
      <c r="BW22" s="415">
        <v>2.0001000000000002</v>
      </c>
      <c r="BX22" s="334">
        <v>0.90449999999999997</v>
      </c>
      <c r="BY22" s="415">
        <v>1.107</v>
      </c>
      <c r="BZ22" s="397">
        <v>171</v>
      </c>
      <c r="CA22" s="240">
        <v>60</v>
      </c>
      <c r="CB22" s="37"/>
      <c r="CC22" s="243">
        <v>60</v>
      </c>
      <c r="CD22" s="340">
        <v>0.26427</v>
      </c>
      <c r="CE22" s="396">
        <v>455.5</v>
      </c>
      <c r="CF22" s="426">
        <v>1.9988999999999999</v>
      </c>
      <c r="CG22" s="334">
        <v>0.90459999999999996</v>
      </c>
      <c r="CH22" s="426">
        <v>1.1071</v>
      </c>
      <c r="CI22" s="396">
        <v>171</v>
      </c>
      <c r="CJ22" s="731"/>
      <c r="CK22" s="340">
        <v>0.24697</v>
      </c>
      <c r="CL22" s="397">
        <v>459.9</v>
      </c>
      <c r="CM22" s="334">
        <v>2.0055000000000001</v>
      </c>
      <c r="CN22" s="334">
        <v>0.91320000000000001</v>
      </c>
      <c r="CO22" s="334">
        <v>1.1062000000000001</v>
      </c>
      <c r="CP22" s="396">
        <v>172.1</v>
      </c>
      <c r="CQ22" s="240">
        <v>65</v>
      </c>
      <c r="CR22" s="37"/>
      <c r="CS22" s="243">
        <v>65</v>
      </c>
      <c r="CT22" s="440">
        <v>0.22614000000000001</v>
      </c>
      <c r="CU22" s="396">
        <v>459.8</v>
      </c>
      <c r="CV22" s="444">
        <v>1.9982</v>
      </c>
      <c r="CW22" s="334">
        <v>0.9143</v>
      </c>
      <c r="CX22" s="444">
        <v>1.1068</v>
      </c>
      <c r="CY22" s="442">
        <v>172</v>
      </c>
      <c r="CZ22" s="731"/>
      <c r="DA22" s="340">
        <v>0.20846000000000001</v>
      </c>
      <c r="DB22" s="397">
        <v>459.7</v>
      </c>
      <c r="DC22" s="334">
        <v>1.9914000000000001</v>
      </c>
      <c r="DD22" s="334">
        <v>0.91539999999999999</v>
      </c>
      <c r="DE22" s="444">
        <v>1.1074999999999999</v>
      </c>
      <c r="DF22" s="397">
        <v>171.8</v>
      </c>
      <c r="DG22" s="240">
        <v>65</v>
      </c>
      <c r="DH22" s="37"/>
      <c r="DI22" s="243">
        <v>70</v>
      </c>
      <c r="DJ22" s="409">
        <v>0.19635</v>
      </c>
      <c r="DK22" s="396">
        <v>464.2</v>
      </c>
      <c r="DL22" s="417">
        <v>1.9985999999999999</v>
      </c>
      <c r="DM22" s="415">
        <v>0.92379999999999995</v>
      </c>
      <c r="DN22" s="334">
        <v>1.1066</v>
      </c>
      <c r="DO22" s="396">
        <v>172.9</v>
      </c>
      <c r="DP22" s="731"/>
      <c r="DQ22" s="409">
        <v>0.18304999999999999</v>
      </c>
      <c r="DR22" s="397">
        <v>464</v>
      </c>
      <c r="DS22" s="455">
        <v>1.9926999999999999</v>
      </c>
      <c r="DT22" s="415">
        <v>0.92490000000000006</v>
      </c>
      <c r="DU22" s="415">
        <v>1.1072</v>
      </c>
      <c r="DV22" s="396">
        <v>172.8</v>
      </c>
      <c r="DW22" s="240">
        <v>70</v>
      </c>
      <c r="DX22" s="37"/>
      <c r="DY22" s="247">
        <v>70</v>
      </c>
      <c r="DZ22" s="464">
        <v>0.17141000000000001</v>
      </c>
      <c r="EA22" s="467">
        <v>463.9</v>
      </c>
      <c r="EB22" s="470">
        <v>1.9872000000000001</v>
      </c>
      <c r="EC22" s="471">
        <v>0.92589999999999995</v>
      </c>
      <c r="ED22" s="470">
        <v>1.1079000000000001</v>
      </c>
      <c r="EE22" s="465">
        <v>172.6</v>
      </c>
      <c r="EF22" s="731"/>
      <c r="EG22" s="464">
        <v>0.16364000000000001</v>
      </c>
      <c r="EH22" s="478">
        <v>468.4</v>
      </c>
      <c r="EI22" s="471">
        <v>1.9954000000000001</v>
      </c>
      <c r="EJ22" s="459">
        <v>0.93410000000000004</v>
      </c>
      <c r="EK22" s="459">
        <v>1.1069</v>
      </c>
      <c r="EL22" s="478">
        <v>173.7</v>
      </c>
      <c r="EM22" s="248">
        <v>75</v>
      </c>
      <c r="EN22" s="37"/>
      <c r="EO22" s="247">
        <v>75</v>
      </c>
      <c r="EP22" s="474">
        <v>0.15434</v>
      </c>
      <c r="EQ22" s="467">
        <v>468.3</v>
      </c>
      <c r="ER22" s="459">
        <v>1.9904999999999999</v>
      </c>
      <c r="ES22" s="473">
        <v>0.93510000000000004</v>
      </c>
      <c r="ET22" s="459">
        <v>1.1074999999999999</v>
      </c>
      <c r="EU22" s="465">
        <v>173.6</v>
      </c>
      <c r="EV22" s="731"/>
      <c r="EW22" s="474">
        <v>0.14607000000000001</v>
      </c>
      <c r="EX22" s="478">
        <v>468.2</v>
      </c>
      <c r="EY22" s="473">
        <v>1.9859</v>
      </c>
      <c r="EZ22" s="473">
        <v>0.93600000000000005</v>
      </c>
      <c r="FA22" s="459">
        <v>1.1081000000000001</v>
      </c>
      <c r="FB22" s="467">
        <v>173.4</v>
      </c>
      <c r="FC22" s="248">
        <v>75</v>
      </c>
      <c r="FE22" s="243">
        <v>75</v>
      </c>
      <c r="FF22" s="340">
        <v>0.1386</v>
      </c>
      <c r="FG22" s="396">
        <v>468.1</v>
      </c>
      <c r="FH22" s="491">
        <v>1.9814000000000001</v>
      </c>
      <c r="FI22" s="334">
        <v>0.93700000000000006</v>
      </c>
      <c r="FJ22" s="492">
        <v>1.1087</v>
      </c>
      <c r="FK22" s="396">
        <v>173.2</v>
      </c>
      <c r="FL22" s="731"/>
      <c r="FM22" s="340">
        <v>0.13389999999999999</v>
      </c>
      <c r="FN22" s="397">
        <v>472.7</v>
      </c>
      <c r="FO22" s="334">
        <v>1.9905999999999999</v>
      </c>
      <c r="FP22" s="334">
        <v>0.94499999999999995</v>
      </c>
      <c r="FQ22" s="334">
        <v>1.1075999999999999</v>
      </c>
      <c r="FR22" s="397">
        <v>174.4</v>
      </c>
      <c r="FS22" s="240">
        <v>75</v>
      </c>
      <c r="FU22" s="243">
        <v>80</v>
      </c>
      <c r="FV22" s="409">
        <v>0.12765000000000001</v>
      </c>
      <c r="FW22" s="396">
        <v>472.6</v>
      </c>
      <c r="FX22" s="499">
        <v>1.9865999999999999</v>
      </c>
      <c r="FY22" s="415">
        <v>0.94589999999999996</v>
      </c>
      <c r="FZ22" s="491">
        <v>1.1082000000000001</v>
      </c>
      <c r="GA22" s="396">
        <v>174.3</v>
      </c>
      <c r="GB22" s="731"/>
      <c r="GC22" s="409">
        <v>0.12198000000000001</v>
      </c>
      <c r="GD22" s="397">
        <v>472.4</v>
      </c>
      <c r="GE22" s="415">
        <v>1.9826999999999999</v>
      </c>
      <c r="GF22" s="415">
        <v>0.94679999999999997</v>
      </c>
      <c r="GG22" s="415">
        <v>1.1088</v>
      </c>
      <c r="GH22" s="396">
        <v>174.1</v>
      </c>
      <c r="GI22" s="240">
        <v>80</v>
      </c>
      <c r="GK22" s="243">
        <v>80</v>
      </c>
      <c r="GL22" s="409">
        <v>0.11675000000000001</v>
      </c>
      <c r="GM22" s="404">
        <v>472.3</v>
      </c>
      <c r="GN22" s="415">
        <v>1.9790000000000001</v>
      </c>
      <c r="GO22" s="415">
        <v>0.94779999999999998</v>
      </c>
      <c r="GP22" s="334">
        <v>1.1093</v>
      </c>
      <c r="GQ22" s="396">
        <v>173.9</v>
      </c>
      <c r="GR22" s="731"/>
      <c r="GS22" s="409">
        <v>0.11371000000000001</v>
      </c>
      <c r="GT22" s="397">
        <v>477</v>
      </c>
      <c r="GU22" s="241">
        <v>1.9887999999999999</v>
      </c>
      <c r="GV22" s="170">
        <v>0.95540000000000003</v>
      </c>
      <c r="GW22" s="241">
        <v>1.1082000000000001</v>
      </c>
      <c r="GX22" s="397">
        <v>175.1</v>
      </c>
      <c r="GY22" s="240">
        <v>85</v>
      </c>
      <c r="HA22" s="243">
        <v>85</v>
      </c>
      <c r="HB22" s="340">
        <v>0.10921</v>
      </c>
      <c r="HC22" s="396">
        <v>476.8</v>
      </c>
      <c r="HD22" s="334">
        <v>1.9854000000000001</v>
      </c>
      <c r="HE22" s="334">
        <v>0.95630000000000004</v>
      </c>
      <c r="HF22" s="334">
        <v>1.1087</v>
      </c>
      <c r="HG22" s="396">
        <v>175</v>
      </c>
      <c r="HH22" s="731"/>
      <c r="HI22" s="340">
        <v>0.10505</v>
      </c>
      <c r="HJ22" s="397">
        <v>476.7</v>
      </c>
      <c r="HK22" s="334">
        <v>1.9821</v>
      </c>
      <c r="HL22" s="334">
        <v>0.95720000000000005</v>
      </c>
      <c r="HM22" s="334">
        <v>1.1093</v>
      </c>
      <c r="HN22" s="396">
        <v>174.8</v>
      </c>
      <c r="HO22" s="240">
        <v>85</v>
      </c>
      <c r="HQ22" s="243">
        <v>85</v>
      </c>
      <c r="HR22" s="340">
        <v>0.10118000000000001</v>
      </c>
      <c r="HS22" s="396">
        <v>476.6</v>
      </c>
      <c r="HT22" s="491">
        <v>1.9789000000000001</v>
      </c>
      <c r="HU22" s="334">
        <v>0.95809999999999995</v>
      </c>
      <c r="HV22" s="492">
        <v>1.1097999999999999</v>
      </c>
      <c r="HW22" s="396">
        <v>174.7</v>
      </c>
      <c r="HX22" s="731"/>
      <c r="HY22" s="340">
        <v>9.7600000000000006E-2</v>
      </c>
      <c r="HZ22" s="397">
        <v>476.5</v>
      </c>
      <c r="IA22" s="334">
        <v>1.9758</v>
      </c>
      <c r="IB22" s="334">
        <v>0.95899999999999996</v>
      </c>
      <c r="IC22" s="334">
        <v>1.1104000000000001</v>
      </c>
      <c r="ID22" s="397">
        <v>174.5</v>
      </c>
      <c r="IE22" s="240">
        <v>85</v>
      </c>
      <c r="IG22" s="243">
        <v>90</v>
      </c>
      <c r="IH22" s="409">
        <v>9.5710000000000003E-2</v>
      </c>
      <c r="II22" s="396">
        <v>481.2</v>
      </c>
      <c r="IJ22" s="499">
        <v>1.9862</v>
      </c>
      <c r="IK22" s="415">
        <v>0.96640000000000004</v>
      </c>
      <c r="IL22" s="491">
        <v>1.1091</v>
      </c>
      <c r="IM22" s="396">
        <v>175.7</v>
      </c>
      <c r="IN22" s="731"/>
      <c r="IO22" s="409">
        <v>9.2530000000000001E-2</v>
      </c>
      <c r="IP22" s="397">
        <v>481.1</v>
      </c>
      <c r="IQ22" s="415">
        <v>1.9833000000000001</v>
      </c>
      <c r="IR22" s="415">
        <v>0.96719999999999995</v>
      </c>
      <c r="IS22" s="499">
        <v>1.1096999999999999</v>
      </c>
      <c r="IT22" s="396">
        <v>175.6</v>
      </c>
      <c r="IU22" s="240">
        <v>90</v>
      </c>
      <c r="IW22" s="254">
        <v>90</v>
      </c>
      <c r="IX22" s="512">
        <v>8.9529999999999998E-2</v>
      </c>
      <c r="IY22" s="514">
        <v>481</v>
      </c>
      <c r="IZ22" s="523">
        <v>1.9804999999999999</v>
      </c>
      <c r="JA22" s="523">
        <v>0.96809999999999996</v>
      </c>
      <c r="JB22" s="523">
        <v>1.1102000000000001</v>
      </c>
      <c r="JC22" s="526">
        <v>175.4</v>
      </c>
      <c r="JD22" s="731"/>
      <c r="JE22" s="511">
        <v>8.6749999999999994E-2</v>
      </c>
      <c r="JF22" s="528">
        <v>480.9</v>
      </c>
      <c r="JG22" s="522">
        <v>1.9778</v>
      </c>
      <c r="JH22" s="508">
        <v>0.96899999999999997</v>
      </c>
      <c r="JI22" s="523">
        <v>1.1107</v>
      </c>
      <c r="JJ22" s="528">
        <v>175.3</v>
      </c>
      <c r="JK22" s="257">
        <v>90</v>
      </c>
      <c r="JM22" s="254">
        <v>90</v>
      </c>
      <c r="JN22" s="509">
        <v>8.4099999999999994E-2</v>
      </c>
      <c r="JO22" s="658">
        <v>480.8</v>
      </c>
      <c r="JP22" s="508">
        <v>1.9751000000000001</v>
      </c>
      <c r="JQ22" s="508">
        <v>0.9698</v>
      </c>
      <c r="JR22" s="508">
        <v>1.1113</v>
      </c>
      <c r="JS22" s="514">
        <v>175.1</v>
      </c>
      <c r="JT22" s="731"/>
      <c r="JU22" s="537">
        <v>8.2869999999999999E-2</v>
      </c>
      <c r="JV22" s="528">
        <v>485.5</v>
      </c>
      <c r="JW22" s="508">
        <v>1.9858</v>
      </c>
      <c r="JX22" s="536">
        <v>0.97699999999999998</v>
      </c>
      <c r="JY22" s="508">
        <v>1.1099000000000001</v>
      </c>
      <c r="JZ22" s="526">
        <v>176.4</v>
      </c>
      <c r="KA22" s="194">
        <v>95</v>
      </c>
      <c r="KC22" s="176">
        <v>95</v>
      </c>
      <c r="KD22" s="340">
        <v>8.0500000000000002E-2</v>
      </c>
      <c r="KE22" s="396">
        <v>485.4</v>
      </c>
      <c r="KF22" s="170">
        <v>1.9833000000000001</v>
      </c>
      <c r="KG22" s="170">
        <v>0.9778</v>
      </c>
      <c r="KH22" s="170">
        <v>1.1104000000000001</v>
      </c>
      <c r="KI22" s="398">
        <v>176.2</v>
      </c>
      <c r="KJ22" s="731"/>
      <c r="KK22" s="340">
        <v>7.8240000000000004E-2</v>
      </c>
      <c r="KL22" s="542">
        <v>485.3</v>
      </c>
      <c r="KM22" s="334">
        <v>1.9809000000000001</v>
      </c>
      <c r="KN22" s="334">
        <v>0.97860000000000003</v>
      </c>
      <c r="KO22" s="334">
        <v>1.1109</v>
      </c>
      <c r="KP22" s="396">
        <v>176.1</v>
      </c>
      <c r="KQ22" s="260">
        <v>95</v>
      </c>
      <c r="KS22" s="243">
        <v>95</v>
      </c>
      <c r="KT22" s="409">
        <v>7.6109999999999997E-2</v>
      </c>
      <c r="KU22" s="404">
        <v>485.2</v>
      </c>
      <c r="KV22" s="415">
        <v>1.9784999999999999</v>
      </c>
      <c r="KW22" s="546">
        <v>0.97940000000000005</v>
      </c>
      <c r="KX22" s="334">
        <v>1.1114999999999999</v>
      </c>
      <c r="KY22" s="544">
        <v>176</v>
      </c>
      <c r="KZ22" s="731"/>
      <c r="LA22" s="340">
        <v>7.4069999999999997E-2</v>
      </c>
      <c r="LB22" s="542">
        <v>485.1</v>
      </c>
      <c r="LC22" s="415">
        <v>1.9762</v>
      </c>
      <c r="LD22" s="415">
        <v>0.98019999999999996</v>
      </c>
      <c r="LE22" s="415">
        <v>1.1120000000000001</v>
      </c>
      <c r="LF22" s="396">
        <v>175.8</v>
      </c>
      <c r="LG22" s="240">
        <v>95</v>
      </c>
      <c r="LI22" s="264">
        <v>95</v>
      </c>
      <c r="LJ22" s="511">
        <v>7.2150000000000006E-2</v>
      </c>
      <c r="LK22" s="514">
        <v>485</v>
      </c>
      <c r="LL22" s="523">
        <v>1.9739</v>
      </c>
      <c r="LM22" s="522">
        <v>0.98099999999999998</v>
      </c>
      <c r="LN22" s="523">
        <v>1.1125</v>
      </c>
      <c r="LO22" s="526">
        <v>175.7</v>
      </c>
      <c r="LP22" s="731"/>
      <c r="LQ22" s="512">
        <v>6.88E-2</v>
      </c>
      <c r="LR22" s="530">
        <v>489.7</v>
      </c>
      <c r="LS22" s="522">
        <v>1.9817</v>
      </c>
      <c r="LT22" s="508">
        <v>0.98909999999999998</v>
      </c>
      <c r="LU22" s="536">
        <v>1.1117999999999999</v>
      </c>
      <c r="LV22" s="526">
        <v>176.7</v>
      </c>
      <c r="LW22" s="257">
        <v>100</v>
      </c>
      <c r="LY22" s="199">
        <v>100</v>
      </c>
      <c r="LZ22" s="509">
        <v>6.4820000000000003E-2</v>
      </c>
      <c r="MA22" s="514">
        <v>489.4</v>
      </c>
      <c r="MB22" s="508">
        <v>1.9765999999999999</v>
      </c>
      <c r="MC22" s="508">
        <v>0.99099999999999999</v>
      </c>
      <c r="MD22" s="333">
        <v>1.113</v>
      </c>
      <c r="ME22" s="526">
        <v>176.4</v>
      </c>
      <c r="MF22" s="731"/>
      <c r="MG22" s="537">
        <v>6.1260000000000002E-2</v>
      </c>
      <c r="MH22" s="530">
        <v>489.2</v>
      </c>
      <c r="MI22" s="192">
        <v>1.9717</v>
      </c>
      <c r="MJ22" s="192">
        <v>0.99299999999999999</v>
      </c>
      <c r="MK22" s="192">
        <v>1.1143000000000001</v>
      </c>
      <c r="ML22" s="526">
        <v>176</v>
      </c>
      <c r="MM22" s="194">
        <v>100</v>
      </c>
      <c r="MO22" s="290">
        <v>105</v>
      </c>
      <c r="MP22" s="340">
        <v>5.8979999999999998E-2</v>
      </c>
      <c r="MQ22" s="396">
        <v>493.9</v>
      </c>
      <c r="MR22" s="334">
        <v>1.9802999999999999</v>
      </c>
      <c r="MS22" s="334">
        <v>1.0006999999999999</v>
      </c>
      <c r="MT22" s="335">
        <v>1.1133999999999999</v>
      </c>
      <c r="MU22" s="396">
        <v>177.1</v>
      </c>
      <c r="MV22" s="731"/>
      <c r="MW22" s="340">
        <v>5.6030000000000003E-2</v>
      </c>
      <c r="MX22" s="397">
        <v>493.6</v>
      </c>
      <c r="MY22" s="334">
        <v>1.9758</v>
      </c>
      <c r="MZ22" s="335">
        <v>1.0025999999999999</v>
      </c>
      <c r="NA22" s="334">
        <v>1.1147</v>
      </c>
      <c r="NB22" s="397">
        <v>176.8</v>
      </c>
      <c r="NC22" s="260">
        <v>105</v>
      </c>
      <c r="NE22" s="291">
        <v>105</v>
      </c>
      <c r="NF22" s="409">
        <v>5.3359999999999998E-2</v>
      </c>
      <c r="NG22" s="396">
        <v>493.4</v>
      </c>
      <c r="NH22" s="568">
        <v>1.9715</v>
      </c>
      <c r="NI22" s="415">
        <v>1.0044999999999999</v>
      </c>
      <c r="NJ22" s="335">
        <v>1.1158999999999999</v>
      </c>
      <c r="NK22" s="396">
        <v>176.5</v>
      </c>
      <c r="NL22" s="731"/>
      <c r="NM22" s="409">
        <v>5.1720000000000002E-2</v>
      </c>
      <c r="NN22" s="397">
        <v>498.2</v>
      </c>
      <c r="NO22" s="415">
        <v>1.9805999999999999</v>
      </c>
      <c r="NP22" s="335">
        <v>1.0119</v>
      </c>
      <c r="NQ22" s="415">
        <v>1.1149</v>
      </c>
      <c r="NR22" s="396">
        <v>177.6</v>
      </c>
      <c r="NS22" s="240">
        <v>110</v>
      </c>
      <c r="NU22" s="288">
        <v>110</v>
      </c>
      <c r="NV22" s="511">
        <v>4.9450000000000001E-2</v>
      </c>
      <c r="NW22" s="476">
        <v>497.9</v>
      </c>
      <c r="NX22" s="470">
        <v>1.9766999999999999</v>
      </c>
      <c r="NY22" s="470">
        <v>1.0137</v>
      </c>
      <c r="NZ22" s="459">
        <v>1.1161000000000001</v>
      </c>
      <c r="OA22" s="528">
        <v>177.3</v>
      </c>
      <c r="OB22" s="731"/>
      <c r="OC22" s="511">
        <v>4.7379999999999999E-2</v>
      </c>
      <c r="OD22" s="528">
        <v>497.7</v>
      </c>
      <c r="OE22" s="575">
        <v>1.9729000000000001</v>
      </c>
      <c r="OF22" s="536">
        <v>1.0155000000000001</v>
      </c>
      <c r="OG22" s="574">
        <v>1.1173</v>
      </c>
      <c r="OH22" s="476">
        <v>177</v>
      </c>
      <c r="OI22" s="263">
        <v>110</v>
      </c>
      <c r="OK22" s="267">
        <v>110</v>
      </c>
      <c r="OL22" s="537">
        <v>4.5449999999999997E-2</v>
      </c>
      <c r="OM22" s="517">
        <v>497.4</v>
      </c>
      <c r="ON22" s="459">
        <v>1.9693000000000001</v>
      </c>
      <c r="OO22" s="459">
        <v>1.0174000000000001</v>
      </c>
      <c r="OP22" s="459">
        <v>1.1185</v>
      </c>
      <c r="OQ22" s="528">
        <v>176.6</v>
      </c>
      <c r="OR22" s="731"/>
      <c r="OS22" s="537">
        <v>4.437E-2</v>
      </c>
      <c r="OT22" s="528">
        <v>502.3</v>
      </c>
      <c r="OU22" s="459">
        <v>1.9789000000000001</v>
      </c>
      <c r="OV22" s="536">
        <v>1.0243</v>
      </c>
      <c r="OW22" s="536">
        <v>1.1173</v>
      </c>
      <c r="OX22" s="476">
        <v>177.8</v>
      </c>
      <c r="OY22" s="294">
        <v>115</v>
      </c>
      <c r="PA22" s="176">
        <v>115</v>
      </c>
      <c r="PB22" s="340">
        <v>4.2689999999999999E-2</v>
      </c>
      <c r="PC22" s="396">
        <v>502.1</v>
      </c>
      <c r="PD22" s="541">
        <v>1.9755</v>
      </c>
      <c r="PE22" s="541">
        <v>1.0261</v>
      </c>
      <c r="PF22" s="492">
        <v>1.1184000000000001</v>
      </c>
      <c r="PG22" s="396">
        <v>177.5</v>
      </c>
      <c r="PH22" s="731"/>
      <c r="PI22" s="340">
        <v>4.1119999999999997E-2</v>
      </c>
      <c r="PJ22" s="397">
        <v>501.8</v>
      </c>
      <c r="PK22" s="334">
        <v>1.9722</v>
      </c>
      <c r="PL22" s="541">
        <v>1.0279</v>
      </c>
      <c r="PM22" s="334">
        <v>1.1195999999999999</v>
      </c>
      <c r="PN22" s="542">
        <v>177.2</v>
      </c>
      <c r="PO22" s="260">
        <v>115</v>
      </c>
      <c r="PQ22" s="243">
        <v>115</v>
      </c>
      <c r="PR22" s="409">
        <v>3.9660000000000001E-2</v>
      </c>
      <c r="PS22" s="396">
        <v>501.6</v>
      </c>
      <c r="PT22" s="546">
        <v>1.9690000000000001</v>
      </c>
      <c r="PU22" s="415">
        <v>1.0297000000000001</v>
      </c>
      <c r="PV22" s="492">
        <v>1.1208</v>
      </c>
      <c r="PW22" s="396">
        <v>176.9</v>
      </c>
      <c r="PX22" s="731"/>
      <c r="PY22" s="431">
        <v>3.7629999999999997E-2</v>
      </c>
      <c r="PZ22" s="397">
        <v>506.3</v>
      </c>
      <c r="QA22" s="546">
        <v>1.9761</v>
      </c>
      <c r="QB22" s="429">
        <v>1.038</v>
      </c>
      <c r="QC22" s="415">
        <v>1.1205000000000001</v>
      </c>
      <c r="QD22" s="396">
        <v>177.8</v>
      </c>
      <c r="QE22" s="240">
        <v>120</v>
      </c>
      <c r="QG22" s="254">
        <v>120</v>
      </c>
      <c r="QH22" s="512">
        <v>3.526E-2</v>
      </c>
      <c r="QI22" s="514">
        <v>505.8</v>
      </c>
      <c r="QJ22" s="523">
        <v>1.9702999999999999</v>
      </c>
      <c r="QK22" s="523">
        <v>1.0415000000000001</v>
      </c>
      <c r="QL22" s="523">
        <v>1.1229</v>
      </c>
      <c r="QM22" s="526">
        <v>177.2</v>
      </c>
      <c r="QN22" s="731"/>
      <c r="QO22" s="512">
        <v>3.3700000000000001E-2</v>
      </c>
      <c r="QP22" s="532">
        <v>510.6</v>
      </c>
      <c r="QQ22" s="255">
        <v>1.9779</v>
      </c>
      <c r="QR22" s="191">
        <v>1.0494000000000001</v>
      </c>
      <c r="QS22" s="255">
        <v>1.1224000000000001</v>
      </c>
      <c r="QT22" s="527">
        <v>178.2</v>
      </c>
      <c r="QU22" s="257">
        <v>125</v>
      </c>
      <c r="QW22" s="199">
        <v>125</v>
      </c>
      <c r="QX22" s="509">
        <v>3.1800000000000002E-2</v>
      </c>
      <c r="QY22" s="517">
        <v>510.1</v>
      </c>
      <c r="QZ22" s="508">
        <v>1.9726999999999999</v>
      </c>
      <c r="RA22" s="508">
        <v>1.0528</v>
      </c>
      <c r="RB22" s="590">
        <v>1.1247</v>
      </c>
      <c r="RC22" s="526">
        <v>177.6</v>
      </c>
      <c r="RD22" s="731"/>
      <c r="RE22" s="537">
        <v>3.0079999999999999E-2</v>
      </c>
      <c r="RF22" s="528">
        <v>509.7</v>
      </c>
      <c r="RG22" s="536">
        <v>1.9676</v>
      </c>
      <c r="RH22" s="590">
        <v>1.0563</v>
      </c>
      <c r="RI22" s="536">
        <v>1.127</v>
      </c>
      <c r="RJ22" s="514">
        <v>177</v>
      </c>
      <c r="RK22" s="194">
        <v>125</v>
      </c>
      <c r="RM22" s="270">
        <v>130</v>
      </c>
      <c r="RN22" s="340">
        <v>2.758E-2</v>
      </c>
      <c r="RO22" s="396">
        <v>514.1</v>
      </c>
      <c r="RP22" s="491">
        <v>1.9715</v>
      </c>
      <c r="RQ22" s="491">
        <v>1.0669999999999999</v>
      </c>
      <c r="RR22" s="492">
        <v>1.1285000000000001</v>
      </c>
      <c r="RS22" s="396">
        <v>177.5</v>
      </c>
      <c r="RT22" s="731"/>
      <c r="RU22" s="340">
        <v>2.5499999999999998E-2</v>
      </c>
      <c r="RV22" s="397">
        <v>518.5</v>
      </c>
      <c r="RW22" s="334">
        <v>1.976</v>
      </c>
      <c r="RX22" s="492">
        <v>1.0772999999999999</v>
      </c>
      <c r="RY22" s="334">
        <v>1.1297999999999999</v>
      </c>
      <c r="RZ22" s="488">
        <v>178</v>
      </c>
      <c r="SA22" s="260">
        <v>135</v>
      </c>
      <c r="SC22" s="268">
        <v>135</v>
      </c>
      <c r="SD22" s="409">
        <v>2.3359999999999999E-2</v>
      </c>
      <c r="SE22" s="396">
        <v>517.70000000000005</v>
      </c>
      <c r="SF22" s="499">
        <v>1.9678</v>
      </c>
      <c r="SG22" s="415">
        <v>1.0839000000000001</v>
      </c>
      <c r="SH22" s="500">
        <v>1.1343000000000001</v>
      </c>
      <c r="SI22" s="396">
        <v>177</v>
      </c>
      <c r="SJ22" s="731"/>
      <c r="SK22" s="409">
        <v>2.189E-2</v>
      </c>
      <c r="SL22" s="176">
        <v>522.20000000000005</v>
      </c>
      <c r="SM22" s="415">
        <v>1.9734</v>
      </c>
      <c r="SN22" s="500">
        <v>1.0934999999999999</v>
      </c>
      <c r="SO22" s="415">
        <v>1.1352</v>
      </c>
      <c r="SP22" s="190">
        <v>177.6</v>
      </c>
      <c r="SQ22" s="240">
        <v>140</v>
      </c>
      <c r="SS22" s="243">
        <v>145</v>
      </c>
      <c r="ST22" s="409">
        <v>2.0629999999999999E-2</v>
      </c>
      <c r="SU22" s="170">
        <v>526.9</v>
      </c>
      <c r="SV22" s="415">
        <v>1.9795</v>
      </c>
      <c r="SW22" s="415">
        <v>1.1027</v>
      </c>
      <c r="SX22" s="415">
        <v>1.1359999999999999</v>
      </c>
      <c r="SY22" s="190">
        <v>178.3</v>
      </c>
      <c r="SZ22" s="731"/>
      <c r="TA22" s="497">
        <v>1.9210000000000001E-2</v>
      </c>
      <c r="TB22" s="451">
        <v>526</v>
      </c>
      <c r="TC22" s="417">
        <v>1.9728000000000001</v>
      </c>
      <c r="TD22" s="491">
        <v>1.109</v>
      </c>
      <c r="TE22" s="491">
        <v>1.1403000000000001</v>
      </c>
      <c r="TF22" s="397">
        <v>177.3</v>
      </c>
      <c r="TG22" s="287">
        <v>145</v>
      </c>
      <c r="TI22" s="270">
        <v>150</v>
      </c>
      <c r="TJ22" s="340">
        <v>1.8259999999999998E-2</v>
      </c>
      <c r="TK22" s="396">
        <v>530.79999999999995</v>
      </c>
      <c r="TL22" s="491">
        <v>1.9796</v>
      </c>
      <c r="TM22" s="491">
        <v>1.1175999999999999</v>
      </c>
      <c r="TN22" s="491">
        <v>1.1407</v>
      </c>
      <c r="TO22" s="489">
        <v>178.1</v>
      </c>
      <c r="TP22" s="731"/>
      <c r="TQ22" s="340">
        <v>1.7129999999999999E-2</v>
      </c>
      <c r="TR22" s="397">
        <v>530</v>
      </c>
      <c r="TS22" s="334">
        <v>1.9734</v>
      </c>
      <c r="TT22" s="491">
        <v>1.1238999999999999</v>
      </c>
      <c r="TU22" s="334">
        <v>1.145</v>
      </c>
      <c r="TV22" s="396">
        <v>177.1</v>
      </c>
      <c r="TW22" s="260">
        <v>150</v>
      </c>
      <c r="TY22" s="270">
        <v>155</v>
      </c>
      <c r="TZ22" s="474">
        <v>1.6400000000000001E-2</v>
      </c>
      <c r="UA22" s="467">
        <v>534.79999999999995</v>
      </c>
      <c r="UB22" s="491">
        <v>1.9807999999999999</v>
      </c>
      <c r="UC22" s="491">
        <v>1.1318999999999999</v>
      </c>
      <c r="UD22" s="610">
        <v>1.145</v>
      </c>
      <c r="UE22" s="467">
        <v>178</v>
      </c>
      <c r="UF22" s="749"/>
      <c r="UG22" s="490">
        <v>1.5469999999999999E-2</v>
      </c>
      <c r="UH22" s="478">
        <v>534</v>
      </c>
      <c r="UI22" s="473">
        <v>1.9752000000000001</v>
      </c>
      <c r="UJ22" s="610">
        <v>1.1379999999999999</v>
      </c>
      <c r="UK22" s="473">
        <v>1.1493</v>
      </c>
      <c r="UL22" s="488">
        <v>177.1</v>
      </c>
      <c r="UM22" s="310">
        <v>155</v>
      </c>
      <c r="UO22" s="268">
        <v>160</v>
      </c>
      <c r="UP22" s="464">
        <v>1.413E-2</v>
      </c>
      <c r="UQ22" s="467">
        <v>538.1</v>
      </c>
      <c r="UR22" s="499">
        <v>1.9779</v>
      </c>
      <c r="US22" s="499">
        <v>1.1515</v>
      </c>
      <c r="UT22" s="610">
        <v>1.1532</v>
      </c>
      <c r="UU22" s="489">
        <v>177.1</v>
      </c>
      <c r="UV22" s="749"/>
      <c r="UW22" s="464">
        <v>1.303E-2</v>
      </c>
      <c r="UX22" s="478">
        <v>542.29999999999995</v>
      </c>
      <c r="UY22" s="471">
        <v>1.9814000000000001</v>
      </c>
      <c r="UZ22" s="499">
        <v>1.1641999999999999</v>
      </c>
      <c r="VA22" s="471">
        <v>1.1567000000000001</v>
      </c>
      <c r="VB22" s="489">
        <v>177.3</v>
      </c>
      <c r="VC22" s="248">
        <v>165</v>
      </c>
      <c r="VE22" s="264">
        <v>165</v>
      </c>
      <c r="VF22" s="512">
        <v>1.187E-2</v>
      </c>
      <c r="VG22" s="514">
        <v>540.79999999999995</v>
      </c>
      <c r="VH22" s="523">
        <v>1.9722</v>
      </c>
      <c r="VI22" s="523">
        <v>1.1765000000000001</v>
      </c>
      <c r="VJ22" s="339">
        <v>1.1653</v>
      </c>
      <c r="VK22" s="527">
        <v>175.7</v>
      </c>
      <c r="VL22" s="749"/>
      <c r="VM22" s="512">
        <v>1.11E-2</v>
      </c>
      <c r="VN22" s="532">
        <v>545.1</v>
      </c>
      <c r="VO22" s="522">
        <v>1.9769000000000001</v>
      </c>
      <c r="VP22" s="508">
        <v>1.1881999999999999</v>
      </c>
      <c r="VQ22" s="523">
        <v>1.1680999999999999</v>
      </c>
      <c r="VR22" s="526">
        <v>176.1</v>
      </c>
      <c r="VS22" s="265">
        <v>170</v>
      </c>
      <c r="VU22" s="199">
        <v>175</v>
      </c>
      <c r="VV22" s="509">
        <v>1.043E-2</v>
      </c>
      <c r="VW22" s="514">
        <v>549.6</v>
      </c>
      <c r="VX22" s="508">
        <v>1.982</v>
      </c>
      <c r="VY22" s="508">
        <v>1.1992</v>
      </c>
      <c r="VZ22" s="391">
        <v>1.1705000000000001</v>
      </c>
      <c r="WA22" s="377">
        <v>176.6</v>
      </c>
      <c r="WB22" s="749"/>
      <c r="WC22" s="537">
        <v>9.6699999999999998E-3</v>
      </c>
      <c r="WD22" s="528">
        <v>548.1</v>
      </c>
      <c r="WE22" s="536">
        <v>1.9742</v>
      </c>
      <c r="WF22" s="391">
        <v>1.2113</v>
      </c>
      <c r="WG22" s="536">
        <v>1.179</v>
      </c>
      <c r="WH22" s="514">
        <v>175.1</v>
      </c>
      <c r="WI22" s="194">
        <v>175</v>
      </c>
      <c r="WK22" s="199">
        <v>180</v>
      </c>
      <c r="WL22" s="509">
        <v>9.1699999999999993E-3</v>
      </c>
      <c r="WM22" s="514">
        <v>552.70000000000005</v>
      </c>
      <c r="WN22" s="508">
        <v>1.9802</v>
      </c>
      <c r="WO22" s="508">
        <v>1.2211000000000001</v>
      </c>
      <c r="WP22" s="492">
        <v>1.1806000000000001</v>
      </c>
      <c r="WQ22" s="514">
        <v>175.8</v>
      </c>
      <c r="WR22" s="749"/>
      <c r="WS22" s="537">
        <v>8.7399999999999995E-3</v>
      </c>
      <c r="WT22" s="528">
        <v>557.4</v>
      </c>
      <c r="WU22" s="536">
        <v>1.9865999999999999</v>
      </c>
      <c r="WV22" s="492">
        <v>1.2302999999999999</v>
      </c>
      <c r="WW22" s="536">
        <v>1.1818</v>
      </c>
      <c r="WX22" s="530">
        <v>176.6</v>
      </c>
      <c r="WY22" s="194">
        <v>185</v>
      </c>
      <c r="WZ22" s="400"/>
      <c r="XA22" s="264">
        <v>185</v>
      </c>
      <c r="XB22" s="512">
        <v>8.1899999999999994E-3</v>
      </c>
      <c r="XC22" s="514">
        <v>555.9</v>
      </c>
      <c r="XD22" s="523">
        <v>1.9798</v>
      </c>
      <c r="XE22" s="523">
        <v>1.2419</v>
      </c>
      <c r="XF22" s="492">
        <v>1.19</v>
      </c>
      <c r="XG22" s="514">
        <v>175.3</v>
      </c>
      <c r="XH22" s="749"/>
      <c r="XI22" s="512">
        <v>7.8600000000000007E-3</v>
      </c>
      <c r="XJ22" s="528">
        <v>560.79999999999995</v>
      </c>
      <c r="XK22" s="522">
        <v>1.9866999999999999</v>
      </c>
      <c r="XL22" s="500">
        <v>1.2499</v>
      </c>
      <c r="XM22" s="522">
        <v>1.1903999999999999</v>
      </c>
      <c r="XN22" s="526">
        <v>176.3</v>
      </c>
      <c r="XO22" s="257">
        <v>190</v>
      </c>
      <c r="XP22" s="177"/>
    </row>
    <row r="23" spans="1:640" ht="15.75" thickBot="1" x14ac:dyDescent="0.3">
      <c r="A23" s="282">
        <v>25</v>
      </c>
      <c r="B23" s="365">
        <v>2.4271799999999999</v>
      </c>
      <c r="C23" s="368">
        <v>426.5</v>
      </c>
      <c r="D23" s="360">
        <v>2.0943999999999998</v>
      </c>
      <c r="E23" s="360">
        <v>0.83450000000000002</v>
      </c>
      <c r="F23" s="360">
        <v>1.1094999999999999</v>
      </c>
      <c r="G23" s="172">
        <v>163.9</v>
      </c>
      <c r="H23" s="266"/>
      <c r="I23" s="365">
        <v>1.25156</v>
      </c>
      <c r="J23" s="374">
        <v>434.7</v>
      </c>
      <c r="K23" s="360">
        <v>2.0653000000000001</v>
      </c>
      <c r="L23" s="358">
        <v>0.85340000000000005</v>
      </c>
      <c r="M23" s="360">
        <v>1.1077999999999999</v>
      </c>
      <c r="N23" s="368">
        <v>166.2</v>
      </c>
      <c r="O23" s="382">
        <v>35</v>
      </c>
      <c r="P23" s="238"/>
      <c r="Q23" s="282">
        <v>45</v>
      </c>
      <c r="R23" s="363">
        <v>0.85985</v>
      </c>
      <c r="S23" s="564">
        <v>443.2</v>
      </c>
      <c r="T23" s="358">
        <v>2.0594999999999999</v>
      </c>
      <c r="U23" s="358">
        <v>0.87170000000000003</v>
      </c>
      <c r="V23" s="358">
        <v>1.1060000000000001</v>
      </c>
      <c r="W23" s="368">
        <v>168.5</v>
      </c>
      <c r="X23" s="266"/>
      <c r="Y23" s="363">
        <v>0.65444999999999998</v>
      </c>
      <c r="Z23" s="374">
        <v>447.4</v>
      </c>
      <c r="AA23" s="358">
        <v>2.0493999999999999</v>
      </c>
      <c r="AB23" s="358">
        <v>0.88129999999999997</v>
      </c>
      <c r="AC23" s="358">
        <v>1.1054999999999999</v>
      </c>
      <c r="AD23" s="368">
        <v>169.6</v>
      </c>
      <c r="AE23" s="237">
        <v>50</v>
      </c>
      <c r="AF23" s="37"/>
      <c r="AG23" s="243">
        <v>50</v>
      </c>
      <c r="AH23" s="393">
        <v>0.52273999999999998</v>
      </c>
      <c r="AI23" s="396">
        <v>447.3</v>
      </c>
      <c r="AJ23" s="334">
        <v>2.0308999999999999</v>
      </c>
      <c r="AK23" s="334">
        <v>0.88260000000000005</v>
      </c>
      <c r="AL23" s="401">
        <v>1.1062000000000001</v>
      </c>
      <c r="AM23" s="406">
        <v>169.4</v>
      </c>
      <c r="AN23" s="731"/>
      <c r="AO23" s="340">
        <v>0.44189000000000001</v>
      </c>
      <c r="AP23" s="397">
        <v>451.6</v>
      </c>
      <c r="AQ23" s="334">
        <v>2.0293000000000001</v>
      </c>
      <c r="AR23" s="334">
        <v>0.89190000000000003</v>
      </c>
      <c r="AS23" s="401">
        <v>1.1055999999999999</v>
      </c>
      <c r="AT23" s="397">
        <v>170.5</v>
      </c>
      <c r="AU23" s="240">
        <v>55</v>
      </c>
      <c r="AV23" s="37"/>
      <c r="AW23" s="243">
        <v>60</v>
      </c>
      <c r="AX23" s="409">
        <v>0.38477</v>
      </c>
      <c r="AY23" s="396">
        <v>455.9</v>
      </c>
      <c r="AZ23" s="415">
        <v>2.0299999999999998</v>
      </c>
      <c r="BA23" s="415">
        <v>0.90100000000000002</v>
      </c>
      <c r="BB23" s="416">
        <v>1.105</v>
      </c>
      <c r="BC23" s="396">
        <v>171.6</v>
      </c>
      <c r="BD23" s="731"/>
      <c r="BE23" s="409">
        <v>0.33567999999999998</v>
      </c>
      <c r="BF23" s="397">
        <v>455.8</v>
      </c>
      <c r="BG23" s="415">
        <v>2.0188000000000001</v>
      </c>
      <c r="BH23" s="334">
        <v>0.9022</v>
      </c>
      <c r="BI23" s="416">
        <v>1.1055999999999999</v>
      </c>
      <c r="BJ23" s="396">
        <v>171.4</v>
      </c>
      <c r="BK23" s="240">
        <v>60</v>
      </c>
      <c r="BL23" s="37"/>
      <c r="BM23" s="243">
        <v>65</v>
      </c>
      <c r="BN23" s="409">
        <v>0.30265999999999998</v>
      </c>
      <c r="BO23" s="396">
        <v>460.2</v>
      </c>
      <c r="BP23" s="415">
        <v>2.0225</v>
      </c>
      <c r="BQ23" s="415">
        <v>0.91100000000000003</v>
      </c>
      <c r="BR23" s="426">
        <v>1.1049</v>
      </c>
      <c r="BS23" s="396">
        <v>172.5</v>
      </c>
      <c r="BT23" s="731"/>
      <c r="BU23" s="409">
        <v>0.27202999999999999</v>
      </c>
      <c r="BV23" s="397">
        <v>460.1</v>
      </c>
      <c r="BW23" s="415">
        <v>2.0135999999999998</v>
      </c>
      <c r="BX23" s="334">
        <v>0.91210000000000002</v>
      </c>
      <c r="BY23" s="415">
        <v>1.1054999999999999</v>
      </c>
      <c r="BZ23" s="397">
        <v>172.3</v>
      </c>
      <c r="CA23" s="240">
        <v>65</v>
      </c>
      <c r="CB23" s="37"/>
      <c r="CC23" s="243">
        <v>65</v>
      </c>
      <c r="CD23" s="340">
        <v>0.26845999999999998</v>
      </c>
      <c r="CE23" s="396">
        <v>460.1</v>
      </c>
      <c r="CF23" s="334">
        <v>2.0125000000000002</v>
      </c>
      <c r="CG23" s="334">
        <v>0.9123</v>
      </c>
      <c r="CH23" s="334">
        <v>1.1055999999999999</v>
      </c>
      <c r="CI23" s="396">
        <v>172.3</v>
      </c>
      <c r="CJ23" s="731"/>
      <c r="CK23" s="340">
        <v>0.25087999999999999</v>
      </c>
      <c r="CL23" s="397">
        <v>464.5</v>
      </c>
      <c r="CM23" s="334">
        <v>2.0190000000000001</v>
      </c>
      <c r="CN23" s="334">
        <v>0.92079999999999995</v>
      </c>
      <c r="CO23" s="334">
        <v>1.1048</v>
      </c>
      <c r="CP23" s="396">
        <v>173.4</v>
      </c>
      <c r="CQ23" s="240">
        <v>70</v>
      </c>
      <c r="CR23" s="37"/>
      <c r="CS23" s="243">
        <v>70</v>
      </c>
      <c r="CT23" s="340">
        <v>0.22967000000000001</v>
      </c>
      <c r="CU23" s="398">
        <v>464.4</v>
      </c>
      <c r="CV23" s="334">
        <v>2.0116999999999998</v>
      </c>
      <c r="CW23" s="334">
        <v>0.92179999999999995</v>
      </c>
      <c r="CX23" s="334">
        <v>1.1053999999999999</v>
      </c>
      <c r="CY23" s="449">
        <v>173.3</v>
      </c>
      <c r="CZ23" s="731"/>
      <c r="DA23" s="340">
        <v>0.21173</v>
      </c>
      <c r="DB23" s="397">
        <v>464.3</v>
      </c>
      <c r="DC23" s="334">
        <v>2.0049000000000001</v>
      </c>
      <c r="DD23" s="334">
        <v>0.92279999999999995</v>
      </c>
      <c r="DE23" s="334">
        <v>1.1060000000000001</v>
      </c>
      <c r="DF23" s="397">
        <v>173.1</v>
      </c>
      <c r="DG23" s="240">
        <v>70</v>
      </c>
      <c r="DH23" s="37"/>
      <c r="DI23" s="243">
        <v>75</v>
      </c>
      <c r="DJ23" s="409">
        <v>0.19936000000000001</v>
      </c>
      <c r="DK23" s="396">
        <v>468.8</v>
      </c>
      <c r="DL23" s="415">
        <v>2.012</v>
      </c>
      <c r="DM23" s="415">
        <v>0.93120000000000003</v>
      </c>
      <c r="DN23" s="444">
        <v>1.1051</v>
      </c>
      <c r="DO23" s="396">
        <v>174.2</v>
      </c>
      <c r="DP23" s="731"/>
      <c r="DQ23" s="409">
        <v>0.18587000000000001</v>
      </c>
      <c r="DR23" s="397">
        <v>468.7</v>
      </c>
      <c r="DS23" s="415">
        <v>2.0061</v>
      </c>
      <c r="DT23" s="415">
        <v>0.93220000000000003</v>
      </c>
      <c r="DU23" s="455">
        <v>1.1056999999999999</v>
      </c>
      <c r="DV23" s="396">
        <v>174.1</v>
      </c>
      <c r="DW23" s="240">
        <v>75</v>
      </c>
      <c r="DX23" s="37"/>
      <c r="DY23" s="247">
        <v>75</v>
      </c>
      <c r="DZ23" s="463">
        <v>0.17405999999999999</v>
      </c>
      <c r="EA23" s="467">
        <v>468.6</v>
      </c>
      <c r="EB23" s="471">
        <v>2.0005999999999999</v>
      </c>
      <c r="EC23" s="470">
        <v>0.93310000000000004</v>
      </c>
      <c r="ED23" s="470">
        <v>1.1063000000000001</v>
      </c>
      <c r="EE23" s="467">
        <v>173.9</v>
      </c>
      <c r="EF23" s="731"/>
      <c r="EG23" s="464">
        <v>0.16617000000000001</v>
      </c>
      <c r="EH23" s="478">
        <v>473.1</v>
      </c>
      <c r="EI23" s="471">
        <v>2.0087999999999999</v>
      </c>
      <c r="EJ23" s="473">
        <v>0.94130000000000003</v>
      </c>
      <c r="EK23" s="459">
        <v>1.1053999999999999</v>
      </c>
      <c r="EL23" s="478">
        <v>175</v>
      </c>
      <c r="EM23" s="248">
        <v>80</v>
      </c>
      <c r="EN23" s="37"/>
      <c r="EO23" s="247">
        <v>80</v>
      </c>
      <c r="EP23" s="474">
        <v>0.15673999999999999</v>
      </c>
      <c r="EQ23" s="467">
        <v>473</v>
      </c>
      <c r="ER23" s="473">
        <v>2.0038999999999998</v>
      </c>
      <c r="ES23" s="473">
        <v>0.94220000000000004</v>
      </c>
      <c r="ET23" s="459">
        <v>1.1059000000000001</v>
      </c>
      <c r="EU23" s="467">
        <v>174.9</v>
      </c>
      <c r="EV23" s="731"/>
      <c r="EW23" s="474">
        <v>0.14832000000000001</v>
      </c>
      <c r="EX23" s="478">
        <v>472.9</v>
      </c>
      <c r="EY23" s="473">
        <v>1.9993000000000001</v>
      </c>
      <c r="EZ23" s="473">
        <v>0.94310000000000005</v>
      </c>
      <c r="FA23" s="459">
        <v>1.1065</v>
      </c>
      <c r="FB23" s="467">
        <v>174.7</v>
      </c>
      <c r="FC23" s="248">
        <v>80</v>
      </c>
      <c r="FD23" s="37"/>
      <c r="FE23" s="243">
        <v>80</v>
      </c>
      <c r="FF23" s="340">
        <v>0.14074999999999999</v>
      </c>
      <c r="FG23" s="396">
        <v>472.8</v>
      </c>
      <c r="FH23" s="334">
        <v>1.9947999999999999</v>
      </c>
      <c r="FI23" s="334">
        <v>0.94399999999999995</v>
      </c>
      <c r="FJ23" s="492">
        <v>1.107</v>
      </c>
      <c r="FK23" s="396">
        <v>174.6</v>
      </c>
      <c r="FL23" s="731"/>
      <c r="FM23" s="340">
        <v>0.13596</v>
      </c>
      <c r="FN23" s="397">
        <v>477.4</v>
      </c>
      <c r="FO23" s="334">
        <v>2.004</v>
      </c>
      <c r="FP23" s="334">
        <v>0.95189999999999997</v>
      </c>
      <c r="FQ23" s="334">
        <v>1.1060000000000001</v>
      </c>
      <c r="FR23" s="397">
        <v>175.7</v>
      </c>
      <c r="FS23" s="240">
        <v>80</v>
      </c>
      <c r="FU23" s="243">
        <v>85</v>
      </c>
      <c r="FV23" s="409">
        <v>0.12962000000000001</v>
      </c>
      <c r="FW23" s="396">
        <v>477.3</v>
      </c>
      <c r="FX23" s="499">
        <v>1.9999</v>
      </c>
      <c r="FY23" s="415">
        <v>0.95279999999999998</v>
      </c>
      <c r="FZ23" s="491">
        <v>1.1066</v>
      </c>
      <c r="GA23" s="396">
        <v>175.6</v>
      </c>
      <c r="GB23" s="731"/>
      <c r="GC23" s="409">
        <v>0.12386999999999999</v>
      </c>
      <c r="GD23" s="397">
        <v>477.2</v>
      </c>
      <c r="GE23" s="415">
        <v>1.9961</v>
      </c>
      <c r="GF23" s="415">
        <v>0.95369999999999999</v>
      </c>
      <c r="GG23" s="415">
        <v>1.1071</v>
      </c>
      <c r="GH23" s="396">
        <v>175.4</v>
      </c>
      <c r="GI23" s="240">
        <v>85</v>
      </c>
      <c r="GK23" s="243">
        <v>85</v>
      </c>
      <c r="GL23" s="409">
        <v>0.11856999999999999</v>
      </c>
      <c r="GM23" s="404">
        <v>477.1</v>
      </c>
      <c r="GN23" s="415">
        <v>1.9923999999999999</v>
      </c>
      <c r="GO23" s="415">
        <v>0.9546</v>
      </c>
      <c r="GP23" s="334">
        <v>1.1075999999999999</v>
      </c>
      <c r="GQ23" s="396">
        <v>175.3</v>
      </c>
      <c r="GR23" s="731"/>
      <c r="GS23" s="409">
        <v>0.11545</v>
      </c>
      <c r="GT23" s="397">
        <v>481.8</v>
      </c>
      <c r="GU23" s="241">
        <v>2.0021</v>
      </c>
      <c r="GV23" s="170">
        <v>0.96220000000000006</v>
      </c>
      <c r="GW23" s="241">
        <v>1.1065</v>
      </c>
      <c r="GX23" s="397">
        <v>176.5</v>
      </c>
      <c r="GY23" s="240">
        <v>90</v>
      </c>
      <c r="HA23" s="243">
        <v>90</v>
      </c>
      <c r="HB23" s="340">
        <v>0.11089</v>
      </c>
      <c r="HC23" s="396">
        <v>481.6</v>
      </c>
      <c r="HD23" s="334">
        <v>1.9986999999999999</v>
      </c>
      <c r="HE23" s="334">
        <v>0.96299999999999997</v>
      </c>
      <c r="HF23" s="334">
        <v>1.1071</v>
      </c>
      <c r="HG23" s="396">
        <v>176.3</v>
      </c>
      <c r="HH23" s="731"/>
      <c r="HI23" s="340">
        <v>0.10668</v>
      </c>
      <c r="HJ23" s="397">
        <v>481.5</v>
      </c>
      <c r="HK23" s="334">
        <v>1.9954000000000001</v>
      </c>
      <c r="HL23" s="334">
        <v>0.96389999999999998</v>
      </c>
      <c r="HM23" s="334">
        <v>1.1075999999999999</v>
      </c>
      <c r="HN23" s="396">
        <v>176.2</v>
      </c>
      <c r="HO23" s="240">
        <v>90</v>
      </c>
      <c r="HQ23" s="243">
        <v>90</v>
      </c>
      <c r="HR23" s="340">
        <v>0.10274999999999999</v>
      </c>
      <c r="HS23" s="396">
        <v>481.4</v>
      </c>
      <c r="HT23" s="491">
        <v>1.9922</v>
      </c>
      <c r="HU23" s="334">
        <v>0.9647</v>
      </c>
      <c r="HV23" s="491">
        <v>1.1081000000000001</v>
      </c>
      <c r="HW23" s="396">
        <v>176</v>
      </c>
      <c r="HX23" s="731"/>
      <c r="HY23" s="340">
        <v>9.9110000000000004E-2</v>
      </c>
      <c r="HZ23" s="397">
        <v>481.3</v>
      </c>
      <c r="IA23" s="334">
        <v>1.9892000000000001</v>
      </c>
      <c r="IB23" s="334">
        <v>0.96560000000000001</v>
      </c>
      <c r="IC23" s="491">
        <v>1.1086</v>
      </c>
      <c r="ID23" s="397">
        <v>175.9</v>
      </c>
      <c r="IE23" s="240">
        <v>90</v>
      </c>
      <c r="IG23" s="243">
        <v>95</v>
      </c>
      <c r="IH23" s="409">
        <v>9.7180000000000002E-2</v>
      </c>
      <c r="II23" s="396">
        <v>486.1</v>
      </c>
      <c r="IJ23" s="429">
        <v>1.9994000000000001</v>
      </c>
      <c r="IK23" s="415">
        <v>0.97299999999999998</v>
      </c>
      <c r="IL23" s="334">
        <v>1.1073999999999999</v>
      </c>
      <c r="IM23" s="396">
        <v>177.1</v>
      </c>
      <c r="IN23" s="731"/>
      <c r="IO23" s="409">
        <v>9.3950000000000006E-2</v>
      </c>
      <c r="IP23" s="397">
        <v>486</v>
      </c>
      <c r="IQ23" s="500">
        <v>1.9965999999999999</v>
      </c>
      <c r="IR23" s="415">
        <v>0.97370000000000001</v>
      </c>
      <c r="IS23" s="415">
        <v>1.1079000000000001</v>
      </c>
      <c r="IT23" s="396">
        <v>176.9</v>
      </c>
      <c r="IU23" s="240">
        <v>95</v>
      </c>
      <c r="IW23" s="254">
        <v>95</v>
      </c>
      <c r="IX23" s="511">
        <v>9.0920000000000001E-2</v>
      </c>
      <c r="IY23" s="514">
        <v>485.9</v>
      </c>
      <c r="IZ23" s="523">
        <v>1.9938</v>
      </c>
      <c r="JA23" s="522">
        <v>0.97450000000000003</v>
      </c>
      <c r="JB23" s="523">
        <v>1.1084000000000001</v>
      </c>
      <c r="JC23" s="514">
        <v>176.8</v>
      </c>
      <c r="JD23" s="731"/>
      <c r="JE23" s="511">
        <v>8.8069999999999996E-2</v>
      </c>
      <c r="JF23" s="530">
        <v>485.7</v>
      </c>
      <c r="JG23" s="523">
        <v>1.9910000000000001</v>
      </c>
      <c r="JH23" s="536">
        <v>0.97529999999999994</v>
      </c>
      <c r="JI23" s="523">
        <v>1.1089</v>
      </c>
      <c r="JJ23" s="530">
        <v>176.7</v>
      </c>
      <c r="JK23" s="265">
        <v>95</v>
      </c>
      <c r="JM23" s="264">
        <v>95</v>
      </c>
      <c r="JN23" s="537">
        <v>8.5400000000000004E-2</v>
      </c>
      <c r="JO23" s="658">
        <v>485.6</v>
      </c>
      <c r="JP23" s="508">
        <v>1.9883999999999999</v>
      </c>
      <c r="JQ23" s="536">
        <v>0.97609999999999997</v>
      </c>
      <c r="JR23" s="536">
        <v>1.1093999999999999</v>
      </c>
      <c r="JS23" s="526">
        <v>176.5</v>
      </c>
      <c r="JT23" s="731"/>
      <c r="JU23" s="537">
        <v>8.4140000000000006E-2</v>
      </c>
      <c r="JV23" s="530">
        <v>490.4</v>
      </c>
      <c r="JW23" s="536">
        <v>1.9991000000000001</v>
      </c>
      <c r="JX23" s="536">
        <v>0.98329999999999995</v>
      </c>
      <c r="JY23" s="536">
        <v>1.1081000000000001</v>
      </c>
      <c r="JZ23" s="526">
        <v>177.7</v>
      </c>
      <c r="KA23" s="194">
        <v>100</v>
      </c>
      <c r="KC23" s="267">
        <v>100</v>
      </c>
      <c r="KD23" s="340">
        <v>8.1729999999999997E-2</v>
      </c>
      <c r="KE23" s="540">
        <v>490.3</v>
      </c>
      <c r="KF23" s="252">
        <v>1.9965999999999999</v>
      </c>
      <c r="KG23" s="170">
        <v>0.98409999999999997</v>
      </c>
      <c r="KH23" s="196">
        <v>1.1086</v>
      </c>
      <c r="KI23" s="396">
        <v>177.6</v>
      </c>
      <c r="KJ23" s="731"/>
      <c r="KK23" s="340">
        <v>7.9450000000000007E-2</v>
      </c>
      <c r="KL23" s="397">
        <v>490.2</v>
      </c>
      <c r="KM23" s="334">
        <v>1.9941</v>
      </c>
      <c r="KN23" s="334">
        <v>0.98480000000000001</v>
      </c>
      <c r="KO23" s="541">
        <v>1.1091</v>
      </c>
      <c r="KP23" s="396">
        <v>177.5</v>
      </c>
      <c r="KQ23" s="177">
        <v>100</v>
      </c>
      <c r="KS23" s="288">
        <v>100</v>
      </c>
      <c r="KT23" s="409">
        <v>7.7289999999999998E-2</v>
      </c>
      <c r="KU23" s="543">
        <v>490.1</v>
      </c>
      <c r="KV23" s="387">
        <v>1.9918</v>
      </c>
      <c r="KW23" s="415">
        <v>0.98560000000000003</v>
      </c>
      <c r="KX23" s="541">
        <v>1.1095999999999999</v>
      </c>
      <c r="KY23" s="404">
        <v>177.3</v>
      </c>
      <c r="KZ23" s="731"/>
      <c r="LA23" s="340">
        <v>7.5230000000000005E-2</v>
      </c>
      <c r="LB23" s="397">
        <v>490</v>
      </c>
      <c r="LC23" s="415">
        <v>1.9894000000000001</v>
      </c>
      <c r="LD23" s="417">
        <v>0.98640000000000005</v>
      </c>
      <c r="LE23" s="546">
        <v>1.1101000000000001</v>
      </c>
      <c r="LF23" s="540">
        <v>177.2</v>
      </c>
      <c r="LG23" s="240">
        <v>100</v>
      </c>
      <c r="LI23" s="264">
        <v>100</v>
      </c>
      <c r="LJ23" s="512">
        <v>7.3279999999999998E-2</v>
      </c>
      <c r="LK23" s="514">
        <v>489.9</v>
      </c>
      <c r="LL23" s="523">
        <v>1.9872000000000001</v>
      </c>
      <c r="LM23" s="523">
        <v>0.98709999999999998</v>
      </c>
      <c r="LN23" s="557">
        <v>1.1106</v>
      </c>
      <c r="LO23" s="526">
        <v>177.1</v>
      </c>
      <c r="LP23" s="731"/>
      <c r="LQ23" s="512">
        <v>6.9860000000000005E-2</v>
      </c>
      <c r="LR23" s="530">
        <v>494.6</v>
      </c>
      <c r="LS23" s="522">
        <v>1.9948999999999999</v>
      </c>
      <c r="LT23" s="536">
        <v>0.99509999999999998</v>
      </c>
      <c r="LU23" s="536">
        <v>1.1099000000000001</v>
      </c>
      <c r="LV23" s="526">
        <v>178.1</v>
      </c>
      <c r="LW23" s="257">
        <v>105</v>
      </c>
      <c r="LY23" s="199">
        <v>105</v>
      </c>
      <c r="LZ23" s="509">
        <v>6.583E-2</v>
      </c>
      <c r="MA23" s="514">
        <v>494.4</v>
      </c>
      <c r="MB23" s="508">
        <v>1.9898</v>
      </c>
      <c r="MC23" s="508">
        <v>0.997</v>
      </c>
      <c r="MD23" s="333">
        <v>1.1111</v>
      </c>
      <c r="ME23" s="514">
        <v>177.8</v>
      </c>
      <c r="MF23" s="731"/>
      <c r="MG23" s="509">
        <v>6.2210000000000001E-2</v>
      </c>
      <c r="MH23" s="528">
        <v>494.1</v>
      </c>
      <c r="MI23" s="192">
        <v>1.9849000000000001</v>
      </c>
      <c r="MJ23" s="192">
        <v>0.99880000000000002</v>
      </c>
      <c r="MK23" s="191">
        <v>1.1122000000000001</v>
      </c>
      <c r="ML23" s="526">
        <v>177.5</v>
      </c>
      <c r="MM23" s="194">
        <v>105</v>
      </c>
      <c r="MO23" s="176">
        <v>110</v>
      </c>
      <c r="MP23" s="340">
        <v>5.9889999999999999E-2</v>
      </c>
      <c r="MQ23" s="396">
        <v>498.9</v>
      </c>
      <c r="MR23" s="334">
        <v>1.9934000000000001</v>
      </c>
      <c r="MS23" s="334">
        <v>1.0065</v>
      </c>
      <c r="MT23" s="336">
        <v>1.1113999999999999</v>
      </c>
      <c r="MU23" s="396">
        <v>178.5</v>
      </c>
      <c r="MV23" s="731"/>
      <c r="MW23" s="340">
        <v>5.6910000000000002E-2</v>
      </c>
      <c r="MX23" s="397">
        <v>498.7</v>
      </c>
      <c r="MY23" s="334">
        <v>1.9890000000000001</v>
      </c>
      <c r="MZ23" s="339">
        <v>1.0083</v>
      </c>
      <c r="NA23" s="334">
        <v>1.1126</v>
      </c>
      <c r="NB23" s="397">
        <v>178.2</v>
      </c>
      <c r="NC23" s="260">
        <v>110</v>
      </c>
      <c r="NE23" s="243">
        <v>110</v>
      </c>
      <c r="NF23" s="409">
        <v>5.4190000000000002E-2</v>
      </c>
      <c r="NG23" s="396">
        <v>498.4</v>
      </c>
      <c r="NH23" s="415">
        <v>1.9846999999999999</v>
      </c>
      <c r="NI23" s="415">
        <v>1.01</v>
      </c>
      <c r="NJ23" s="335">
        <v>1.1136999999999999</v>
      </c>
      <c r="NK23" s="396">
        <v>177.9</v>
      </c>
      <c r="NL23" s="731"/>
      <c r="NM23" s="409">
        <v>5.253E-2</v>
      </c>
      <c r="NN23" s="397">
        <v>503.2</v>
      </c>
      <c r="NO23" s="415">
        <v>1.9938</v>
      </c>
      <c r="NP23" s="335">
        <v>1.0174000000000001</v>
      </c>
      <c r="NQ23" s="415">
        <v>1.1128</v>
      </c>
      <c r="NR23" s="396">
        <v>179</v>
      </c>
      <c r="NS23" s="240">
        <v>115</v>
      </c>
      <c r="NU23" s="288">
        <v>115</v>
      </c>
      <c r="NV23" s="511">
        <v>5.0229999999999997E-2</v>
      </c>
      <c r="NW23" s="528">
        <v>503</v>
      </c>
      <c r="NX23" s="470">
        <v>1.9899</v>
      </c>
      <c r="NY23" s="470">
        <v>1.0190999999999999</v>
      </c>
      <c r="NZ23" s="339">
        <v>1.1138999999999999</v>
      </c>
      <c r="OA23" s="528">
        <v>178.7</v>
      </c>
      <c r="OB23" s="731"/>
      <c r="OC23" s="511">
        <v>4.8120000000000003E-2</v>
      </c>
      <c r="OD23" s="528">
        <v>502.8</v>
      </c>
      <c r="OE23" s="575">
        <v>1.9861</v>
      </c>
      <c r="OF23" s="536">
        <v>1.0207999999999999</v>
      </c>
      <c r="OG23" s="574">
        <v>1.115</v>
      </c>
      <c r="OH23" s="476">
        <v>178.4</v>
      </c>
      <c r="OI23" s="263">
        <v>115</v>
      </c>
      <c r="OK23" s="293">
        <v>115</v>
      </c>
      <c r="OL23" s="537">
        <v>4.6170000000000003E-2</v>
      </c>
      <c r="OM23" s="517">
        <v>502.5</v>
      </c>
      <c r="ON23" s="459">
        <v>1.9824999999999999</v>
      </c>
      <c r="OO23" s="459">
        <v>1.0226</v>
      </c>
      <c r="OP23" s="459">
        <v>1.1161000000000001</v>
      </c>
      <c r="OQ23" s="528">
        <v>178.1</v>
      </c>
      <c r="OR23" s="731"/>
      <c r="OS23" s="460">
        <v>4.505E-2</v>
      </c>
      <c r="OT23" s="528">
        <v>507.4</v>
      </c>
      <c r="OU23" s="536">
        <v>1.9921</v>
      </c>
      <c r="OV23" s="459">
        <v>1.0296000000000001</v>
      </c>
      <c r="OW23" s="459">
        <v>1.115</v>
      </c>
      <c r="OX23" s="528">
        <v>179.3</v>
      </c>
      <c r="OY23" s="289">
        <v>120</v>
      </c>
      <c r="PA23" s="176">
        <v>120</v>
      </c>
      <c r="PB23" s="340">
        <v>4.3360000000000003E-2</v>
      </c>
      <c r="PC23" s="505">
        <v>507.2</v>
      </c>
      <c r="PD23" s="436">
        <v>1.9886999999999999</v>
      </c>
      <c r="PE23" s="334">
        <v>1.0311999999999999</v>
      </c>
      <c r="PF23" s="334">
        <v>1.1161000000000001</v>
      </c>
      <c r="PG23" s="397">
        <v>179</v>
      </c>
      <c r="PH23" s="731"/>
      <c r="PI23" s="340">
        <v>4.1770000000000002E-2</v>
      </c>
      <c r="PJ23" s="427">
        <v>507</v>
      </c>
      <c r="PK23" s="334">
        <v>1.9854000000000001</v>
      </c>
      <c r="PL23" s="436">
        <v>1.0328999999999999</v>
      </c>
      <c r="PM23" s="334">
        <v>1.1172</v>
      </c>
      <c r="PN23" s="397">
        <v>178.7</v>
      </c>
      <c r="PO23" s="260">
        <v>120</v>
      </c>
      <c r="PQ23" s="243">
        <v>120</v>
      </c>
      <c r="PR23" s="409">
        <v>4.0300000000000002E-2</v>
      </c>
      <c r="PS23" s="396">
        <v>506.7</v>
      </c>
      <c r="PT23" s="546">
        <v>1.9822</v>
      </c>
      <c r="PU23" s="415">
        <v>1.0346</v>
      </c>
      <c r="PV23" s="334">
        <v>1.1183000000000001</v>
      </c>
      <c r="PW23" s="396">
        <v>178.4</v>
      </c>
      <c r="PX23" s="731"/>
      <c r="PY23" s="409">
        <v>3.8219999999999997E-2</v>
      </c>
      <c r="PZ23" s="397">
        <v>511.5</v>
      </c>
      <c r="QA23" s="415">
        <v>1.9892000000000001</v>
      </c>
      <c r="QB23" s="500">
        <v>1.0427999999999999</v>
      </c>
      <c r="QC23" s="415">
        <v>1.1181000000000001</v>
      </c>
      <c r="QD23" s="540">
        <v>179.3</v>
      </c>
      <c r="QE23" s="240">
        <v>125</v>
      </c>
      <c r="QG23" s="264">
        <v>125</v>
      </c>
      <c r="QH23" s="512">
        <v>3.5819999999999998E-2</v>
      </c>
      <c r="QI23" s="514">
        <v>511</v>
      </c>
      <c r="QJ23" s="523">
        <v>1.9834000000000001</v>
      </c>
      <c r="QK23" s="523">
        <v>1.0461</v>
      </c>
      <c r="QL23" s="387">
        <v>1.1202000000000001</v>
      </c>
      <c r="QM23" s="526">
        <v>178.7</v>
      </c>
      <c r="QN23" s="731"/>
      <c r="QO23" s="512">
        <v>3.4229999999999997E-2</v>
      </c>
      <c r="QP23" s="532">
        <v>515.79999999999995</v>
      </c>
      <c r="QQ23" s="255">
        <v>1.9911000000000001</v>
      </c>
      <c r="QR23" s="191">
        <v>1.054</v>
      </c>
      <c r="QS23" s="255">
        <v>1.1197999999999999</v>
      </c>
      <c r="QT23" s="527">
        <v>179.7</v>
      </c>
      <c r="QU23" s="257">
        <v>130</v>
      </c>
      <c r="QW23" s="199">
        <v>130</v>
      </c>
      <c r="QX23" s="509">
        <v>3.2309999999999998E-2</v>
      </c>
      <c r="QY23" s="517">
        <v>515.4</v>
      </c>
      <c r="QZ23" s="508">
        <v>1.9858</v>
      </c>
      <c r="RA23" s="508">
        <v>1.0571999999999999</v>
      </c>
      <c r="RB23" s="590">
        <v>1.1218999999999999</v>
      </c>
      <c r="RC23" s="596">
        <v>179.1</v>
      </c>
      <c r="RD23" s="731"/>
      <c r="RE23" s="537">
        <v>3.058E-2</v>
      </c>
      <c r="RF23" s="528">
        <v>515</v>
      </c>
      <c r="RG23" s="536">
        <v>1.9809000000000001</v>
      </c>
      <c r="RH23" s="590">
        <v>1.0604</v>
      </c>
      <c r="RI23" s="536">
        <v>1.1241000000000001</v>
      </c>
      <c r="RJ23" s="526">
        <v>178.6</v>
      </c>
      <c r="RK23" s="194">
        <v>130</v>
      </c>
      <c r="RM23" s="270">
        <v>135</v>
      </c>
      <c r="RN23" s="340">
        <v>2.8029999999999999E-2</v>
      </c>
      <c r="RO23" s="396">
        <v>519.4</v>
      </c>
      <c r="RP23" s="491">
        <v>1.9845999999999999</v>
      </c>
      <c r="RQ23" s="334">
        <v>1.0709</v>
      </c>
      <c r="RR23" s="492">
        <v>1.1254999999999999</v>
      </c>
      <c r="RS23" s="396">
        <v>179.1</v>
      </c>
      <c r="RT23" s="731"/>
      <c r="RU23" s="340">
        <v>2.5919999999999999E-2</v>
      </c>
      <c r="RV23" s="397">
        <v>523.9</v>
      </c>
      <c r="RW23" s="334">
        <v>1.9891000000000001</v>
      </c>
      <c r="RX23" s="491">
        <v>1.081</v>
      </c>
      <c r="RY23" s="334">
        <v>1.1267</v>
      </c>
      <c r="RZ23" s="488">
        <v>179.6</v>
      </c>
      <c r="SA23" s="260">
        <v>140</v>
      </c>
      <c r="SC23" s="268">
        <v>140</v>
      </c>
      <c r="SD23" s="409">
        <v>2.375E-2</v>
      </c>
      <c r="SE23" s="396">
        <v>523.1</v>
      </c>
      <c r="SF23" s="499">
        <v>1.9810000000000001</v>
      </c>
      <c r="SG23" s="415">
        <v>1.0871</v>
      </c>
      <c r="SH23" s="500">
        <v>1.1309</v>
      </c>
      <c r="SI23" s="396">
        <v>178.6</v>
      </c>
      <c r="SJ23" s="731"/>
      <c r="SK23" s="409">
        <v>2.2259999999999999E-2</v>
      </c>
      <c r="SL23" s="176">
        <v>527.70000000000005</v>
      </c>
      <c r="SM23" s="499">
        <v>1.9865999999999999</v>
      </c>
      <c r="SN23" s="415">
        <v>1.0966</v>
      </c>
      <c r="SO23" s="415">
        <v>1.1317999999999999</v>
      </c>
      <c r="SP23" s="170">
        <v>179.3</v>
      </c>
      <c r="SQ23" s="240">
        <v>145</v>
      </c>
      <c r="SS23" s="268">
        <v>150</v>
      </c>
      <c r="ST23" s="409">
        <v>2.0979999999999999E-2</v>
      </c>
      <c r="SU23" s="170">
        <v>532.4</v>
      </c>
      <c r="SV23" s="499">
        <v>1.9925999999999999</v>
      </c>
      <c r="SW23" s="499">
        <v>1.1056999999999999</v>
      </c>
      <c r="SX23" s="499">
        <v>1.1325000000000001</v>
      </c>
      <c r="SY23" s="190">
        <v>180</v>
      </c>
      <c r="SZ23" s="731"/>
      <c r="TA23" s="409">
        <v>1.9539999999999998E-2</v>
      </c>
      <c r="TB23" s="397">
        <v>531.6</v>
      </c>
      <c r="TC23" s="415">
        <v>1.986</v>
      </c>
      <c r="TD23" s="491">
        <v>1.1114999999999999</v>
      </c>
      <c r="TE23" s="334">
        <v>1.1365000000000001</v>
      </c>
      <c r="TF23" s="488">
        <v>179</v>
      </c>
      <c r="TG23" s="240">
        <v>150</v>
      </c>
      <c r="TI23" s="270">
        <v>155</v>
      </c>
      <c r="TJ23" s="340">
        <v>1.857E-2</v>
      </c>
      <c r="TK23" s="396">
        <v>536.4</v>
      </c>
      <c r="TL23" s="491">
        <v>1.9926999999999999</v>
      </c>
      <c r="TM23" s="491">
        <v>1.1201000000000001</v>
      </c>
      <c r="TN23" s="339">
        <v>1.1369</v>
      </c>
      <c r="TO23" s="489">
        <v>179.8</v>
      </c>
      <c r="TP23" s="731"/>
      <c r="TQ23" s="490">
        <v>1.7420000000000001E-2</v>
      </c>
      <c r="TR23" s="397">
        <v>535.6</v>
      </c>
      <c r="TS23" s="334">
        <v>1.9865999999999999</v>
      </c>
      <c r="TT23" s="491">
        <v>1.1258999999999999</v>
      </c>
      <c r="TU23" s="334">
        <v>1.1409</v>
      </c>
      <c r="TV23" s="489">
        <v>178.9</v>
      </c>
      <c r="TW23" s="260">
        <v>155</v>
      </c>
      <c r="TY23" s="270">
        <v>160</v>
      </c>
      <c r="TZ23" s="474">
        <v>1.668E-2</v>
      </c>
      <c r="UA23" s="467">
        <v>540.5</v>
      </c>
      <c r="UB23" s="491">
        <v>1.994</v>
      </c>
      <c r="UC23" s="473">
        <v>1.1337999999999999</v>
      </c>
      <c r="UD23" s="610">
        <v>1.141</v>
      </c>
      <c r="UE23" s="467">
        <v>179.8</v>
      </c>
      <c r="UF23" s="749"/>
      <c r="UG23" s="490">
        <v>1.575E-2</v>
      </c>
      <c r="UH23" s="478">
        <v>539.70000000000005</v>
      </c>
      <c r="UI23" s="473">
        <v>1.9883999999999999</v>
      </c>
      <c r="UJ23" s="610">
        <v>1.1395</v>
      </c>
      <c r="UK23" s="473">
        <v>1.1449</v>
      </c>
      <c r="UL23" s="488">
        <v>178.9</v>
      </c>
      <c r="UM23" s="310">
        <v>160</v>
      </c>
      <c r="UO23" s="268">
        <v>165</v>
      </c>
      <c r="UP23" s="464">
        <v>1.439E-2</v>
      </c>
      <c r="UQ23" s="467">
        <v>543.9</v>
      </c>
      <c r="UR23" s="499">
        <v>1.9912000000000001</v>
      </c>
      <c r="US23" s="499">
        <v>1.1526000000000001</v>
      </c>
      <c r="UT23" s="610">
        <v>1.1485000000000001</v>
      </c>
      <c r="UU23" s="489">
        <v>179</v>
      </c>
      <c r="UV23" s="749"/>
      <c r="UW23" s="464">
        <v>1.3259999999999999E-2</v>
      </c>
      <c r="UX23" s="478">
        <v>548.1</v>
      </c>
      <c r="UY23" s="499">
        <v>1.9945999999999999</v>
      </c>
      <c r="UZ23" s="471">
        <v>1.1649</v>
      </c>
      <c r="VA23" s="471">
        <v>1.1517999999999999</v>
      </c>
      <c r="VB23" s="489">
        <v>179.2</v>
      </c>
      <c r="VC23" s="248">
        <v>170</v>
      </c>
      <c r="VE23" s="254">
        <v>170</v>
      </c>
      <c r="VF23" s="512">
        <v>1.21E-2</v>
      </c>
      <c r="VG23" s="514">
        <v>546.6</v>
      </c>
      <c r="VH23" s="523">
        <v>1.9855</v>
      </c>
      <c r="VI23" s="523">
        <v>1.1762999999999999</v>
      </c>
      <c r="VJ23" s="508">
        <v>1.1597</v>
      </c>
      <c r="VK23" s="527">
        <v>177.6</v>
      </c>
      <c r="VL23" s="749"/>
      <c r="VM23" s="512">
        <v>1.1310000000000001E-2</v>
      </c>
      <c r="VN23" s="532">
        <v>551.1</v>
      </c>
      <c r="VO23" s="522">
        <v>1.9902</v>
      </c>
      <c r="VP23" s="508">
        <v>1.1877</v>
      </c>
      <c r="VQ23" s="522">
        <v>1.1624000000000001</v>
      </c>
      <c r="VR23" s="526">
        <v>178.1</v>
      </c>
      <c r="VS23" s="257">
        <v>175</v>
      </c>
      <c r="VU23" s="199">
        <v>180</v>
      </c>
      <c r="VV23" s="509">
        <v>1.0630000000000001E-2</v>
      </c>
      <c r="VW23" s="514">
        <v>555.6</v>
      </c>
      <c r="VX23" s="508">
        <v>1.9953000000000001</v>
      </c>
      <c r="VY23" s="508">
        <v>1.1983999999999999</v>
      </c>
      <c r="VZ23" s="391">
        <v>1.1646000000000001</v>
      </c>
      <c r="WA23" s="377">
        <v>178.6</v>
      </c>
      <c r="WB23" s="749"/>
      <c r="WC23" s="537">
        <v>9.8600000000000007E-3</v>
      </c>
      <c r="WD23" s="528">
        <v>554.1</v>
      </c>
      <c r="WE23" s="536">
        <v>1.9876</v>
      </c>
      <c r="WF23" s="391">
        <v>1.2095</v>
      </c>
      <c r="WG23" s="536">
        <v>1.1724000000000001</v>
      </c>
      <c r="WH23" s="526">
        <v>177.2</v>
      </c>
      <c r="WI23" s="194">
        <v>180</v>
      </c>
      <c r="WK23" s="199">
        <v>185</v>
      </c>
      <c r="WL23" s="509">
        <v>9.3500000000000007E-3</v>
      </c>
      <c r="WM23" s="514">
        <v>558.79999999999995</v>
      </c>
      <c r="WN23" s="508">
        <v>1.9936</v>
      </c>
      <c r="WO23" s="508">
        <v>1.2192000000000001</v>
      </c>
      <c r="WP23" s="492">
        <v>1.1739999999999999</v>
      </c>
      <c r="WQ23" s="514">
        <v>177.9</v>
      </c>
      <c r="WR23" s="749"/>
      <c r="WS23" s="509">
        <v>8.9099999999999995E-3</v>
      </c>
      <c r="WT23" s="528">
        <v>563.5</v>
      </c>
      <c r="WU23" s="536">
        <v>1.9999</v>
      </c>
      <c r="WV23" s="508">
        <v>1.2283999999999999</v>
      </c>
      <c r="WW23" s="536">
        <v>1.1752</v>
      </c>
      <c r="WX23" s="530">
        <v>178.7</v>
      </c>
      <c r="WY23" s="194">
        <v>190</v>
      </c>
      <c r="WZ23" s="498"/>
      <c r="XA23" s="264">
        <v>190</v>
      </c>
      <c r="XB23" s="512">
        <v>8.3599999999999994E-3</v>
      </c>
      <c r="XC23" s="514">
        <v>562.1</v>
      </c>
      <c r="XD23" s="523">
        <v>1.9932000000000001</v>
      </c>
      <c r="XE23" s="523">
        <v>1.2390000000000001</v>
      </c>
      <c r="XF23" s="492">
        <v>1.1827000000000001</v>
      </c>
      <c r="XG23" s="514">
        <v>177.5</v>
      </c>
      <c r="XH23" s="749"/>
      <c r="XI23" s="511">
        <v>8.0199999999999994E-3</v>
      </c>
      <c r="XJ23" s="528">
        <v>567</v>
      </c>
      <c r="XK23" s="522">
        <v>2.0001000000000002</v>
      </c>
      <c r="XL23" s="522">
        <v>1.2470000000000001</v>
      </c>
      <c r="XM23" s="522">
        <v>1.1831</v>
      </c>
      <c r="XN23" s="526">
        <v>178.4</v>
      </c>
      <c r="XO23" s="257">
        <v>195</v>
      </c>
      <c r="XP23" s="170"/>
    </row>
    <row r="24" spans="1:640" ht="15.75" thickBot="1" x14ac:dyDescent="0.3">
      <c r="A24" s="282">
        <v>30</v>
      </c>
      <c r="B24" s="365">
        <v>2.46305</v>
      </c>
      <c r="C24" s="368">
        <v>430.7</v>
      </c>
      <c r="D24" s="360">
        <v>2.1082999999999998</v>
      </c>
      <c r="E24" s="360">
        <v>0.84319999999999995</v>
      </c>
      <c r="F24" s="360">
        <v>1.1082000000000001</v>
      </c>
      <c r="G24" s="172">
        <v>165.1</v>
      </c>
      <c r="H24" s="266"/>
      <c r="I24" s="365">
        <v>1.2722599999999999</v>
      </c>
      <c r="J24" s="374">
        <v>439</v>
      </c>
      <c r="K24" s="360">
        <v>2.0790999999999999</v>
      </c>
      <c r="L24" s="358">
        <v>0.8619</v>
      </c>
      <c r="M24" s="360">
        <v>1.1065</v>
      </c>
      <c r="N24" s="368">
        <v>167.5</v>
      </c>
      <c r="O24" s="382">
        <v>40</v>
      </c>
      <c r="P24" s="238"/>
      <c r="Q24" s="282">
        <v>50</v>
      </c>
      <c r="R24" s="363">
        <v>0.87412999999999996</v>
      </c>
      <c r="S24" s="368">
        <v>447.6</v>
      </c>
      <c r="T24" s="358">
        <v>2.0731000000000002</v>
      </c>
      <c r="U24" s="358">
        <v>0.88</v>
      </c>
      <c r="V24" s="358">
        <v>1.1047</v>
      </c>
      <c r="W24" s="368">
        <v>169.8</v>
      </c>
      <c r="X24" s="266"/>
      <c r="Y24" s="363">
        <v>0.66488999999999998</v>
      </c>
      <c r="Z24" s="374">
        <v>451.9</v>
      </c>
      <c r="AA24" s="358">
        <v>2.0630000000000002</v>
      </c>
      <c r="AB24" s="358">
        <v>0.88949999999999996</v>
      </c>
      <c r="AC24" s="358">
        <v>1.1042000000000001</v>
      </c>
      <c r="AD24" s="368">
        <v>170.9</v>
      </c>
      <c r="AE24" s="237">
        <v>55</v>
      </c>
      <c r="AF24" s="37"/>
      <c r="AG24" s="243">
        <v>55</v>
      </c>
      <c r="AH24" s="340">
        <v>0.53107000000000004</v>
      </c>
      <c r="AI24" s="396">
        <v>451.7</v>
      </c>
      <c r="AJ24" s="334">
        <v>2.0445000000000002</v>
      </c>
      <c r="AK24" s="334">
        <v>0.89070000000000005</v>
      </c>
      <c r="AL24" s="401">
        <v>1.1049</v>
      </c>
      <c r="AM24" s="406">
        <v>170.7</v>
      </c>
      <c r="AN24" s="731"/>
      <c r="AO24" s="340">
        <v>0.44883000000000001</v>
      </c>
      <c r="AP24" s="397">
        <v>456.1</v>
      </c>
      <c r="AQ24" s="334">
        <v>2.0428999999999999</v>
      </c>
      <c r="AR24" s="334">
        <v>0.89990000000000003</v>
      </c>
      <c r="AS24" s="401">
        <v>1.1043000000000001</v>
      </c>
      <c r="AT24" s="397">
        <v>171.8</v>
      </c>
      <c r="AU24" s="240">
        <v>60</v>
      </c>
      <c r="AV24" s="37"/>
      <c r="AW24" s="243">
        <v>65</v>
      </c>
      <c r="AX24" s="409">
        <v>0.39017000000000002</v>
      </c>
      <c r="AY24" s="396">
        <v>460.5</v>
      </c>
      <c r="AZ24" s="415">
        <v>2.0434999999999999</v>
      </c>
      <c r="BA24" s="415">
        <v>0.90890000000000004</v>
      </c>
      <c r="BB24" s="416">
        <v>1.1035999999999999</v>
      </c>
      <c r="BC24" s="396">
        <v>172.8</v>
      </c>
      <c r="BD24" s="731"/>
      <c r="BE24" s="412">
        <v>0.34094999999999998</v>
      </c>
      <c r="BF24" s="397">
        <v>460.3</v>
      </c>
      <c r="BG24" s="415">
        <v>2.0323000000000002</v>
      </c>
      <c r="BH24" s="334">
        <v>0.91</v>
      </c>
      <c r="BI24" s="416">
        <v>1.1043000000000001</v>
      </c>
      <c r="BJ24" s="396">
        <v>172.7</v>
      </c>
      <c r="BK24" s="240">
        <v>65</v>
      </c>
      <c r="BL24" s="37"/>
      <c r="BM24" s="243">
        <v>70</v>
      </c>
      <c r="BN24" s="409">
        <v>0.30731000000000003</v>
      </c>
      <c r="BO24" s="396">
        <v>464.8</v>
      </c>
      <c r="BP24" s="415">
        <v>2.0358999999999998</v>
      </c>
      <c r="BQ24" s="415">
        <v>0.91879999999999995</v>
      </c>
      <c r="BR24" s="334">
        <v>1.1035999999999999</v>
      </c>
      <c r="BS24" s="396">
        <v>173.8</v>
      </c>
      <c r="BT24" s="731"/>
      <c r="BU24" s="409">
        <v>0.27623999999999999</v>
      </c>
      <c r="BV24" s="397">
        <v>464.7</v>
      </c>
      <c r="BW24" s="415">
        <v>2.0270000000000001</v>
      </c>
      <c r="BX24" s="334">
        <v>0.91979999999999995</v>
      </c>
      <c r="BY24" s="415">
        <v>1.1042000000000001</v>
      </c>
      <c r="BZ24" s="397">
        <v>173.6</v>
      </c>
      <c r="CA24" s="240">
        <v>70</v>
      </c>
      <c r="CB24" s="37"/>
      <c r="CC24" s="243">
        <v>70</v>
      </c>
      <c r="CD24" s="340">
        <v>0.27262999999999998</v>
      </c>
      <c r="CE24" s="396">
        <v>464.6</v>
      </c>
      <c r="CF24" s="334">
        <v>2.0259</v>
      </c>
      <c r="CG24" s="334">
        <v>0.91990000000000005</v>
      </c>
      <c r="CH24" s="334">
        <v>1.1042000000000001</v>
      </c>
      <c r="CI24" s="396">
        <v>173.6</v>
      </c>
      <c r="CJ24" s="731"/>
      <c r="CK24" s="340">
        <v>0.25464999999999999</v>
      </c>
      <c r="CL24" s="397">
        <v>469.2</v>
      </c>
      <c r="CM24" s="334">
        <v>2.0324</v>
      </c>
      <c r="CN24" s="334">
        <v>0.92830000000000001</v>
      </c>
      <c r="CO24" s="334">
        <v>1.1033999999999999</v>
      </c>
      <c r="CP24" s="396">
        <v>174.7</v>
      </c>
      <c r="CQ24" s="240">
        <v>75</v>
      </c>
      <c r="CR24" s="37"/>
      <c r="CS24" s="243">
        <v>75</v>
      </c>
      <c r="CT24" s="340">
        <v>0.23321</v>
      </c>
      <c r="CU24" s="396">
        <v>469</v>
      </c>
      <c r="CV24" s="334">
        <v>2.0251000000000001</v>
      </c>
      <c r="CW24" s="334">
        <v>0.92930000000000001</v>
      </c>
      <c r="CX24" s="444">
        <v>1.1040000000000001</v>
      </c>
      <c r="CY24" s="396">
        <v>174.5</v>
      </c>
      <c r="CZ24" s="731"/>
      <c r="DA24" s="440">
        <v>0.21501000000000001</v>
      </c>
      <c r="DB24" s="397">
        <v>468.9</v>
      </c>
      <c r="DC24" s="334">
        <v>2.0183</v>
      </c>
      <c r="DD24" s="334">
        <v>0.93020000000000003</v>
      </c>
      <c r="DE24" s="444">
        <v>1.1045</v>
      </c>
      <c r="DF24" s="397">
        <v>174.4</v>
      </c>
      <c r="DG24" s="240">
        <v>75</v>
      </c>
      <c r="DH24" s="37"/>
      <c r="DI24" s="243">
        <v>80</v>
      </c>
      <c r="DJ24" s="409">
        <v>0.20243</v>
      </c>
      <c r="DK24" s="396">
        <v>473.5</v>
      </c>
      <c r="DL24" s="415">
        <v>2.0253000000000001</v>
      </c>
      <c r="DM24" s="415">
        <v>0.93859999999999999</v>
      </c>
      <c r="DN24" s="444">
        <v>1.1036999999999999</v>
      </c>
      <c r="DO24" s="396">
        <v>175.5</v>
      </c>
      <c r="DP24" s="731"/>
      <c r="DQ24" s="409">
        <v>0.18875</v>
      </c>
      <c r="DR24" s="397">
        <v>473.4</v>
      </c>
      <c r="DS24" s="415">
        <v>2.0194999999999999</v>
      </c>
      <c r="DT24" s="415">
        <v>0.9395</v>
      </c>
      <c r="DU24" s="455">
        <v>1.1043000000000001</v>
      </c>
      <c r="DV24" s="396">
        <v>175.3</v>
      </c>
      <c r="DW24" s="240">
        <v>80</v>
      </c>
      <c r="DX24" s="37"/>
      <c r="DY24" s="247">
        <v>80</v>
      </c>
      <c r="DZ24" s="463">
        <v>0.17674000000000001</v>
      </c>
      <c r="EA24" s="467">
        <v>473.2</v>
      </c>
      <c r="EB24" s="471">
        <v>2.0139999999999998</v>
      </c>
      <c r="EC24" s="470">
        <v>0.94040000000000001</v>
      </c>
      <c r="ED24" s="470">
        <v>1.1048</v>
      </c>
      <c r="EE24" s="465">
        <v>175.2</v>
      </c>
      <c r="EF24" s="731"/>
      <c r="EG24" s="464">
        <v>0.16863</v>
      </c>
      <c r="EH24" s="478">
        <v>477.9</v>
      </c>
      <c r="EI24" s="471">
        <v>2.0221</v>
      </c>
      <c r="EJ24" s="459">
        <v>0.94850000000000001</v>
      </c>
      <c r="EK24" s="459">
        <v>1.1039000000000001</v>
      </c>
      <c r="EL24" s="478">
        <v>176.3</v>
      </c>
      <c r="EM24" s="248">
        <v>85</v>
      </c>
      <c r="EN24" s="37"/>
      <c r="EO24" s="247">
        <v>85</v>
      </c>
      <c r="EP24" s="474">
        <v>0.15911</v>
      </c>
      <c r="EQ24" s="467">
        <v>477.7</v>
      </c>
      <c r="ER24" s="473">
        <v>2.0171999999999999</v>
      </c>
      <c r="ES24" s="473">
        <v>0.94940000000000002</v>
      </c>
      <c r="ET24" s="459">
        <v>1.1044</v>
      </c>
      <c r="EU24" s="467">
        <v>176.2</v>
      </c>
      <c r="EV24" s="731"/>
      <c r="EW24" s="474">
        <v>0.15060000000000001</v>
      </c>
      <c r="EX24" s="476">
        <v>477.6</v>
      </c>
      <c r="EY24" s="473">
        <v>2.0125999999999999</v>
      </c>
      <c r="EZ24" s="473">
        <v>0.95020000000000004</v>
      </c>
      <c r="FA24" s="459">
        <v>1.105</v>
      </c>
      <c r="FB24" s="467">
        <v>176</v>
      </c>
      <c r="FC24" s="248">
        <v>85</v>
      </c>
      <c r="FD24" s="37"/>
      <c r="FE24" s="243">
        <v>85</v>
      </c>
      <c r="FF24" s="340">
        <v>0.1429</v>
      </c>
      <c r="FG24" s="396">
        <v>477.5</v>
      </c>
      <c r="FH24" s="334">
        <v>2.0082</v>
      </c>
      <c r="FI24" s="334">
        <v>0.95109999999999995</v>
      </c>
      <c r="FJ24" s="491">
        <v>1.1054999999999999</v>
      </c>
      <c r="FK24" s="396">
        <v>175.9</v>
      </c>
      <c r="FL24" s="731"/>
      <c r="FM24" s="340">
        <v>0.13799</v>
      </c>
      <c r="FN24" s="397">
        <v>482.2</v>
      </c>
      <c r="FO24" s="334">
        <v>2.0171999999999999</v>
      </c>
      <c r="FP24" s="334">
        <v>0.95889999999999997</v>
      </c>
      <c r="FQ24" s="334">
        <v>1.1045</v>
      </c>
      <c r="FR24" s="397">
        <v>177</v>
      </c>
      <c r="FS24" s="240">
        <v>85</v>
      </c>
      <c r="FU24" s="235">
        <v>90</v>
      </c>
      <c r="FV24" s="409">
        <v>0.13158</v>
      </c>
      <c r="FW24" s="396">
        <v>482.1</v>
      </c>
      <c r="FX24" s="415">
        <v>2.0131999999999999</v>
      </c>
      <c r="FY24" s="415">
        <v>0.95979999999999999</v>
      </c>
      <c r="FZ24" s="491">
        <v>1.105</v>
      </c>
      <c r="GA24" s="396">
        <v>176.9</v>
      </c>
      <c r="GB24" s="731"/>
      <c r="GC24" s="409">
        <v>0.12573999999999999</v>
      </c>
      <c r="GD24" s="397">
        <v>482</v>
      </c>
      <c r="GE24" s="415">
        <v>2.0093999999999999</v>
      </c>
      <c r="GF24" s="415">
        <v>0.96060000000000001</v>
      </c>
      <c r="GG24" s="415">
        <v>1.1054999999999999</v>
      </c>
      <c r="GH24" s="396">
        <v>176.7</v>
      </c>
      <c r="GI24" s="240">
        <v>90</v>
      </c>
      <c r="GK24" s="243">
        <v>90</v>
      </c>
      <c r="GL24" s="409">
        <v>0.12038</v>
      </c>
      <c r="GM24" s="404">
        <v>481.9</v>
      </c>
      <c r="GN24" s="415">
        <v>2.0057</v>
      </c>
      <c r="GO24" s="415">
        <v>0.96140000000000003</v>
      </c>
      <c r="GP24" s="334">
        <v>1.1060000000000001</v>
      </c>
      <c r="GQ24" s="396">
        <v>176.6</v>
      </c>
      <c r="GR24" s="731"/>
      <c r="GS24" s="409">
        <v>0.11718000000000001</v>
      </c>
      <c r="GT24" s="397">
        <v>486.6</v>
      </c>
      <c r="GU24" s="241">
        <v>2.0152999999999999</v>
      </c>
      <c r="GV24" s="170">
        <v>0.96899999999999997</v>
      </c>
      <c r="GW24" s="241">
        <v>1.105</v>
      </c>
      <c r="GX24" s="397">
        <v>177.8</v>
      </c>
      <c r="GY24" s="240">
        <v>95</v>
      </c>
      <c r="HA24" s="243">
        <v>95</v>
      </c>
      <c r="HB24" s="340">
        <v>0.11255999999999999</v>
      </c>
      <c r="HC24" s="396">
        <v>486.5</v>
      </c>
      <c r="HD24" s="334">
        <v>2.0118999999999998</v>
      </c>
      <c r="HE24" s="334">
        <v>0.9698</v>
      </c>
      <c r="HF24" s="334">
        <v>1.1054999999999999</v>
      </c>
      <c r="HG24" s="396">
        <v>177.6</v>
      </c>
      <c r="HH24" s="731"/>
      <c r="HI24" s="340">
        <v>0.10829999999999999</v>
      </c>
      <c r="HJ24" s="397">
        <v>486.4</v>
      </c>
      <c r="HK24" s="334">
        <v>2.0087000000000002</v>
      </c>
      <c r="HL24" s="334">
        <v>0.97060000000000002</v>
      </c>
      <c r="HM24" s="334">
        <v>1.1059000000000001</v>
      </c>
      <c r="HN24" s="396">
        <v>177.5</v>
      </c>
      <c r="HO24" s="240">
        <v>95</v>
      </c>
      <c r="HQ24" s="243">
        <v>95</v>
      </c>
      <c r="HR24" s="340">
        <v>0.10432</v>
      </c>
      <c r="HS24" s="396">
        <v>486.3</v>
      </c>
      <c r="HT24" s="334">
        <v>2.0055000000000001</v>
      </c>
      <c r="HU24" s="334">
        <v>0.97140000000000004</v>
      </c>
      <c r="HV24" s="334">
        <v>1.1064000000000001</v>
      </c>
      <c r="HW24" s="397">
        <v>177.3</v>
      </c>
      <c r="HX24" s="731"/>
      <c r="HY24" s="340">
        <v>0.10062</v>
      </c>
      <c r="HZ24" s="397">
        <v>486.2</v>
      </c>
      <c r="IA24" s="334">
        <v>2.0024000000000002</v>
      </c>
      <c r="IB24" s="334">
        <v>0.97219999999999995</v>
      </c>
      <c r="IC24" s="334">
        <v>1.1069</v>
      </c>
      <c r="ID24" s="397">
        <v>177.2</v>
      </c>
      <c r="IE24" s="240">
        <v>95</v>
      </c>
      <c r="IG24" s="268">
        <v>100</v>
      </c>
      <c r="IH24" s="409">
        <v>9.8629999999999995E-2</v>
      </c>
      <c r="II24" s="505">
        <v>490.9</v>
      </c>
      <c r="IJ24" s="415">
        <v>2.0125999999999999</v>
      </c>
      <c r="IK24" s="415">
        <v>0.97960000000000003</v>
      </c>
      <c r="IL24" s="492">
        <v>1.1057999999999999</v>
      </c>
      <c r="IM24" s="396">
        <v>178.4</v>
      </c>
      <c r="IN24" s="731"/>
      <c r="IO24" s="409">
        <v>9.536E-2</v>
      </c>
      <c r="IP24" s="397">
        <v>490.8</v>
      </c>
      <c r="IQ24" s="415">
        <v>2.0097</v>
      </c>
      <c r="IR24" s="415">
        <v>0.98029999999999995</v>
      </c>
      <c r="IS24" s="415">
        <v>1.1063000000000001</v>
      </c>
      <c r="IT24" s="489">
        <v>178.3</v>
      </c>
      <c r="IU24" s="240">
        <v>100</v>
      </c>
      <c r="IW24" s="264">
        <v>100</v>
      </c>
      <c r="IX24" s="512">
        <v>9.2289999999999997E-2</v>
      </c>
      <c r="IY24" s="514">
        <v>490.7</v>
      </c>
      <c r="IZ24" s="522">
        <v>2.0070000000000001</v>
      </c>
      <c r="JA24" s="523">
        <v>0.98109999999999997</v>
      </c>
      <c r="JB24" s="387">
        <v>1.1067</v>
      </c>
      <c r="JC24" s="526">
        <v>178.1</v>
      </c>
      <c r="JD24" s="731"/>
      <c r="JE24" s="512">
        <v>8.9410000000000003E-2</v>
      </c>
      <c r="JF24" s="528">
        <v>490.6</v>
      </c>
      <c r="JG24" s="522">
        <v>2.0042</v>
      </c>
      <c r="JH24" s="536">
        <v>0.98180000000000001</v>
      </c>
      <c r="JI24" s="522">
        <v>1.1072</v>
      </c>
      <c r="JJ24" s="530">
        <v>178</v>
      </c>
      <c r="JK24" s="257">
        <v>100</v>
      </c>
      <c r="JM24" s="264">
        <v>100</v>
      </c>
      <c r="JN24" s="509">
        <v>8.6690000000000003E-2</v>
      </c>
      <c r="JO24" s="514">
        <v>490.5</v>
      </c>
      <c r="JP24" s="536">
        <v>2.0015999999999998</v>
      </c>
      <c r="JQ24" s="508">
        <v>0.98260000000000003</v>
      </c>
      <c r="JR24" s="388">
        <v>1.1076999999999999</v>
      </c>
      <c r="JS24" s="526">
        <v>177.9</v>
      </c>
      <c r="JT24" s="731"/>
      <c r="JU24" s="509">
        <v>8.541E-2</v>
      </c>
      <c r="JV24" s="530">
        <v>495.4</v>
      </c>
      <c r="JW24" s="536">
        <v>2.0122</v>
      </c>
      <c r="JX24" s="536">
        <v>0.98970000000000002</v>
      </c>
      <c r="JY24" s="536">
        <v>1.1065</v>
      </c>
      <c r="JZ24" s="526">
        <v>179.1</v>
      </c>
      <c r="KA24" s="194">
        <v>105</v>
      </c>
      <c r="KC24" s="267">
        <v>105</v>
      </c>
      <c r="KD24" s="340">
        <v>8.2949999999999996E-2</v>
      </c>
      <c r="KE24" s="540">
        <v>495.3</v>
      </c>
      <c r="KF24" s="170">
        <v>2.0097</v>
      </c>
      <c r="KG24" s="170">
        <v>0.99039999999999995</v>
      </c>
      <c r="KH24" s="196">
        <v>1.1069</v>
      </c>
      <c r="KI24" s="396">
        <v>178.9</v>
      </c>
      <c r="KJ24" s="731"/>
      <c r="KK24" s="340">
        <v>8.0649999999999999E-2</v>
      </c>
      <c r="KL24" s="397">
        <v>495.2</v>
      </c>
      <c r="KM24" s="334">
        <v>2.0072999999999999</v>
      </c>
      <c r="KN24" s="334">
        <v>0.99119999999999997</v>
      </c>
      <c r="KO24" s="541">
        <v>1.1073999999999999</v>
      </c>
      <c r="KP24" s="396">
        <v>178.8</v>
      </c>
      <c r="KQ24" s="177">
        <v>105</v>
      </c>
      <c r="KS24" s="288">
        <v>105</v>
      </c>
      <c r="KT24" s="409">
        <v>7.8460000000000002E-2</v>
      </c>
      <c r="KU24" s="543">
        <v>495.1</v>
      </c>
      <c r="KV24" s="415">
        <v>2.0049000000000001</v>
      </c>
      <c r="KW24" s="415">
        <v>0.9919</v>
      </c>
      <c r="KX24" s="541">
        <v>1.1077999999999999</v>
      </c>
      <c r="KY24" s="543">
        <v>178.7</v>
      </c>
      <c r="KZ24" s="731"/>
      <c r="LA24" s="340">
        <v>7.6369999999999993E-2</v>
      </c>
      <c r="LB24" s="397">
        <v>495</v>
      </c>
      <c r="LC24" s="415">
        <v>2.0026000000000002</v>
      </c>
      <c r="LD24" s="417">
        <v>0.99260000000000004</v>
      </c>
      <c r="LE24" s="546">
        <v>1.1083000000000001</v>
      </c>
      <c r="LF24" s="396">
        <v>178.6</v>
      </c>
      <c r="LG24" s="240">
        <v>105</v>
      </c>
      <c r="LI24" s="264">
        <v>105</v>
      </c>
      <c r="LJ24" s="512">
        <v>7.4399999999999994E-2</v>
      </c>
      <c r="LK24" s="514">
        <v>494.9</v>
      </c>
      <c r="LL24" s="522">
        <v>2.0004</v>
      </c>
      <c r="LM24" s="523">
        <v>0.99329999999999996</v>
      </c>
      <c r="LN24" s="557">
        <v>1.1087</v>
      </c>
      <c r="LO24" s="526">
        <v>178.4</v>
      </c>
      <c r="LP24" s="731"/>
      <c r="LQ24" s="511">
        <v>7.0919999999999997E-2</v>
      </c>
      <c r="LR24" s="530">
        <v>499.6</v>
      </c>
      <c r="LS24" s="522">
        <v>2.0081000000000002</v>
      </c>
      <c r="LT24" s="333">
        <v>1.0013000000000001</v>
      </c>
      <c r="LU24" s="536">
        <v>1.1081000000000001</v>
      </c>
      <c r="LV24" s="526">
        <v>179.5</v>
      </c>
      <c r="LW24" s="257">
        <v>110</v>
      </c>
      <c r="LY24" s="199">
        <v>110</v>
      </c>
      <c r="LZ24" s="509">
        <v>6.6830000000000001E-2</v>
      </c>
      <c r="MA24" s="514">
        <v>499.4</v>
      </c>
      <c r="MB24" s="536">
        <v>2.0028999999999999</v>
      </c>
      <c r="MC24" s="508">
        <v>1.0029999999999999</v>
      </c>
      <c r="MD24" s="339">
        <v>1.1092</v>
      </c>
      <c r="ME24" s="526">
        <v>179.2</v>
      </c>
      <c r="MF24" s="731"/>
      <c r="MG24" s="509">
        <v>6.3170000000000004E-2</v>
      </c>
      <c r="MH24" s="528">
        <v>499.1</v>
      </c>
      <c r="MI24" s="192">
        <v>1.9981</v>
      </c>
      <c r="MJ24" s="191">
        <v>1.0046999999999999</v>
      </c>
      <c r="MK24" s="192">
        <v>1.1103000000000001</v>
      </c>
      <c r="ML24" s="526">
        <v>178.8</v>
      </c>
      <c r="MM24" s="194">
        <v>110</v>
      </c>
      <c r="MO24" s="176">
        <v>115</v>
      </c>
      <c r="MP24" s="340">
        <v>6.0780000000000001E-2</v>
      </c>
      <c r="MQ24" s="396">
        <v>503.9</v>
      </c>
      <c r="MR24" s="334">
        <v>2.0065</v>
      </c>
      <c r="MS24" s="334">
        <v>1.0124</v>
      </c>
      <c r="MT24" s="337">
        <v>1.1094999999999999</v>
      </c>
      <c r="MU24" s="565">
        <v>179.9</v>
      </c>
      <c r="MV24" s="731"/>
      <c r="MW24" s="340">
        <v>5.7770000000000002E-2</v>
      </c>
      <c r="MX24" s="397">
        <v>503.7</v>
      </c>
      <c r="MY24" s="334">
        <v>2.0021</v>
      </c>
      <c r="MZ24" s="335">
        <v>1.014</v>
      </c>
      <c r="NA24" s="334">
        <v>1.1106</v>
      </c>
      <c r="NB24" s="397">
        <v>179.6</v>
      </c>
      <c r="NC24" s="260">
        <v>115</v>
      </c>
      <c r="NE24" s="291">
        <v>115</v>
      </c>
      <c r="NF24" s="409">
        <v>5.5030000000000003E-2</v>
      </c>
      <c r="NG24" s="396">
        <v>503.5</v>
      </c>
      <c r="NH24" s="568">
        <v>1.9979</v>
      </c>
      <c r="NI24" s="415">
        <v>1.0157</v>
      </c>
      <c r="NJ24" s="335">
        <v>1.1116999999999999</v>
      </c>
      <c r="NK24" s="396">
        <v>179.3</v>
      </c>
      <c r="NL24" s="731"/>
      <c r="NM24" s="409">
        <v>5.3319999999999999E-2</v>
      </c>
      <c r="NN24" s="397">
        <v>508.3</v>
      </c>
      <c r="NO24" s="415">
        <v>2.0068999999999999</v>
      </c>
      <c r="NP24" s="334">
        <v>1.0230999999999999</v>
      </c>
      <c r="NQ24" s="415">
        <v>1.1108</v>
      </c>
      <c r="NR24" s="396">
        <v>180.4</v>
      </c>
      <c r="NS24" s="240">
        <v>120</v>
      </c>
      <c r="NU24" s="262">
        <v>120</v>
      </c>
      <c r="NV24" s="511">
        <v>5.0999999999999997E-2</v>
      </c>
      <c r="NW24" s="528">
        <v>508.1</v>
      </c>
      <c r="NX24" s="522">
        <v>2.0030000000000001</v>
      </c>
      <c r="NY24" s="470">
        <v>1.0246999999999999</v>
      </c>
      <c r="NZ24" s="572">
        <v>1.1117999999999999</v>
      </c>
      <c r="OA24" s="528">
        <v>180.1</v>
      </c>
      <c r="OB24" s="731"/>
      <c r="OC24" s="463">
        <v>4.8860000000000001E-2</v>
      </c>
      <c r="OD24" s="528">
        <v>507.9</v>
      </c>
      <c r="OE24" s="574">
        <v>1.9992000000000001</v>
      </c>
      <c r="OF24" s="459">
        <v>1.0263</v>
      </c>
      <c r="OG24" s="575">
        <v>1.1129</v>
      </c>
      <c r="OH24" s="528">
        <v>179.8</v>
      </c>
      <c r="OI24" s="263">
        <v>120</v>
      </c>
      <c r="OK24" s="184">
        <v>120</v>
      </c>
      <c r="OL24" s="537">
        <v>4.6879999999999998E-2</v>
      </c>
      <c r="OM24" s="532">
        <v>507.7</v>
      </c>
      <c r="ON24" s="459">
        <v>1.9956</v>
      </c>
      <c r="OO24" s="459">
        <v>1.0279</v>
      </c>
      <c r="OP24" s="459">
        <v>1.1138999999999999</v>
      </c>
      <c r="OQ24" s="528">
        <v>179.6</v>
      </c>
      <c r="OR24" s="731"/>
      <c r="OS24" s="537">
        <v>4.5740000000000003E-2</v>
      </c>
      <c r="OT24" s="528">
        <v>512.6</v>
      </c>
      <c r="OU24" s="536">
        <v>2.0051000000000001</v>
      </c>
      <c r="OV24" s="536">
        <v>1.0348999999999999</v>
      </c>
      <c r="OW24" s="536">
        <v>1.1129</v>
      </c>
      <c r="OX24" s="476">
        <v>180.7</v>
      </c>
      <c r="OY24" s="289">
        <v>125</v>
      </c>
      <c r="PA24" s="259">
        <v>125</v>
      </c>
      <c r="PB24" s="340">
        <v>4.4019999999999997E-2</v>
      </c>
      <c r="PC24" s="396">
        <v>512.4</v>
      </c>
      <c r="PD24" s="334">
        <v>2.0017999999999998</v>
      </c>
      <c r="PE24" s="334">
        <v>1.0365</v>
      </c>
      <c r="PF24" s="492">
        <v>1.1138999999999999</v>
      </c>
      <c r="PG24" s="540">
        <v>180.4</v>
      </c>
      <c r="PH24" s="731"/>
      <c r="PI24" s="340">
        <v>4.2430000000000002E-2</v>
      </c>
      <c r="PJ24" s="397">
        <v>512.20000000000005</v>
      </c>
      <c r="PK24" s="334">
        <v>1.9984999999999999</v>
      </c>
      <c r="PL24" s="492">
        <v>1.038</v>
      </c>
      <c r="PM24" s="334">
        <v>1.1149</v>
      </c>
      <c r="PN24" s="542">
        <v>180.1</v>
      </c>
      <c r="PO24" s="260">
        <v>125</v>
      </c>
      <c r="PQ24" s="261">
        <v>125</v>
      </c>
      <c r="PR24" s="409">
        <v>4.0930000000000001E-2</v>
      </c>
      <c r="PS24" s="396">
        <v>511.9</v>
      </c>
      <c r="PT24" s="546">
        <v>1.9953000000000001</v>
      </c>
      <c r="PU24" s="415">
        <v>1.0396000000000001</v>
      </c>
      <c r="PV24" s="492">
        <v>1.1160000000000001</v>
      </c>
      <c r="PW24" s="396">
        <v>179.9</v>
      </c>
      <c r="PX24" s="731"/>
      <c r="PY24" s="409">
        <v>3.8809999999999997E-2</v>
      </c>
      <c r="PZ24" s="397">
        <v>516.70000000000005</v>
      </c>
      <c r="QA24" s="415">
        <v>2.0023</v>
      </c>
      <c r="QB24" s="546">
        <v>1.0478000000000001</v>
      </c>
      <c r="QC24" s="415">
        <v>1.1156999999999999</v>
      </c>
      <c r="QD24" s="540">
        <v>180.8</v>
      </c>
      <c r="QE24" s="240">
        <v>130</v>
      </c>
      <c r="QG24" s="264">
        <v>130</v>
      </c>
      <c r="QH24" s="511">
        <v>3.6389999999999999E-2</v>
      </c>
      <c r="QI24" s="514">
        <v>516.29999999999995</v>
      </c>
      <c r="QJ24" s="523">
        <v>1.9964999999999999</v>
      </c>
      <c r="QK24" s="523">
        <v>1.0508999999999999</v>
      </c>
      <c r="QL24" s="387">
        <v>1.1177999999999999</v>
      </c>
      <c r="QM24" s="526">
        <v>180.2</v>
      </c>
      <c r="QN24" s="731"/>
      <c r="QO24" s="512">
        <v>3.4770000000000002E-2</v>
      </c>
      <c r="QP24" s="532">
        <v>521.1</v>
      </c>
      <c r="QQ24" s="255">
        <v>2.0041000000000002</v>
      </c>
      <c r="QR24" s="198">
        <v>1.0587</v>
      </c>
      <c r="QS24" s="256">
        <v>1.1173999999999999</v>
      </c>
      <c r="QT24" s="527">
        <v>181.2</v>
      </c>
      <c r="QU24" s="257">
        <v>135</v>
      </c>
      <c r="QW24" s="199">
        <v>135</v>
      </c>
      <c r="QX24" s="509">
        <v>3.2820000000000002E-2</v>
      </c>
      <c r="QY24" s="517">
        <v>520.70000000000005</v>
      </c>
      <c r="QZ24" s="508">
        <v>1.9988999999999999</v>
      </c>
      <c r="RA24" s="508">
        <v>1.0617000000000001</v>
      </c>
      <c r="RB24" s="590">
        <v>1.1194</v>
      </c>
      <c r="RC24" s="526">
        <v>180.7</v>
      </c>
      <c r="RD24" s="731"/>
      <c r="RE24" s="509">
        <v>3.1060000000000001E-2</v>
      </c>
      <c r="RF24" s="528">
        <v>520.29999999999995</v>
      </c>
      <c r="RG24" s="536">
        <v>1.994</v>
      </c>
      <c r="RH24" s="590">
        <v>1.0647</v>
      </c>
      <c r="RI24" s="536">
        <v>1.1214</v>
      </c>
      <c r="RJ24" s="526">
        <v>180.1</v>
      </c>
      <c r="RK24" s="194">
        <v>135</v>
      </c>
      <c r="RM24" s="270">
        <v>140</v>
      </c>
      <c r="RN24" s="340">
        <v>2.8479999999999998E-2</v>
      </c>
      <c r="RO24" s="396">
        <v>524.79999999999995</v>
      </c>
      <c r="RP24" s="491">
        <v>1.9977</v>
      </c>
      <c r="RQ24" s="491">
        <v>1.075</v>
      </c>
      <c r="RR24" s="492">
        <v>1.1227</v>
      </c>
      <c r="RS24" s="489">
        <v>180.6</v>
      </c>
      <c r="RT24" s="731"/>
      <c r="RU24" s="340">
        <v>2.6329999999999999E-2</v>
      </c>
      <c r="RV24" s="397">
        <v>529.4</v>
      </c>
      <c r="RW24" s="334">
        <v>2.0021</v>
      </c>
      <c r="RX24" s="334">
        <v>1.0849</v>
      </c>
      <c r="RY24" s="334">
        <v>1.1238999999999999</v>
      </c>
      <c r="RZ24" s="397">
        <v>181.2</v>
      </c>
      <c r="SA24" s="260">
        <v>145</v>
      </c>
      <c r="SC24" s="243">
        <v>145</v>
      </c>
      <c r="SD24" s="409">
        <v>2.4140000000000002E-2</v>
      </c>
      <c r="SE24" s="505">
        <v>528.5</v>
      </c>
      <c r="SF24" s="415">
        <v>1.9941</v>
      </c>
      <c r="SG24" s="415">
        <v>1.0906</v>
      </c>
      <c r="SH24" s="415">
        <v>1.1277999999999999</v>
      </c>
      <c r="SI24" s="396">
        <v>180.2</v>
      </c>
      <c r="SJ24" s="731"/>
      <c r="SK24" s="409">
        <v>2.2630000000000001E-2</v>
      </c>
      <c r="SL24" s="176">
        <v>533.20000000000005</v>
      </c>
      <c r="SM24" s="415">
        <v>1.9997</v>
      </c>
      <c r="SN24" s="500">
        <v>1.1000000000000001</v>
      </c>
      <c r="SO24" s="415">
        <v>1.1286</v>
      </c>
      <c r="SP24" s="190">
        <v>180.9</v>
      </c>
      <c r="SQ24" s="240">
        <v>150</v>
      </c>
      <c r="SS24" s="268">
        <v>155</v>
      </c>
      <c r="ST24" s="409">
        <v>2.1319999999999999E-2</v>
      </c>
      <c r="SU24" s="170">
        <v>537.9</v>
      </c>
      <c r="SV24" s="415">
        <v>2.0055999999999998</v>
      </c>
      <c r="SW24" s="499">
        <v>1.109</v>
      </c>
      <c r="SX24" s="499">
        <v>1.1293</v>
      </c>
      <c r="SY24" s="190">
        <v>181.6</v>
      </c>
      <c r="SZ24" s="731"/>
      <c r="TA24" s="409">
        <v>1.9859999999999999E-2</v>
      </c>
      <c r="TB24" s="397">
        <v>537.20000000000005</v>
      </c>
      <c r="TC24" s="415">
        <v>1.9990000000000001</v>
      </c>
      <c r="TD24" s="491">
        <v>1.1144000000000001</v>
      </c>
      <c r="TE24" s="334">
        <v>1.133</v>
      </c>
      <c r="TF24" s="488">
        <v>180.7</v>
      </c>
      <c r="TG24" s="240">
        <v>155</v>
      </c>
      <c r="TI24" s="270">
        <v>160</v>
      </c>
      <c r="TJ24" s="340">
        <v>1.8880000000000001E-2</v>
      </c>
      <c r="TK24" s="396">
        <v>542</v>
      </c>
      <c r="TL24" s="334">
        <v>2.0057</v>
      </c>
      <c r="TM24" s="491">
        <v>1.1229</v>
      </c>
      <c r="TN24" s="491">
        <v>1.1334</v>
      </c>
      <c r="TO24" s="489">
        <v>181.5</v>
      </c>
      <c r="TP24" s="731"/>
      <c r="TQ24" s="340">
        <v>1.772E-2</v>
      </c>
      <c r="TR24" s="397">
        <v>541.20000000000005</v>
      </c>
      <c r="TS24" s="334">
        <v>1.9997</v>
      </c>
      <c r="TT24" s="491">
        <v>1.1283000000000001</v>
      </c>
      <c r="TU24" s="334">
        <v>1.1371</v>
      </c>
      <c r="TV24" s="489">
        <v>180.6</v>
      </c>
      <c r="TW24" s="260">
        <v>160</v>
      </c>
      <c r="TY24" s="270">
        <v>165</v>
      </c>
      <c r="TZ24" s="474">
        <v>1.6959999999999999E-2</v>
      </c>
      <c r="UA24" s="467">
        <v>546.1</v>
      </c>
      <c r="UB24" s="473">
        <v>2.0070000000000001</v>
      </c>
      <c r="UC24" s="491">
        <v>1.1362000000000001</v>
      </c>
      <c r="UD24" s="610">
        <v>1.1372</v>
      </c>
      <c r="UE24" s="489">
        <v>181.5</v>
      </c>
      <c r="UF24" s="749"/>
      <c r="UG24" s="474">
        <v>1.602E-2</v>
      </c>
      <c r="UH24" s="478">
        <v>545.4</v>
      </c>
      <c r="UI24" s="473">
        <v>2.0015000000000001</v>
      </c>
      <c r="UJ24" s="491">
        <v>1.1415</v>
      </c>
      <c r="UK24" s="473">
        <v>1.1409</v>
      </c>
      <c r="UL24" s="488">
        <v>180.7</v>
      </c>
      <c r="UM24" s="310">
        <v>165</v>
      </c>
      <c r="UO24" s="247">
        <v>170</v>
      </c>
      <c r="UP24" s="497">
        <v>1.464E-2</v>
      </c>
      <c r="UQ24" s="467">
        <v>549.6</v>
      </c>
      <c r="UR24" s="471">
        <v>2.0042</v>
      </c>
      <c r="US24" s="471">
        <v>1.1540999999999999</v>
      </c>
      <c r="UT24" s="473">
        <v>1.1443000000000001</v>
      </c>
      <c r="UU24" s="489">
        <v>180.8</v>
      </c>
      <c r="UV24" s="749"/>
      <c r="UW24" s="497">
        <v>1.349E-2</v>
      </c>
      <c r="UX24" s="478">
        <v>554</v>
      </c>
      <c r="UY24" s="471">
        <v>2.0076999999999998</v>
      </c>
      <c r="UZ24" s="622">
        <v>1.1661999999999999</v>
      </c>
      <c r="VA24" s="471">
        <v>1.1473</v>
      </c>
      <c r="VB24" s="489">
        <v>181.1</v>
      </c>
      <c r="VC24" s="248">
        <v>175</v>
      </c>
      <c r="VE24" s="264">
        <v>175</v>
      </c>
      <c r="VF24" s="511">
        <v>1.2319999999999999E-2</v>
      </c>
      <c r="VG24" s="514">
        <v>552.5</v>
      </c>
      <c r="VH24" s="523">
        <v>1.9986999999999999</v>
      </c>
      <c r="VI24" s="523">
        <v>1.1767000000000001</v>
      </c>
      <c r="VJ24" s="339">
        <v>1.1547000000000001</v>
      </c>
      <c r="VK24" s="527">
        <v>179.6</v>
      </c>
      <c r="VL24" s="749"/>
      <c r="VM24" s="512">
        <v>1.1509999999999999E-2</v>
      </c>
      <c r="VN24" s="532">
        <v>557</v>
      </c>
      <c r="VO24" s="522">
        <v>2.0034000000000001</v>
      </c>
      <c r="VP24" s="391">
        <v>1.1878</v>
      </c>
      <c r="VQ24" s="522">
        <v>1.1572</v>
      </c>
      <c r="VR24" s="526">
        <v>180</v>
      </c>
      <c r="VS24" s="257">
        <v>180</v>
      </c>
      <c r="VU24" s="199">
        <v>185</v>
      </c>
      <c r="VV24" s="509">
        <v>1.0829999999999999E-2</v>
      </c>
      <c r="VW24" s="514">
        <v>561.6</v>
      </c>
      <c r="VX24" s="536">
        <v>2.0085000000000002</v>
      </c>
      <c r="VY24" s="508">
        <v>1.1982999999999999</v>
      </c>
      <c r="VZ24" s="391">
        <v>1.1593</v>
      </c>
      <c r="WA24" s="526">
        <v>180.5</v>
      </c>
      <c r="WB24" s="749"/>
      <c r="WC24" s="509">
        <v>1.004E-2</v>
      </c>
      <c r="WD24" s="528">
        <v>560.20000000000005</v>
      </c>
      <c r="WE24" s="536">
        <v>2.0009000000000001</v>
      </c>
      <c r="WF24" s="391">
        <v>1.2085999999999999</v>
      </c>
      <c r="WG24" s="536">
        <v>1.1665000000000001</v>
      </c>
      <c r="WH24" s="526">
        <v>179.2</v>
      </c>
      <c r="WI24" s="194">
        <v>185</v>
      </c>
      <c r="WK24" s="199">
        <v>190</v>
      </c>
      <c r="WL24" s="509">
        <v>9.5300000000000003E-3</v>
      </c>
      <c r="WM24" s="514">
        <v>564.9</v>
      </c>
      <c r="WN24" s="536">
        <v>2.0068000000000001</v>
      </c>
      <c r="WO24" s="508">
        <v>1.2181</v>
      </c>
      <c r="WP24" s="492">
        <v>1.1679999999999999</v>
      </c>
      <c r="WQ24" s="526">
        <v>179.9</v>
      </c>
      <c r="WR24" s="749"/>
      <c r="WS24" s="537">
        <v>9.0799999999999995E-3</v>
      </c>
      <c r="WT24" s="528">
        <v>569.70000000000005</v>
      </c>
      <c r="WU24" s="536">
        <v>2.0131000000000001</v>
      </c>
      <c r="WV24" s="536">
        <v>1.2272000000000001</v>
      </c>
      <c r="WW24" s="536">
        <v>1.1691</v>
      </c>
      <c r="WX24" s="528">
        <v>180.7</v>
      </c>
      <c r="WY24" s="194">
        <v>195</v>
      </c>
      <c r="WZ24" s="400"/>
      <c r="XA24" s="264">
        <v>195</v>
      </c>
      <c r="XB24" s="512">
        <v>8.5199999999999998E-3</v>
      </c>
      <c r="XC24" s="514">
        <v>568.29999999999995</v>
      </c>
      <c r="XD24" s="522">
        <v>2.0065</v>
      </c>
      <c r="XE24" s="522">
        <v>1.2369000000000001</v>
      </c>
      <c r="XF24" s="536">
        <v>1.1759999999999999</v>
      </c>
      <c r="XG24" s="526">
        <v>179.6</v>
      </c>
      <c r="XH24" s="749"/>
      <c r="XI24" s="512">
        <v>8.1700000000000002E-3</v>
      </c>
      <c r="XJ24" s="528">
        <v>573.20000000000005</v>
      </c>
      <c r="XK24" s="522">
        <v>2.0133999999999999</v>
      </c>
      <c r="XL24" s="500">
        <v>1.2450000000000001</v>
      </c>
      <c r="XM24" s="522">
        <v>1.1765000000000001</v>
      </c>
      <c r="XN24" s="526">
        <v>180.5</v>
      </c>
      <c r="XO24" s="257">
        <v>200</v>
      </c>
      <c r="XP24" s="177"/>
    </row>
    <row r="25" spans="1:640" ht="15.75" thickBot="1" x14ac:dyDescent="0.3">
      <c r="A25" s="282">
        <v>35</v>
      </c>
      <c r="B25" s="365">
        <v>2.5062700000000002</v>
      </c>
      <c r="C25" s="368">
        <v>434.9</v>
      </c>
      <c r="D25" s="360">
        <v>2.1221999999999999</v>
      </c>
      <c r="E25" s="360">
        <v>0.8518</v>
      </c>
      <c r="F25" s="360">
        <v>1.1069</v>
      </c>
      <c r="G25" s="172">
        <v>166.4</v>
      </c>
      <c r="H25" s="266"/>
      <c r="I25" s="365">
        <v>1.29199</v>
      </c>
      <c r="J25" s="374">
        <v>443.3</v>
      </c>
      <c r="K25" s="360">
        <v>2.0929000000000002</v>
      </c>
      <c r="L25" s="358">
        <v>0.87039999999999995</v>
      </c>
      <c r="M25" s="360">
        <v>1.1052</v>
      </c>
      <c r="N25" s="368">
        <v>168.7</v>
      </c>
      <c r="O25" s="382">
        <v>45</v>
      </c>
      <c r="P25" s="238"/>
      <c r="Q25" s="282">
        <v>55</v>
      </c>
      <c r="R25" s="363">
        <v>0.88731000000000004</v>
      </c>
      <c r="S25" s="368">
        <v>452</v>
      </c>
      <c r="T25" s="358">
        <v>2.0867</v>
      </c>
      <c r="U25" s="358">
        <v>0.88829999999999998</v>
      </c>
      <c r="V25" s="358">
        <v>1.1034999999999999</v>
      </c>
      <c r="W25" s="368">
        <v>171.1</v>
      </c>
      <c r="X25" s="266"/>
      <c r="Y25" s="363">
        <v>0.67522000000000004</v>
      </c>
      <c r="Z25" s="374">
        <v>456.3</v>
      </c>
      <c r="AA25" s="358">
        <v>2.0764999999999998</v>
      </c>
      <c r="AB25" s="358">
        <v>0.89770000000000005</v>
      </c>
      <c r="AC25" s="358">
        <v>1.103</v>
      </c>
      <c r="AD25" s="368">
        <v>172.1</v>
      </c>
      <c r="AE25" s="283">
        <v>60</v>
      </c>
      <c r="AF25" s="37"/>
      <c r="AG25" s="243">
        <v>60</v>
      </c>
      <c r="AH25" s="340">
        <v>0.53937000000000002</v>
      </c>
      <c r="AI25" s="396">
        <v>456.2</v>
      </c>
      <c r="AJ25" s="334">
        <v>2.0579999999999998</v>
      </c>
      <c r="AK25" s="334">
        <v>0.89880000000000004</v>
      </c>
      <c r="AL25" s="401">
        <v>1.1035999999999999</v>
      </c>
      <c r="AM25" s="406">
        <v>171.9</v>
      </c>
      <c r="AN25" s="731"/>
      <c r="AO25" s="340">
        <v>0.45578999999999997</v>
      </c>
      <c r="AP25" s="397">
        <v>460.6</v>
      </c>
      <c r="AQ25" s="334">
        <v>2.0562999999999998</v>
      </c>
      <c r="AR25" s="334">
        <v>0.90790000000000004</v>
      </c>
      <c r="AS25" s="401">
        <v>1.103</v>
      </c>
      <c r="AT25" s="397">
        <v>173</v>
      </c>
      <c r="AU25" s="240">
        <v>65</v>
      </c>
      <c r="AV25" s="37"/>
      <c r="AW25" s="243">
        <v>70</v>
      </c>
      <c r="AX25" s="409">
        <v>0.3962</v>
      </c>
      <c r="AY25" s="396">
        <v>465</v>
      </c>
      <c r="AZ25" s="415">
        <v>2.0569000000000002</v>
      </c>
      <c r="BA25" s="415">
        <v>0.91679999999999995</v>
      </c>
      <c r="BB25" s="415">
        <v>1.1024</v>
      </c>
      <c r="BC25" s="394">
        <v>174.1</v>
      </c>
      <c r="BD25" s="731"/>
      <c r="BE25" s="409">
        <v>0.34614</v>
      </c>
      <c r="BF25" s="397">
        <v>464.9</v>
      </c>
      <c r="BG25" s="415">
        <v>2.0457000000000001</v>
      </c>
      <c r="BH25" s="334">
        <v>0.91779999999999995</v>
      </c>
      <c r="BI25" s="415">
        <v>1.103</v>
      </c>
      <c r="BJ25" s="396">
        <v>173.9</v>
      </c>
      <c r="BK25" s="240">
        <v>70</v>
      </c>
      <c r="BL25" s="37"/>
      <c r="BM25" s="243">
        <v>75</v>
      </c>
      <c r="BN25" s="409">
        <v>0.31201000000000001</v>
      </c>
      <c r="BO25" s="396">
        <v>469.4</v>
      </c>
      <c r="BP25" s="415">
        <v>2.0491999999999999</v>
      </c>
      <c r="BQ25" s="415">
        <v>0.92649999999999999</v>
      </c>
      <c r="BR25" s="334">
        <v>1.1023000000000001</v>
      </c>
      <c r="BS25" s="396">
        <v>175</v>
      </c>
      <c r="BT25" s="731"/>
      <c r="BU25" s="409">
        <v>0.28043000000000001</v>
      </c>
      <c r="BV25" s="397">
        <v>469.3</v>
      </c>
      <c r="BW25" s="415">
        <v>2.0404</v>
      </c>
      <c r="BX25" s="334">
        <v>0.9274</v>
      </c>
      <c r="BY25" s="415">
        <v>1.1028</v>
      </c>
      <c r="BZ25" s="397">
        <v>174.9</v>
      </c>
      <c r="CA25" s="240">
        <v>75</v>
      </c>
      <c r="CB25" s="37"/>
      <c r="CC25" s="243">
        <v>75</v>
      </c>
      <c r="CD25" s="340">
        <v>0.27678000000000003</v>
      </c>
      <c r="CE25" s="396">
        <v>469.3</v>
      </c>
      <c r="CF25" s="334">
        <v>2.0392999999999999</v>
      </c>
      <c r="CG25" s="334">
        <v>0.92749999999999999</v>
      </c>
      <c r="CH25" s="334">
        <v>1.1029</v>
      </c>
      <c r="CI25" s="396">
        <v>174.8</v>
      </c>
      <c r="CJ25" s="731"/>
      <c r="CK25" s="340">
        <v>0.25852999999999998</v>
      </c>
      <c r="CL25" s="397">
        <v>473.8</v>
      </c>
      <c r="CM25" s="334">
        <v>2.0457000000000001</v>
      </c>
      <c r="CN25" s="334">
        <v>0.93589999999999995</v>
      </c>
      <c r="CO25" s="334">
        <v>1.1021000000000001</v>
      </c>
      <c r="CP25" s="396">
        <v>176</v>
      </c>
      <c r="CQ25" s="240">
        <v>80</v>
      </c>
      <c r="CR25" s="37"/>
      <c r="CS25" s="243">
        <v>80</v>
      </c>
      <c r="CT25" s="340">
        <v>0.23669000000000001</v>
      </c>
      <c r="CU25" s="396">
        <v>473.7</v>
      </c>
      <c r="CV25" s="334">
        <v>2.0384000000000002</v>
      </c>
      <c r="CW25" s="334">
        <v>0.93679999999999997</v>
      </c>
      <c r="CX25" s="444">
        <v>1.1026</v>
      </c>
      <c r="CY25" s="442">
        <v>175.8</v>
      </c>
      <c r="CZ25" s="731"/>
      <c r="DA25" s="340">
        <v>0.21825</v>
      </c>
      <c r="DB25" s="397">
        <v>473.6</v>
      </c>
      <c r="DC25" s="334">
        <v>2.0316000000000001</v>
      </c>
      <c r="DD25" s="334">
        <v>0.93769999999999998</v>
      </c>
      <c r="DE25" s="444">
        <v>1.1032</v>
      </c>
      <c r="DF25" s="397">
        <v>175.7</v>
      </c>
      <c r="DG25" s="240">
        <v>80</v>
      </c>
      <c r="DH25" s="37"/>
      <c r="DI25" s="243">
        <v>85</v>
      </c>
      <c r="DJ25" s="409">
        <v>0.20547000000000001</v>
      </c>
      <c r="DK25" s="396">
        <v>478.2</v>
      </c>
      <c r="DL25" s="415">
        <v>2.0386000000000002</v>
      </c>
      <c r="DM25" s="415">
        <v>0.94599999999999995</v>
      </c>
      <c r="DN25" s="444">
        <v>1.1024</v>
      </c>
      <c r="DO25" s="442">
        <v>176.8</v>
      </c>
      <c r="DP25" s="731"/>
      <c r="DQ25" s="409">
        <v>0.19156999999999999</v>
      </c>
      <c r="DR25" s="397">
        <v>478.1</v>
      </c>
      <c r="DS25" s="415">
        <v>2.0327000000000002</v>
      </c>
      <c r="DT25" s="415">
        <v>0.94679999999999997</v>
      </c>
      <c r="DU25" s="455">
        <v>1.1029</v>
      </c>
      <c r="DV25" s="396">
        <v>176.6</v>
      </c>
      <c r="DW25" s="240">
        <v>85</v>
      </c>
      <c r="DX25" s="37"/>
      <c r="DY25" s="247">
        <v>85</v>
      </c>
      <c r="DZ25" s="463">
        <v>0.1794</v>
      </c>
      <c r="EA25" s="467">
        <v>478</v>
      </c>
      <c r="EB25" s="471">
        <v>2.0272000000000001</v>
      </c>
      <c r="EC25" s="470">
        <v>0.94769999999999999</v>
      </c>
      <c r="ED25" s="470">
        <v>1.1033999999999999</v>
      </c>
      <c r="EE25" s="467">
        <v>176.5</v>
      </c>
      <c r="EF25" s="731"/>
      <c r="EG25" s="464">
        <v>0.17116999999999999</v>
      </c>
      <c r="EH25" s="478">
        <v>482.6</v>
      </c>
      <c r="EI25" s="471">
        <v>2.0352999999999999</v>
      </c>
      <c r="EJ25" s="459">
        <v>0.95569999999999999</v>
      </c>
      <c r="EK25" s="459">
        <v>1.1025</v>
      </c>
      <c r="EL25" s="478">
        <v>177.6</v>
      </c>
      <c r="EM25" s="248">
        <v>90</v>
      </c>
      <c r="EN25" s="37"/>
      <c r="EO25" s="247">
        <v>90</v>
      </c>
      <c r="EP25" s="474">
        <v>0.1615</v>
      </c>
      <c r="EQ25" s="467">
        <v>482.5</v>
      </c>
      <c r="ER25" s="473">
        <v>2.0304000000000002</v>
      </c>
      <c r="ES25" s="473">
        <v>0.95650000000000002</v>
      </c>
      <c r="ET25" s="459">
        <v>1.103</v>
      </c>
      <c r="EU25" s="467">
        <v>177.5</v>
      </c>
      <c r="EV25" s="731"/>
      <c r="EW25" s="474">
        <v>0.15284</v>
      </c>
      <c r="EX25" s="478">
        <v>482.4</v>
      </c>
      <c r="EY25" s="473">
        <v>2.0257999999999998</v>
      </c>
      <c r="EZ25" s="473">
        <v>0.95730000000000004</v>
      </c>
      <c r="FA25" s="459">
        <v>1.1034999999999999</v>
      </c>
      <c r="FB25" s="467">
        <v>177.3</v>
      </c>
      <c r="FC25" s="248">
        <v>90</v>
      </c>
      <c r="FD25" s="37"/>
      <c r="FE25" s="243">
        <v>90</v>
      </c>
      <c r="FF25" s="340">
        <v>0.14505000000000001</v>
      </c>
      <c r="FG25" s="396">
        <v>482.3</v>
      </c>
      <c r="FH25" s="334">
        <v>2.0213999999999999</v>
      </c>
      <c r="FI25" s="334">
        <v>0.95809999999999995</v>
      </c>
      <c r="FJ25" s="491">
        <v>1.1040000000000001</v>
      </c>
      <c r="FK25" s="396">
        <v>177.2</v>
      </c>
      <c r="FL25" s="731"/>
      <c r="FM25" s="340">
        <v>0.14004</v>
      </c>
      <c r="FN25" s="397">
        <v>487</v>
      </c>
      <c r="FO25" s="334">
        <v>2.0304000000000002</v>
      </c>
      <c r="FP25" s="334">
        <v>0.96599999999999997</v>
      </c>
      <c r="FQ25" s="334">
        <v>1.1031</v>
      </c>
      <c r="FR25" s="397">
        <v>178.3</v>
      </c>
      <c r="FS25" s="240">
        <v>90</v>
      </c>
      <c r="FT25" s="37"/>
      <c r="FU25" s="243">
        <v>95</v>
      </c>
      <c r="FV25" s="409">
        <v>0.13355</v>
      </c>
      <c r="FW25" s="396">
        <v>486.9</v>
      </c>
      <c r="FX25" s="415">
        <v>2.0264000000000002</v>
      </c>
      <c r="FY25" s="415">
        <v>0.9667</v>
      </c>
      <c r="FZ25" s="334">
        <v>1.1034999999999999</v>
      </c>
      <c r="GA25" s="489">
        <v>178.2</v>
      </c>
      <c r="GB25" s="731"/>
      <c r="GC25" s="409">
        <v>0.12762999999999999</v>
      </c>
      <c r="GD25" s="397">
        <v>486.8</v>
      </c>
      <c r="GE25" s="415">
        <v>2.0225</v>
      </c>
      <c r="GF25" s="415">
        <v>0.96750000000000003</v>
      </c>
      <c r="GG25" s="415">
        <v>1.1040000000000001</v>
      </c>
      <c r="GH25" s="396">
        <v>178</v>
      </c>
      <c r="GI25" s="240">
        <v>95</v>
      </c>
      <c r="GK25" s="243">
        <v>95</v>
      </c>
      <c r="GL25" s="409">
        <v>0.12218999999999999</v>
      </c>
      <c r="GM25" s="404">
        <v>486.7</v>
      </c>
      <c r="GN25" s="415">
        <v>2.0188999999999999</v>
      </c>
      <c r="GO25" s="415">
        <v>0.96830000000000005</v>
      </c>
      <c r="GP25" s="334">
        <v>1.1045</v>
      </c>
      <c r="GQ25" s="396">
        <v>177.9</v>
      </c>
      <c r="GR25" s="731"/>
      <c r="GS25" s="409">
        <v>0.11891</v>
      </c>
      <c r="GT25" s="397">
        <v>491.4</v>
      </c>
      <c r="GU25" s="241">
        <v>2.0285000000000002</v>
      </c>
      <c r="GV25" s="170">
        <v>0.97589999999999999</v>
      </c>
      <c r="GW25" s="241">
        <v>1.1034999999999999</v>
      </c>
      <c r="GX25" s="397">
        <v>179.1</v>
      </c>
      <c r="GY25" s="240">
        <v>100</v>
      </c>
      <c r="HA25" s="243">
        <v>100</v>
      </c>
      <c r="HB25" s="340">
        <v>0.11425</v>
      </c>
      <c r="HC25" s="396">
        <v>491.3</v>
      </c>
      <c r="HD25" s="334">
        <v>2.0251000000000001</v>
      </c>
      <c r="HE25" s="334">
        <v>0.97660000000000002</v>
      </c>
      <c r="HF25" s="339">
        <v>1.1040000000000001</v>
      </c>
      <c r="HG25" s="396">
        <v>178.9</v>
      </c>
      <c r="HH25" s="731"/>
      <c r="HI25" s="340">
        <v>0.1099</v>
      </c>
      <c r="HJ25" s="397">
        <v>491.2</v>
      </c>
      <c r="HK25" s="334">
        <v>2.0217999999999998</v>
      </c>
      <c r="HL25" s="334">
        <v>0.97740000000000005</v>
      </c>
      <c r="HM25" s="334">
        <v>1.1044</v>
      </c>
      <c r="HN25" s="396">
        <v>178.8</v>
      </c>
      <c r="HO25" s="240">
        <v>100</v>
      </c>
      <c r="HQ25" s="268">
        <v>100</v>
      </c>
      <c r="HR25" s="340">
        <v>0.10588</v>
      </c>
      <c r="HS25" s="396">
        <v>491.1</v>
      </c>
      <c r="HT25" s="334">
        <v>2.0186000000000002</v>
      </c>
      <c r="HU25" s="334">
        <v>0.97809999999999997</v>
      </c>
      <c r="HV25" s="492">
        <v>1.1049</v>
      </c>
      <c r="HW25" s="396">
        <v>178.7</v>
      </c>
      <c r="HX25" s="731"/>
      <c r="HY25" s="490">
        <v>0.10213</v>
      </c>
      <c r="HZ25" s="397">
        <v>491</v>
      </c>
      <c r="IA25" s="334">
        <v>2.0156000000000001</v>
      </c>
      <c r="IB25" s="334">
        <v>0.9788</v>
      </c>
      <c r="IC25" s="334">
        <v>1.1052999999999999</v>
      </c>
      <c r="ID25" s="488">
        <v>178.5</v>
      </c>
      <c r="IE25" s="240">
        <v>100</v>
      </c>
      <c r="IG25" s="268">
        <v>105</v>
      </c>
      <c r="IH25" s="409">
        <v>0.10009</v>
      </c>
      <c r="II25" s="396">
        <v>495.9</v>
      </c>
      <c r="IJ25" s="415">
        <v>2.0257000000000001</v>
      </c>
      <c r="IK25" s="415">
        <v>0.98619999999999997</v>
      </c>
      <c r="IL25" s="492">
        <v>1.1042000000000001</v>
      </c>
      <c r="IM25" s="396">
        <v>179.7</v>
      </c>
      <c r="IN25" s="731"/>
      <c r="IO25" s="409">
        <v>9.6780000000000005E-2</v>
      </c>
      <c r="IP25" s="397">
        <v>495.8</v>
      </c>
      <c r="IQ25" s="415">
        <v>2.0228000000000002</v>
      </c>
      <c r="IR25" s="415">
        <v>0.9869</v>
      </c>
      <c r="IS25" s="415">
        <v>1.1047</v>
      </c>
      <c r="IT25" s="489">
        <v>179.6</v>
      </c>
      <c r="IU25" s="240">
        <v>105</v>
      </c>
      <c r="IW25" s="264">
        <v>105</v>
      </c>
      <c r="IX25" s="512">
        <v>9.3659999999999993E-2</v>
      </c>
      <c r="IY25" s="514">
        <v>495.7</v>
      </c>
      <c r="IZ25" s="522">
        <v>2.0200999999999998</v>
      </c>
      <c r="JA25" s="523">
        <v>0.98760000000000003</v>
      </c>
      <c r="JB25" s="388">
        <v>1.1051</v>
      </c>
      <c r="JC25" s="526">
        <v>179.5</v>
      </c>
      <c r="JD25" s="731"/>
      <c r="JE25" s="512">
        <v>9.0740000000000001E-2</v>
      </c>
      <c r="JF25" s="528">
        <v>495.6</v>
      </c>
      <c r="JG25" s="522">
        <v>2.0173999999999999</v>
      </c>
      <c r="JH25" s="536">
        <v>0.98829999999999996</v>
      </c>
      <c r="JI25" s="522">
        <v>1.1055999999999999</v>
      </c>
      <c r="JJ25" s="530">
        <v>179.3</v>
      </c>
      <c r="JK25" s="257">
        <v>105</v>
      </c>
      <c r="JM25" s="264">
        <v>105</v>
      </c>
      <c r="JN25" s="509">
        <v>8.7999999999999995E-2</v>
      </c>
      <c r="JO25" s="514">
        <v>495.5</v>
      </c>
      <c r="JP25" s="536">
        <v>2.0146999999999999</v>
      </c>
      <c r="JQ25" s="508">
        <v>0.98899999999999999</v>
      </c>
      <c r="JR25" s="388">
        <v>1.1060000000000001</v>
      </c>
      <c r="JS25" s="526">
        <v>179.2</v>
      </c>
      <c r="JT25" s="731"/>
      <c r="JU25" s="509">
        <v>8.6660000000000001E-2</v>
      </c>
      <c r="JV25" s="528">
        <v>500.3</v>
      </c>
      <c r="JW25" s="536">
        <v>2.0251999999999999</v>
      </c>
      <c r="JX25" s="536">
        <v>0.99619999999999997</v>
      </c>
      <c r="JY25" s="536">
        <v>1.1049</v>
      </c>
      <c r="JZ25" s="526">
        <v>180.4</v>
      </c>
      <c r="KA25" s="194">
        <v>110</v>
      </c>
      <c r="KC25" s="267">
        <v>110</v>
      </c>
      <c r="KD25" s="340">
        <v>8.4180000000000005E-2</v>
      </c>
      <c r="KE25" s="396">
        <v>500.2</v>
      </c>
      <c r="KF25" s="170">
        <v>2.0228000000000002</v>
      </c>
      <c r="KG25" s="170">
        <v>0.99690000000000001</v>
      </c>
      <c r="KH25" s="196">
        <v>1.1052999999999999</v>
      </c>
      <c r="KI25" s="540">
        <v>180.3</v>
      </c>
      <c r="KJ25" s="731"/>
      <c r="KK25" s="340">
        <v>8.1839999999999996E-2</v>
      </c>
      <c r="KL25" s="397">
        <v>500.1</v>
      </c>
      <c r="KM25" s="334">
        <v>2.0203000000000002</v>
      </c>
      <c r="KN25" s="334">
        <v>0.99750000000000005</v>
      </c>
      <c r="KO25" s="541">
        <v>1.1056999999999999</v>
      </c>
      <c r="KP25" s="540">
        <v>180.1</v>
      </c>
      <c r="KQ25" s="177">
        <v>110</v>
      </c>
      <c r="KS25" s="288">
        <v>110</v>
      </c>
      <c r="KT25" s="409">
        <v>7.9619999999999996E-2</v>
      </c>
      <c r="KU25" s="404">
        <v>500.1</v>
      </c>
      <c r="KV25" s="415">
        <v>2.0179999999999998</v>
      </c>
      <c r="KW25" s="415">
        <v>0.99819999999999998</v>
      </c>
      <c r="KX25" s="541">
        <v>1.1061000000000001</v>
      </c>
      <c r="KY25" s="404">
        <v>180</v>
      </c>
      <c r="KZ25" s="731"/>
      <c r="LA25" s="340">
        <v>7.7499999999999999E-2</v>
      </c>
      <c r="LB25" s="397">
        <v>500</v>
      </c>
      <c r="LC25" s="415">
        <v>2.0156999999999998</v>
      </c>
      <c r="LD25" s="417">
        <v>0.99890000000000001</v>
      </c>
      <c r="LE25" s="546">
        <v>1.1066</v>
      </c>
      <c r="LF25" s="396">
        <v>179.9</v>
      </c>
      <c r="LG25" s="240">
        <v>110</v>
      </c>
      <c r="LI25" s="264">
        <v>110</v>
      </c>
      <c r="LJ25" s="512">
        <v>7.5509999999999994E-2</v>
      </c>
      <c r="LK25" s="514">
        <v>499.9</v>
      </c>
      <c r="LL25" s="522">
        <v>2.0133999999999999</v>
      </c>
      <c r="LM25" s="523">
        <v>0.99960000000000004</v>
      </c>
      <c r="LN25" s="333" t="s">
        <v>132</v>
      </c>
      <c r="LO25" s="526">
        <v>179.8</v>
      </c>
      <c r="LP25" s="731"/>
      <c r="LQ25" s="512">
        <v>7.1959999999999996E-2</v>
      </c>
      <c r="LR25" s="528">
        <v>504.6</v>
      </c>
      <c r="LS25" s="522">
        <v>2.0211000000000001</v>
      </c>
      <c r="LT25" s="508">
        <v>1.0075000000000001</v>
      </c>
      <c r="LU25" s="536">
        <v>1.1064000000000001</v>
      </c>
      <c r="LV25" s="526">
        <v>180.8</v>
      </c>
      <c r="LW25" s="257">
        <v>115</v>
      </c>
      <c r="LY25" s="199">
        <v>115</v>
      </c>
      <c r="LZ25" s="537">
        <v>6.7820000000000005E-2</v>
      </c>
      <c r="MA25" s="514">
        <v>504.4</v>
      </c>
      <c r="MB25" s="536">
        <v>2.016</v>
      </c>
      <c r="MC25" s="508">
        <v>1.0091000000000001</v>
      </c>
      <c r="MD25" s="339">
        <v>1.1073999999999999</v>
      </c>
      <c r="ME25" s="526">
        <v>180.5</v>
      </c>
      <c r="MF25" s="731"/>
      <c r="MG25" s="509">
        <v>6.411E-2</v>
      </c>
      <c r="MH25" s="528">
        <v>504.2</v>
      </c>
      <c r="MI25" s="192">
        <v>2.0110999999999999</v>
      </c>
      <c r="MJ25" s="253">
        <v>1.0106999999999999</v>
      </c>
      <c r="MK25" s="192">
        <v>1.1085</v>
      </c>
      <c r="ML25" s="526">
        <v>180.2</v>
      </c>
      <c r="MM25" s="194">
        <v>115</v>
      </c>
      <c r="MO25" s="176">
        <v>120</v>
      </c>
      <c r="MP25" s="340">
        <v>6.1690000000000002E-2</v>
      </c>
      <c r="MQ25" s="396">
        <v>509</v>
      </c>
      <c r="MR25" s="334">
        <v>2.0194999999999999</v>
      </c>
      <c r="MS25" s="334">
        <v>1.0183</v>
      </c>
      <c r="MT25" s="338">
        <v>1.1076999999999999</v>
      </c>
      <c r="MU25" s="397">
        <v>181.3</v>
      </c>
      <c r="MV25" s="731"/>
      <c r="MW25" s="340">
        <v>5.8639999999999998E-2</v>
      </c>
      <c r="MX25" s="397">
        <v>508.8</v>
      </c>
      <c r="MY25" s="334">
        <v>2.0150999999999999</v>
      </c>
      <c r="MZ25" s="334">
        <v>1.0199</v>
      </c>
      <c r="NA25" s="334">
        <v>1.1087</v>
      </c>
      <c r="NB25" s="397">
        <v>181</v>
      </c>
      <c r="NC25" s="260">
        <v>120</v>
      </c>
      <c r="NE25" s="243">
        <v>120</v>
      </c>
      <c r="NF25" s="409">
        <v>5.5849999999999997E-2</v>
      </c>
      <c r="NG25" s="396">
        <v>508.6</v>
      </c>
      <c r="NH25" s="415">
        <v>2.0108999999999999</v>
      </c>
      <c r="NI25" s="415">
        <v>1.0215000000000001</v>
      </c>
      <c r="NJ25" s="334">
        <v>1.1096999999999999</v>
      </c>
      <c r="NK25" s="396">
        <v>180.7</v>
      </c>
      <c r="NL25" s="731"/>
      <c r="NM25" s="409">
        <v>5.4120000000000001E-2</v>
      </c>
      <c r="NN25" s="397">
        <v>513.5</v>
      </c>
      <c r="NO25" s="415">
        <v>2.0198</v>
      </c>
      <c r="NP25" s="335">
        <v>1.0287999999999999</v>
      </c>
      <c r="NQ25" s="415">
        <v>1.1089</v>
      </c>
      <c r="NR25" s="396">
        <v>181.8</v>
      </c>
      <c r="NS25" s="240">
        <v>125</v>
      </c>
      <c r="NU25" s="288">
        <v>125</v>
      </c>
      <c r="NV25" s="511">
        <v>5.1749999999999997E-2</v>
      </c>
      <c r="NW25" s="528">
        <v>513.29999999999995</v>
      </c>
      <c r="NX25" s="522">
        <v>2.0158999999999998</v>
      </c>
      <c r="NY25" s="470">
        <v>1.0303</v>
      </c>
      <c r="NZ25" s="459">
        <v>1.1099000000000001</v>
      </c>
      <c r="OA25" s="528">
        <v>181.5</v>
      </c>
      <c r="OB25" s="731"/>
      <c r="OC25" s="511">
        <v>4.9590000000000002E-2</v>
      </c>
      <c r="OD25" s="528">
        <v>513</v>
      </c>
      <c r="OE25" s="574">
        <v>2.0122</v>
      </c>
      <c r="OF25" s="536">
        <v>1.0318000000000001</v>
      </c>
      <c r="OG25" s="574">
        <v>1.1109</v>
      </c>
      <c r="OH25" s="476">
        <v>181.3</v>
      </c>
      <c r="OI25" s="263">
        <v>125</v>
      </c>
      <c r="OK25" s="267">
        <v>125</v>
      </c>
      <c r="OL25" s="537">
        <v>4.7600000000000003E-2</v>
      </c>
      <c r="OM25" s="517">
        <v>512.79999999999995</v>
      </c>
      <c r="ON25" s="536">
        <v>2.0085999999999999</v>
      </c>
      <c r="OO25" s="459">
        <v>1.0334000000000001</v>
      </c>
      <c r="OP25" s="339">
        <v>1.1119000000000001</v>
      </c>
      <c r="OQ25" s="528">
        <v>181</v>
      </c>
      <c r="OR25" s="731"/>
      <c r="OS25" s="537">
        <v>4.6420000000000003E-2</v>
      </c>
      <c r="OT25" s="528">
        <v>517.79999999999995</v>
      </c>
      <c r="OU25" s="536">
        <v>2.0181</v>
      </c>
      <c r="OV25" s="536">
        <v>1.0404</v>
      </c>
      <c r="OW25" s="536">
        <v>1.1109</v>
      </c>
      <c r="OX25" s="476">
        <v>182.1</v>
      </c>
      <c r="OY25" s="289">
        <v>130</v>
      </c>
      <c r="PA25" s="259">
        <v>130</v>
      </c>
      <c r="PB25" s="340">
        <v>4.4679999999999997E-2</v>
      </c>
      <c r="PC25" s="396">
        <v>517.6</v>
      </c>
      <c r="PD25" s="334">
        <v>2.0146999999999999</v>
      </c>
      <c r="PE25" s="541">
        <v>1.0419</v>
      </c>
      <c r="PF25" s="492">
        <v>1.1117999999999999</v>
      </c>
      <c r="PG25" s="540">
        <v>181.8</v>
      </c>
      <c r="PH25" s="731"/>
      <c r="PI25" s="340">
        <v>4.3069999999999997E-2</v>
      </c>
      <c r="PJ25" s="397">
        <v>517.4</v>
      </c>
      <c r="PK25" s="334">
        <v>2.0114999999999998</v>
      </c>
      <c r="PL25" s="541">
        <v>1.0432999999999999</v>
      </c>
      <c r="PM25" s="334">
        <v>1.1128</v>
      </c>
      <c r="PN25" s="542">
        <v>181.6</v>
      </c>
      <c r="PO25" s="260">
        <v>130</v>
      </c>
      <c r="PQ25" s="261">
        <v>130</v>
      </c>
      <c r="PR25" s="409">
        <v>4.1549999999999997E-2</v>
      </c>
      <c r="PS25" s="396">
        <v>517.1</v>
      </c>
      <c r="PT25" s="415">
        <v>2.0083000000000002</v>
      </c>
      <c r="PU25" s="415">
        <v>1.0448</v>
      </c>
      <c r="PV25" s="492">
        <v>1.1137999999999999</v>
      </c>
      <c r="PW25" s="540">
        <v>181.3</v>
      </c>
      <c r="PX25" s="731"/>
      <c r="PY25" s="409">
        <v>3.9399999999999998E-2</v>
      </c>
      <c r="PZ25" s="397">
        <v>522</v>
      </c>
      <c r="QA25" s="415">
        <v>2.0152000000000001</v>
      </c>
      <c r="QB25" s="546">
        <v>1.0528999999999999</v>
      </c>
      <c r="QC25" s="415">
        <v>1.1135999999999999</v>
      </c>
      <c r="QD25" s="540">
        <v>182.2</v>
      </c>
      <c r="QE25" s="245">
        <v>135</v>
      </c>
      <c r="QG25" s="264">
        <v>135</v>
      </c>
      <c r="QH25" s="512">
        <v>3.6949999999999997E-2</v>
      </c>
      <c r="QI25" s="514">
        <v>521.5</v>
      </c>
      <c r="QJ25" s="522">
        <v>2.0095000000000001</v>
      </c>
      <c r="QK25" s="523">
        <v>1.0558000000000001</v>
      </c>
      <c r="QL25" s="387">
        <v>1.1154999999999999</v>
      </c>
      <c r="QM25" s="526">
        <v>181.7</v>
      </c>
      <c r="QN25" s="731"/>
      <c r="QO25" s="512">
        <v>3.5299999999999998E-2</v>
      </c>
      <c r="QP25" s="532">
        <v>526.4</v>
      </c>
      <c r="QQ25" s="255">
        <v>2.0169999999999999</v>
      </c>
      <c r="QR25" s="198">
        <v>1.0636000000000001</v>
      </c>
      <c r="QS25" s="255">
        <v>1.1151</v>
      </c>
      <c r="QT25" s="527">
        <v>182.7</v>
      </c>
      <c r="QU25" s="257">
        <v>140</v>
      </c>
      <c r="QW25" s="199">
        <v>140</v>
      </c>
      <c r="QX25" s="509">
        <v>3.3329999999999999E-2</v>
      </c>
      <c r="QY25" s="517">
        <v>526</v>
      </c>
      <c r="QZ25" s="536">
        <v>2.0118999999999998</v>
      </c>
      <c r="RA25" s="508">
        <v>1.0664</v>
      </c>
      <c r="RB25" s="590">
        <v>1.117</v>
      </c>
      <c r="RC25" s="596">
        <v>182.2</v>
      </c>
      <c r="RD25" s="731"/>
      <c r="RE25" s="509">
        <v>3.1550000000000002E-2</v>
      </c>
      <c r="RF25" s="528">
        <v>525.6</v>
      </c>
      <c r="RG25" s="508">
        <v>2.0070000000000001</v>
      </c>
      <c r="RH25" s="590">
        <v>1.0691999999999999</v>
      </c>
      <c r="RI25" s="536">
        <v>1.1189</v>
      </c>
      <c r="RJ25" s="526">
        <v>181.7</v>
      </c>
      <c r="RK25" s="194">
        <v>140</v>
      </c>
      <c r="RM25" s="176">
        <v>145</v>
      </c>
      <c r="RN25" s="340">
        <v>2.8920000000000001E-2</v>
      </c>
      <c r="RO25" s="396">
        <v>530.20000000000005</v>
      </c>
      <c r="RP25" s="334">
        <v>2.0106000000000002</v>
      </c>
      <c r="RQ25" s="334">
        <v>1.0792999999999999</v>
      </c>
      <c r="RR25" s="334">
        <v>1.1201000000000001</v>
      </c>
      <c r="RS25" s="397">
        <v>182.2</v>
      </c>
      <c r="RT25" s="731"/>
      <c r="RU25" s="490">
        <v>2.6749999999999999E-2</v>
      </c>
      <c r="RV25" s="397">
        <v>534.79999999999995</v>
      </c>
      <c r="RW25" s="334">
        <v>2.0150000000000001</v>
      </c>
      <c r="RX25" s="492">
        <v>1.089</v>
      </c>
      <c r="RY25" s="334">
        <v>1.1212</v>
      </c>
      <c r="RZ25" s="488">
        <v>182.8</v>
      </c>
      <c r="SA25" s="260">
        <v>150</v>
      </c>
      <c r="SC25" s="268">
        <v>150</v>
      </c>
      <c r="SD25" s="409">
        <v>2.453E-2</v>
      </c>
      <c r="SE25" s="396">
        <v>534</v>
      </c>
      <c r="SF25" s="415">
        <v>2.0070999999999999</v>
      </c>
      <c r="SG25" s="415">
        <v>1.0944</v>
      </c>
      <c r="SH25" s="500">
        <v>1.1249</v>
      </c>
      <c r="SI25" s="489">
        <v>181.8</v>
      </c>
      <c r="SJ25" s="731"/>
      <c r="SK25" s="409">
        <v>2.299E-2</v>
      </c>
      <c r="SL25" s="176">
        <v>538.70000000000005</v>
      </c>
      <c r="SM25" s="415">
        <v>2.0125999999999999</v>
      </c>
      <c r="SN25" s="499">
        <v>1.1035999999999999</v>
      </c>
      <c r="SO25" s="415">
        <v>1.1256999999999999</v>
      </c>
      <c r="SP25" s="190">
        <v>182.5</v>
      </c>
      <c r="SQ25" s="240">
        <v>155</v>
      </c>
      <c r="SS25" s="268">
        <v>160</v>
      </c>
      <c r="ST25" s="409">
        <v>2.1659999999999999E-2</v>
      </c>
      <c r="SU25" s="170">
        <v>543.5</v>
      </c>
      <c r="SV25" s="415">
        <v>2.0185</v>
      </c>
      <c r="SW25" s="499">
        <v>1.1125</v>
      </c>
      <c r="SX25" s="499">
        <v>1.1263000000000001</v>
      </c>
      <c r="SY25" s="190">
        <v>183.2</v>
      </c>
      <c r="SZ25" s="731"/>
      <c r="TA25" s="409">
        <v>2.018E-2</v>
      </c>
      <c r="TB25" s="397">
        <v>542.70000000000005</v>
      </c>
      <c r="TC25" s="415">
        <v>2.012</v>
      </c>
      <c r="TD25" s="491">
        <v>1.1175999999999999</v>
      </c>
      <c r="TE25" s="334">
        <v>1.1297999999999999</v>
      </c>
      <c r="TF25" s="488">
        <v>182.4</v>
      </c>
      <c r="TG25" s="240">
        <v>160</v>
      </c>
      <c r="TI25" s="270">
        <v>165</v>
      </c>
      <c r="TJ25" s="340">
        <v>1.9179999999999999E-2</v>
      </c>
      <c r="TK25" s="396">
        <v>547.6</v>
      </c>
      <c r="TL25" s="334">
        <v>2.0186000000000002</v>
      </c>
      <c r="TM25" s="491">
        <v>1.1259999999999999</v>
      </c>
      <c r="TN25" s="491">
        <v>1.1302000000000001</v>
      </c>
      <c r="TO25" s="489">
        <v>183.1</v>
      </c>
      <c r="TP25" s="731"/>
      <c r="TQ25" s="340">
        <v>1.8010000000000002E-2</v>
      </c>
      <c r="TR25" s="397">
        <v>546.9</v>
      </c>
      <c r="TS25" s="334">
        <v>2.0127000000000002</v>
      </c>
      <c r="TT25" s="491">
        <v>1.131</v>
      </c>
      <c r="TU25" s="334">
        <v>1.1335999999999999</v>
      </c>
      <c r="TV25" s="489">
        <v>182.3</v>
      </c>
      <c r="TW25" s="260">
        <v>165</v>
      </c>
      <c r="TY25" s="185">
        <v>170</v>
      </c>
      <c r="TZ25" s="474">
        <v>1.7239999999999998E-2</v>
      </c>
      <c r="UA25" s="467">
        <v>551.79999999999995</v>
      </c>
      <c r="UB25" s="473">
        <v>2.0198999999999998</v>
      </c>
      <c r="UC25" s="473">
        <v>1.1389</v>
      </c>
      <c r="UD25" s="611">
        <v>1.1336999999999999</v>
      </c>
      <c r="UE25" s="478">
        <v>183.2</v>
      </c>
      <c r="UF25" s="749"/>
      <c r="UG25" s="474">
        <v>1.6289999999999999E-2</v>
      </c>
      <c r="UH25" s="478">
        <v>551.1</v>
      </c>
      <c r="UI25" s="473">
        <v>2.0145</v>
      </c>
      <c r="UJ25" s="473">
        <v>1.1438999999999999</v>
      </c>
      <c r="UK25" s="473">
        <v>1.1372</v>
      </c>
      <c r="UL25" s="478">
        <v>182.4</v>
      </c>
      <c r="UM25" s="310">
        <v>170</v>
      </c>
      <c r="UO25" s="268">
        <v>175</v>
      </c>
      <c r="UP25" s="464">
        <v>1.4880000000000001E-2</v>
      </c>
      <c r="UQ25" s="467">
        <v>555.4</v>
      </c>
      <c r="UR25" s="471">
        <v>2.0171999999999999</v>
      </c>
      <c r="US25" s="499">
        <v>1.1560999999999999</v>
      </c>
      <c r="UT25" s="610">
        <v>1.1404000000000001</v>
      </c>
      <c r="UU25" s="489">
        <v>782.6</v>
      </c>
      <c r="UV25" s="749"/>
      <c r="UW25" s="464">
        <v>1.372E-2</v>
      </c>
      <c r="UX25" s="478">
        <v>559.79999999999995</v>
      </c>
      <c r="UY25" s="471">
        <v>2.0206</v>
      </c>
      <c r="UZ25" s="622">
        <v>1.1678999999999999</v>
      </c>
      <c r="VA25" s="471">
        <v>1.1432</v>
      </c>
      <c r="VB25" s="489">
        <v>182.9</v>
      </c>
      <c r="VC25" s="248">
        <v>180</v>
      </c>
      <c r="VE25" s="264">
        <v>180</v>
      </c>
      <c r="VF25" s="512">
        <v>1.2529999999999999E-2</v>
      </c>
      <c r="VG25" s="514">
        <v>558.4</v>
      </c>
      <c r="VH25" s="522">
        <v>2.0118</v>
      </c>
      <c r="VI25" s="523">
        <v>1.1776</v>
      </c>
      <c r="VJ25" s="391">
        <v>1.1499999999999999</v>
      </c>
      <c r="VK25" s="527">
        <v>181.4</v>
      </c>
      <c r="VL25" s="749"/>
      <c r="VM25" s="512">
        <v>1.172E-2</v>
      </c>
      <c r="VN25" s="532">
        <v>562.9</v>
      </c>
      <c r="VO25" s="522">
        <v>2.0164</v>
      </c>
      <c r="VP25" s="391">
        <v>1.1884999999999999</v>
      </c>
      <c r="VQ25" s="522">
        <v>1.1524000000000001</v>
      </c>
      <c r="VR25" s="526">
        <v>181.9</v>
      </c>
      <c r="VS25" s="257">
        <v>185</v>
      </c>
      <c r="VU25" s="199">
        <v>190</v>
      </c>
      <c r="VV25" s="509">
        <v>1.102E-2</v>
      </c>
      <c r="VW25" s="514">
        <v>567.6</v>
      </c>
      <c r="VX25" s="536">
        <v>2.0215000000000001</v>
      </c>
      <c r="VY25" s="508">
        <v>1.1988000000000001</v>
      </c>
      <c r="VZ25" s="391">
        <v>1.1544000000000001</v>
      </c>
      <c r="WA25" s="526">
        <v>182.4</v>
      </c>
      <c r="WB25" s="749"/>
      <c r="WC25" s="509">
        <v>1.023E-2</v>
      </c>
      <c r="WD25" s="528">
        <v>566.20000000000005</v>
      </c>
      <c r="WE25" s="508">
        <v>2.0139999999999998</v>
      </c>
      <c r="WF25" s="391">
        <v>1.2082999999999999</v>
      </c>
      <c r="WG25" s="536">
        <v>1.1611</v>
      </c>
      <c r="WH25" s="526">
        <v>181.2</v>
      </c>
      <c r="WI25" s="194">
        <v>190</v>
      </c>
      <c r="WK25" s="199">
        <v>195</v>
      </c>
      <c r="WL25" s="509">
        <v>9.7099999999999999E-3</v>
      </c>
      <c r="WM25" s="514">
        <v>571</v>
      </c>
      <c r="WN25" s="536">
        <v>2.0198999999999998</v>
      </c>
      <c r="WO25" s="536">
        <v>1.2177</v>
      </c>
      <c r="WP25" s="536">
        <v>1.1625000000000001</v>
      </c>
      <c r="WQ25" s="530">
        <v>181.9</v>
      </c>
      <c r="WR25" s="749"/>
      <c r="WS25" s="509">
        <v>9.2499999999999995E-3</v>
      </c>
      <c r="WT25" s="528">
        <v>575.79999999999995</v>
      </c>
      <c r="WU25" s="536">
        <v>2.0261</v>
      </c>
      <c r="WV25" s="508">
        <v>1.2266999999999999</v>
      </c>
      <c r="WW25" s="536">
        <v>1.1636</v>
      </c>
      <c r="WX25" s="530">
        <v>182.7</v>
      </c>
      <c r="WY25" s="194">
        <v>200</v>
      </c>
      <c r="WZ25" s="400"/>
      <c r="XA25" s="254">
        <v>200</v>
      </c>
      <c r="XB25" s="512">
        <v>8.6800000000000002E-3</v>
      </c>
      <c r="XC25" s="514">
        <v>574.5</v>
      </c>
      <c r="XD25" s="522">
        <v>2.0196999999999998</v>
      </c>
      <c r="XE25" s="523">
        <v>1.2357</v>
      </c>
      <c r="XF25" s="492">
        <v>1.17</v>
      </c>
      <c r="XG25" s="526">
        <v>181.6</v>
      </c>
      <c r="XH25" s="749"/>
      <c r="XI25" s="512">
        <v>8.3300000000000006E-3</v>
      </c>
      <c r="XJ25" s="528">
        <v>579.4</v>
      </c>
      <c r="XK25" s="522">
        <v>2.0265</v>
      </c>
      <c r="XL25" s="500">
        <v>1.2438</v>
      </c>
      <c r="XM25" s="522">
        <v>1.1705000000000001</v>
      </c>
      <c r="XN25" s="526">
        <v>182.5</v>
      </c>
      <c r="XO25" s="257">
        <v>205</v>
      </c>
      <c r="XP25" s="170"/>
    </row>
    <row r="26" spans="1:640" ht="15.75" thickBot="1" x14ac:dyDescent="0.3">
      <c r="A26" s="282">
        <v>40</v>
      </c>
      <c r="B26" s="365">
        <v>2.54453</v>
      </c>
      <c r="C26" s="368">
        <v>439.2</v>
      </c>
      <c r="D26" s="360">
        <v>2.1360000000000001</v>
      </c>
      <c r="E26" s="360">
        <v>0.86050000000000004</v>
      </c>
      <c r="F26" s="360">
        <v>1.1055999999999999</v>
      </c>
      <c r="G26" s="172">
        <v>167.7</v>
      </c>
      <c r="H26" s="266"/>
      <c r="I26" s="365">
        <v>1.3123400000000001</v>
      </c>
      <c r="J26" s="374">
        <v>447.7</v>
      </c>
      <c r="K26" s="360">
        <v>2.1065</v>
      </c>
      <c r="L26" s="358">
        <v>0.87880000000000003</v>
      </c>
      <c r="M26" s="360">
        <v>1.1040000000000001</v>
      </c>
      <c r="N26" s="368">
        <v>170</v>
      </c>
      <c r="O26" s="382">
        <v>50</v>
      </c>
      <c r="P26" s="238"/>
      <c r="Q26" s="282">
        <v>60</v>
      </c>
      <c r="R26" s="363">
        <v>0.90171000000000001</v>
      </c>
      <c r="S26" s="368">
        <v>456.5</v>
      </c>
      <c r="T26" s="358">
        <v>2.1002000000000001</v>
      </c>
      <c r="U26" s="358">
        <v>0.89649999999999996</v>
      </c>
      <c r="V26" s="358">
        <v>1.1023000000000001</v>
      </c>
      <c r="W26" s="368">
        <v>172.3</v>
      </c>
      <c r="X26" s="266"/>
      <c r="Y26" s="363">
        <v>0.68540000000000001</v>
      </c>
      <c r="Z26" s="374">
        <v>460.8</v>
      </c>
      <c r="AA26" s="358">
        <v>2.0899000000000001</v>
      </c>
      <c r="AB26" s="358">
        <v>0.90580000000000005</v>
      </c>
      <c r="AC26" s="358">
        <v>1.1017999999999999</v>
      </c>
      <c r="AD26" s="368">
        <v>173.4</v>
      </c>
      <c r="AE26" s="283">
        <v>65</v>
      </c>
      <c r="AF26" s="37"/>
      <c r="AG26" s="243">
        <v>65</v>
      </c>
      <c r="AH26" s="340">
        <v>0.54764999999999997</v>
      </c>
      <c r="AI26" s="396">
        <v>460.7</v>
      </c>
      <c r="AJ26" s="334">
        <v>2.0714999999999999</v>
      </c>
      <c r="AK26" s="334">
        <v>0.90680000000000005</v>
      </c>
      <c r="AL26" s="401">
        <v>1.1024</v>
      </c>
      <c r="AM26" s="406">
        <v>173.2</v>
      </c>
      <c r="AN26" s="731"/>
      <c r="AO26" s="340">
        <v>0.46274999999999999</v>
      </c>
      <c r="AP26" s="397">
        <v>465.1</v>
      </c>
      <c r="AQ26" s="334">
        <v>2.0697000000000001</v>
      </c>
      <c r="AR26" s="334">
        <v>0.91579999999999995</v>
      </c>
      <c r="AS26" s="334">
        <v>1.1017999999999999</v>
      </c>
      <c r="AT26" s="407">
        <v>174.3</v>
      </c>
      <c r="AU26" s="240">
        <v>70</v>
      </c>
      <c r="AV26" s="37"/>
      <c r="AW26" s="243">
        <v>75</v>
      </c>
      <c r="AX26" s="409">
        <v>0.40209</v>
      </c>
      <c r="AY26" s="396">
        <v>469.6</v>
      </c>
      <c r="AZ26" s="415">
        <v>2.0701999999999998</v>
      </c>
      <c r="BA26" s="415">
        <v>0.92459999999999998</v>
      </c>
      <c r="BB26" s="416">
        <v>1.1012</v>
      </c>
      <c r="BC26" s="396">
        <v>175.3</v>
      </c>
      <c r="BD26" s="731"/>
      <c r="BE26" s="412">
        <v>0.35137000000000002</v>
      </c>
      <c r="BF26" s="397">
        <v>469.5</v>
      </c>
      <c r="BG26" s="415">
        <v>2.0590999999999999</v>
      </c>
      <c r="BH26" s="334">
        <v>0.92549999999999999</v>
      </c>
      <c r="BI26" s="415">
        <v>1.1016999999999999</v>
      </c>
      <c r="BJ26" s="396">
        <v>175.2</v>
      </c>
      <c r="BK26" s="240">
        <v>75</v>
      </c>
      <c r="BL26" s="37"/>
      <c r="BM26" s="243">
        <v>80</v>
      </c>
      <c r="BN26" s="409">
        <v>0.31666</v>
      </c>
      <c r="BO26" s="396">
        <v>474</v>
      </c>
      <c r="BP26" s="415">
        <v>2.0625</v>
      </c>
      <c r="BQ26" s="415">
        <v>0.93420000000000003</v>
      </c>
      <c r="BR26" s="334">
        <v>1.101</v>
      </c>
      <c r="BS26" s="396">
        <v>176.3</v>
      </c>
      <c r="BT26" s="731"/>
      <c r="BU26" s="409">
        <v>0.28466000000000002</v>
      </c>
      <c r="BV26" s="397">
        <v>473.9</v>
      </c>
      <c r="BW26" s="415">
        <v>2.0537000000000001</v>
      </c>
      <c r="BX26" s="334">
        <v>0.93500000000000005</v>
      </c>
      <c r="BY26" s="415">
        <v>1.1015999999999999</v>
      </c>
      <c r="BZ26" s="397">
        <v>176.1</v>
      </c>
      <c r="CA26" s="240">
        <v>80</v>
      </c>
      <c r="CB26" s="37"/>
      <c r="CC26" s="243">
        <v>80</v>
      </c>
      <c r="CD26" s="340">
        <v>0.28089999999999998</v>
      </c>
      <c r="CE26" s="396">
        <v>473.9</v>
      </c>
      <c r="CF26" s="334">
        <v>2.0526</v>
      </c>
      <c r="CG26" s="334">
        <v>0.93520000000000003</v>
      </c>
      <c r="CH26" s="334">
        <v>1.1015999999999999</v>
      </c>
      <c r="CI26" s="396">
        <v>176.1</v>
      </c>
      <c r="CJ26" s="731"/>
      <c r="CK26" s="340">
        <v>0.26233000000000001</v>
      </c>
      <c r="CL26" s="397">
        <v>478.5</v>
      </c>
      <c r="CM26" s="334">
        <v>2.0589</v>
      </c>
      <c r="CN26" s="334">
        <v>0.94350000000000001</v>
      </c>
      <c r="CO26" s="334">
        <v>1.1009</v>
      </c>
      <c r="CP26" s="396">
        <v>177.2</v>
      </c>
      <c r="CQ26" s="240">
        <v>85</v>
      </c>
      <c r="CR26" s="37"/>
      <c r="CS26" s="243">
        <v>85</v>
      </c>
      <c r="CT26" s="340">
        <v>0.24021000000000001</v>
      </c>
      <c r="CU26" s="396">
        <v>478.4</v>
      </c>
      <c r="CV26" s="334">
        <v>2.0516000000000001</v>
      </c>
      <c r="CW26" s="334">
        <v>0.94430000000000003</v>
      </c>
      <c r="CX26" s="444">
        <v>1.1013999999999999</v>
      </c>
      <c r="CY26" s="442">
        <v>177.1</v>
      </c>
      <c r="CZ26" s="731"/>
      <c r="DA26" s="340">
        <v>0.22148000000000001</v>
      </c>
      <c r="DB26" s="397">
        <v>478.3</v>
      </c>
      <c r="DC26" s="334">
        <v>2.0448</v>
      </c>
      <c r="DD26" s="334">
        <v>0.94510000000000005</v>
      </c>
      <c r="DE26" s="444">
        <v>1.1019000000000001</v>
      </c>
      <c r="DF26" s="397">
        <v>176.9</v>
      </c>
      <c r="DG26" s="240">
        <v>85</v>
      </c>
      <c r="DH26" s="37"/>
      <c r="DI26" s="243">
        <v>90</v>
      </c>
      <c r="DJ26" s="409">
        <v>0.20851</v>
      </c>
      <c r="DK26" s="396">
        <v>482.9</v>
      </c>
      <c r="DL26" s="415">
        <v>2.0516999999999999</v>
      </c>
      <c r="DM26" s="415">
        <v>0.95340000000000003</v>
      </c>
      <c r="DN26" s="444">
        <v>1.1011</v>
      </c>
      <c r="DO26" s="442">
        <v>178</v>
      </c>
      <c r="DP26" s="731"/>
      <c r="DQ26" s="409">
        <v>0.19439999999999999</v>
      </c>
      <c r="DR26" s="397">
        <v>482.8</v>
      </c>
      <c r="DS26" s="415">
        <v>2.0459000000000001</v>
      </c>
      <c r="DT26" s="415">
        <v>0.95409999999999995</v>
      </c>
      <c r="DU26" s="415">
        <v>1.1015999999999999</v>
      </c>
      <c r="DV26" s="396">
        <v>177.9</v>
      </c>
      <c r="DW26" s="240">
        <v>90</v>
      </c>
      <c r="DX26" s="37"/>
      <c r="DY26" s="247">
        <v>90</v>
      </c>
      <c r="DZ26" s="463">
        <v>0.18204999999999999</v>
      </c>
      <c r="EA26" s="467">
        <v>482.7</v>
      </c>
      <c r="EB26" s="471">
        <v>2.0404</v>
      </c>
      <c r="EC26" s="470">
        <v>0.95489999999999997</v>
      </c>
      <c r="ED26" s="470">
        <v>1.1020000000000001</v>
      </c>
      <c r="EE26" s="467">
        <v>177.7</v>
      </c>
      <c r="EF26" s="731"/>
      <c r="EG26" s="464">
        <v>0.17366999999999999</v>
      </c>
      <c r="EH26" s="478">
        <v>487.4</v>
      </c>
      <c r="EI26" s="471">
        <v>2.0484</v>
      </c>
      <c r="EJ26" s="473">
        <v>0.96299999999999997</v>
      </c>
      <c r="EK26" s="459">
        <v>1.1012</v>
      </c>
      <c r="EL26" s="478">
        <v>178.9</v>
      </c>
      <c r="EM26" s="248">
        <v>95</v>
      </c>
      <c r="EN26" s="37"/>
      <c r="EO26" s="247">
        <v>95</v>
      </c>
      <c r="EP26" s="474">
        <v>0.16385</v>
      </c>
      <c r="EQ26" s="467">
        <v>487.3</v>
      </c>
      <c r="ER26" s="473">
        <v>2.0434999999999999</v>
      </c>
      <c r="ES26" s="473">
        <v>0.9637</v>
      </c>
      <c r="ET26" s="473">
        <v>1.1016999999999999</v>
      </c>
      <c r="EU26" s="465">
        <v>178.7</v>
      </c>
      <c r="EV26" s="731"/>
      <c r="EW26" s="474">
        <v>0.15509000000000001</v>
      </c>
      <c r="EX26" s="478">
        <v>487.2</v>
      </c>
      <c r="EY26" s="473">
        <v>2.0388999999999999</v>
      </c>
      <c r="EZ26" s="473">
        <v>0.96450000000000002</v>
      </c>
      <c r="FA26" s="473">
        <v>1.1021000000000001</v>
      </c>
      <c r="FB26" s="465">
        <v>178.6</v>
      </c>
      <c r="FC26" s="248">
        <v>95</v>
      </c>
      <c r="FD26" s="37"/>
      <c r="FE26" s="243">
        <v>95</v>
      </c>
      <c r="FF26" s="340">
        <v>0.14718999999999999</v>
      </c>
      <c r="FG26" s="396">
        <v>487.1</v>
      </c>
      <c r="FH26" s="334">
        <v>2.0345</v>
      </c>
      <c r="FI26" s="334">
        <v>0.96519999999999995</v>
      </c>
      <c r="FJ26" s="334">
        <v>1.1026</v>
      </c>
      <c r="FK26" s="488">
        <v>178.4</v>
      </c>
      <c r="FL26" s="731"/>
      <c r="FM26" s="340">
        <v>0.14208999999999999</v>
      </c>
      <c r="FN26" s="397">
        <v>491.8</v>
      </c>
      <c r="FO26" s="334">
        <v>2.0434000000000001</v>
      </c>
      <c r="FP26" s="334">
        <v>0.97299999999999998</v>
      </c>
      <c r="FQ26" s="334">
        <v>1.1016999999999999</v>
      </c>
      <c r="FR26" s="488">
        <v>179.6</v>
      </c>
      <c r="FS26" s="240">
        <v>95</v>
      </c>
      <c r="FT26" s="37"/>
      <c r="FU26" s="268">
        <v>100</v>
      </c>
      <c r="FV26" s="409">
        <v>0.13550000000000001</v>
      </c>
      <c r="FW26" s="396">
        <v>491.7</v>
      </c>
      <c r="FX26" s="415">
        <v>2.0394999999999999</v>
      </c>
      <c r="FY26" s="415">
        <v>0.97370000000000001</v>
      </c>
      <c r="FZ26" s="492">
        <v>1.1022000000000001</v>
      </c>
      <c r="GA26" s="489">
        <v>179.5</v>
      </c>
      <c r="GB26" s="731"/>
      <c r="GC26" s="409">
        <v>0.1295</v>
      </c>
      <c r="GD26" s="397">
        <v>491.6</v>
      </c>
      <c r="GE26" s="415">
        <v>2.0356000000000001</v>
      </c>
      <c r="GF26" s="415">
        <v>0.97450000000000003</v>
      </c>
      <c r="GG26" s="415">
        <v>1.1026</v>
      </c>
      <c r="GH26" s="489">
        <v>179.3</v>
      </c>
      <c r="GI26" s="237">
        <v>100</v>
      </c>
      <c r="GK26" s="243">
        <v>100</v>
      </c>
      <c r="GL26" s="409">
        <v>0.12398000000000001</v>
      </c>
      <c r="GM26" s="404">
        <v>491.5</v>
      </c>
      <c r="GN26" s="415">
        <v>2.032</v>
      </c>
      <c r="GO26" s="415">
        <v>0.97519999999999996</v>
      </c>
      <c r="GP26" s="333" t="s">
        <v>131</v>
      </c>
      <c r="GQ26" s="396">
        <v>179.2</v>
      </c>
      <c r="GR26" s="731"/>
      <c r="GS26" s="409">
        <v>0.12064</v>
      </c>
      <c r="GT26" s="397">
        <v>496.3</v>
      </c>
      <c r="GU26" s="241">
        <v>2.0415000000000001</v>
      </c>
      <c r="GV26" s="170">
        <v>0.98280000000000001</v>
      </c>
      <c r="GW26" s="241">
        <v>1.1021000000000001</v>
      </c>
      <c r="GX26" s="397">
        <v>180.3</v>
      </c>
      <c r="GY26" s="240">
        <v>105</v>
      </c>
      <c r="HA26" s="243">
        <v>105</v>
      </c>
      <c r="HB26" s="340">
        <v>0.1159</v>
      </c>
      <c r="HC26" s="396">
        <v>496.2</v>
      </c>
      <c r="HD26" s="334">
        <v>2.0381</v>
      </c>
      <c r="HE26" s="334">
        <v>0.98350000000000004</v>
      </c>
      <c r="HF26" s="333">
        <v>1.1025</v>
      </c>
      <c r="HG26" s="396">
        <v>180.2</v>
      </c>
      <c r="HH26" s="731"/>
      <c r="HI26" s="340">
        <v>0.11151</v>
      </c>
      <c r="HJ26" s="397">
        <v>496.1</v>
      </c>
      <c r="HK26" s="334">
        <v>2.0348000000000002</v>
      </c>
      <c r="HL26" s="334">
        <v>0.98419999999999996</v>
      </c>
      <c r="HM26" s="334">
        <v>1.1029</v>
      </c>
      <c r="HN26" s="396">
        <v>180.1</v>
      </c>
      <c r="HO26" s="240">
        <v>105</v>
      </c>
      <c r="HQ26" s="268">
        <v>105</v>
      </c>
      <c r="HR26" s="340">
        <v>0.10743</v>
      </c>
      <c r="HS26" s="396">
        <v>496.1</v>
      </c>
      <c r="HT26" s="334">
        <v>2.0316999999999998</v>
      </c>
      <c r="HU26" s="334">
        <v>0.98480000000000001</v>
      </c>
      <c r="HV26" s="492">
        <v>1.1033999999999999</v>
      </c>
      <c r="HW26" s="489">
        <v>180</v>
      </c>
      <c r="HX26" s="731"/>
      <c r="HY26" s="490">
        <v>0.10363</v>
      </c>
      <c r="HZ26" s="397">
        <v>496</v>
      </c>
      <c r="IA26" s="334">
        <v>2.0286</v>
      </c>
      <c r="IB26" s="334">
        <v>0.98550000000000004</v>
      </c>
      <c r="IC26" s="334">
        <v>1.1037999999999999</v>
      </c>
      <c r="ID26" s="488">
        <v>179.8</v>
      </c>
      <c r="IE26" s="240">
        <v>105</v>
      </c>
      <c r="IG26" s="268">
        <v>110</v>
      </c>
      <c r="IH26" s="409">
        <v>0.10153</v>
      </c>
      <c r="II26" s="396">
        <v>500.8</v>
      </c>
      <c r="IJ26" s="415">
        <v>2.0387</v>
      </c>
      <c r="IK26" s="415">
        <v>0.9929</v>
      </c>
      <c r="IL26" s="492">
        <v>1.1028</v>
      </c>
      <c r="IM26" s="489">
        <v>181</v>
      </c>
      <c r="IN26" s="731"/>
      <c r="IO26" s="497">
        <v>9.8180000000000003E-2</v>
      </c>
      <c r="IP26" s="397">
        <v>500.7</v>
      </c>
      <c r="IQ26" s="415">
        <v>2.0358999999999998</v>
      </c>
      <c r="IR26" s="415">
        <v>0.99360000000000004</v>
      </c>
      <c r="IS26" s="415">
        <v>1.1032</v>
      </c>
      <c r="IT26" s="489">
        <v>180.9</v>
      </c>
      <c r="IU26" s="240">
        <v>110</v>
      </c>
      <c r="IW26" s="264">
        <v>110</v>
      </c>
      <c r="IX26" s="512">
        <v>9.5039999999999999E-2</v>
      </c>
      <c r="IY26" s="514">
        <v>500.6</v>
      </c>
      <c r="IZ26" s="522">
        <v>2.0331000000000001</v>
      </c>
      <c r="JA26" s="523">
        <v>0.99419999999999997</v>
      </c>
      <c r="JB26" s="391">
        <v>1.1035999999999999</v>
      </c>
      <c r="JC26" s="526">
        <v>180.8</v>
      </c>
      <c r="JD26" s="731"/>
      <c r="JE26" s="512">
        <v>9.2079999999999995E-2</v>
      </c>
      <c r="JF26" s="528">
        <v>500.5</v>
      </c>
      <c r="JG26" s="522">
        <v>2.0304000000000002</v>
      </c>
      <c r="JH26" s="508">
        <v>0.99490000000000001</v>
      </c>
      <c r="JI26" s="522">
        <v>1.1040000000000001</v>
      </c>
      <c r="JJ26" s="530">
        <v>180.6</v>
      </c>
      <c r="JK26" s="257">
        <v>110</v>
      </c>
      <c r="JM26" s="264">
        <v>110</v>
      </c>
      <c r="JN26" s="509">
        <v>8.9289999999999994E-2</v>
      </c>
      <c r="JO26" s="514">
        <v>500.4</v>
      </c>
      <c r="JP26" s="536">
        <v>2.0278</v>
      </c>
      <c r="JQ26" s="508">
        <v>0.99550000000000005</v>
      </c>
      <c r="JR26" s="659">
        <v>1.1044</v>
      </c>
      <c r="JS26" s="526">
        <v>180.5</v>
      </c>
      <c r="JT26" s="731"/>
      <c r="JU26" s="509">
        <v>8.7900000000000006E-2</v>
      </c>
      <c r="JV26" s="528">
        <v>505.3</v>
      </c>
      <c r="JW26" s="536">
        <v>2.0381999999999998</v>
      </c>
      <c r="JX26" s="391">
        <v>1.0026999999999999</v>
      </c>
      <c r="JY26" s="536">
        <v>1.1033999999999999</v>
      </c>
      <c r="JZ26" s="526">
        <v>181.7</v>
      </c>
      <c r="KA26" s="194">
        <v>115</v>
      </c>
      <c r="KC26" s="267">
        <v>115</v>
      </c>
      <c r="KD26" s="340">
        <v>8.5400000000000004E-2</v>
      </c>
      <c r="KE26" s="396">
        <v>505.2</v>
      </c>
      <c r="KF26" s="170">
        <v>2.0356999999999998</v>
      </c>
      <c r="KG26" s="170">
        <v>1.0034000000000001</v>
      </c>
      <c r="KH26" s="196">
        <v>1.1037999999999999</v>
      </c>
      <c r="KI26" s="396">
        <v>181.6</v>
      </c>
      <c r="KJ26" s="731"/>
      <c r="KK26" s="340">
        <v>8.3040000000000003E-2</v>
      </c>
      <c r="KL26" s="397">
        <v>505.1</v>
      </c>
      <c r="KM26" s="334">
        <v>2.0333000000000001</v>
      </c>
      <c r="KN26" s="541">
        <v>1.004</v>
      </c>
      <c r="KO26" s="541">
        <v>1.1042000000000001</v>
      </c>
      <c r="KP26" s="540">
        <v>181.5</v>
      </c>
      <c r="KQ26" s="177">
        <v>115</v>
      </c>
      <c r="KS26" s="288">
        <v>115</v>
      </c>
      <c r="KT26" s="409">
        <v>8.0780000000000005E-2</v>
      </c>
      <c r="KU26" s="404">
        <v>505.1</v>
      </c>
      <c r="KV26" s="415">
        <v>2.0310000000000001</v>
      </c>
      <c r="KW26" s="415">
        <v>1.0045999999999999</v>
      </c>
      <c r="KX26" s="541">
        <v>1.1046</v>
      </c>
      <c r="KY26" s="404">
        <v>181.3</v>
      </c>
      <c r="KZ26" s="731"/>
      <c r="LA26" s="340">
        <v>7.8649999999999998E-2</v>
      </c>
      <c r="LB26" s="397">
        <v>505</v>
      </c>
      <c r="LC26" s="415">
        <v>2.0287000000000002</v>
      </c>
      <c r="LD26" s="415">
        <v>1.0053000000000001</v>
      </c>
      <c r="LE26" s="387">
        <v>1.105</v>
      </c>
      <c r="LF26" s="540">
        <v>181.2</v>
      </c>
      <c r="LG26" s="240">
        <v>115</v>
      </c>
      <c r="LI26" s="264">
        <v>115</v>
      </c>
      <c r="LJ26" s="512">
        <v>7.6609999999999998E-2</v>
      </c>
      <c r="LK26" s="514">
        <v>504.9</v>
      </c>
      <c r="LL26" s="522">
        <v>2.0264000000000002</v>
      </c>
      <c r="LM26" s="523">
        <v>1.0059</v>
      </c>
      <c r="LN26" s="387">
        <v>1.1053999999999999</v>
      </c>
      <c r="LO26" s="526">
        <v>181.1</v>
      </c>
      <c r="LP26" s="731"/>
      <c r="LQ26" s="512">
        <v>7.2999999999999995E-2</v>
      </c>
      <c r="LR26" s="528">
        <v>509.7</v>
      </c>
      <c r="LS26" s="522">
        <v>2.0339999999999998</v>
      </c>
      <c r="LT26" s="508">
        <v>1.0138</v>
      </c>
      <c r="LU26" s="508">
        <v>1.1048</v>
      </c>
      <c r="LV26" s="526">
        <v>182.1</v>
      </c>
      <c r="LW26" s="265">
        <v>120</v>
      </c>
      <c r="LY26" s="193">
        <v>120</v>
      </c>
      <c r="LZ26" s="509">
        <v>6.8820000000000006E-2</v>
      </c>
      <c r="MA26" s="514">
        <v>509.5</v>
      </c>
      <c r="MB26" s="536">
        <v>2.0289000000000001</v>
      </c>
      <c r="MC26" s="508">
        <v>1.0153000000000001</v>
      </c>
      <c r="MD26" s="508">
        <v>1.1056999999999999</v>
      </c>
      <c r="ME26" s="514">
        <v>181.9</v>
      </c>
      <c r="MF26" s="731"/>
      <c r="MG26" s="509">
        <v>6.5060000000000007E-2</v>
      </c>
      <c r="MH26" s="528">
        <v>509.3</v>
      </c>
      <c r="MI26" s="192">
        <v>2.0240999999999998</v>
      </c>
      <c r="MJ26" s="191">
        <v>1.0167999999999999</v>
      </c>
      <c r="MK26" s="191">
        <v>1.1067</v>
      </c>
      <c r="ML26" s="514">
        <v>181.6</v>
      </c>
      <c r="MM26" s="279">
        <v>120</v>
      </c>
      <c r="MO26" s="290">
        <v>125</v>
      </c>
      <c r="MP26" s="340">
        <v>6.2579999999999997E-2</v>
      </c>
      <c r="MQ26" s="396">
        <v>574.1</v>
      </c>
      <c r="MR26" s="334">
        <v>2.0324</v>
      </c>
      <c r="MS26" s="334">
        <v>1.0244</v>
      </c>
      <c r="MT26" s="335">
        <v>1.1060000000000001</v>
      </c>
      <c r="MU26" s="566">
        <v>182.6</v>
      </c>
      <c r="MV26" s="731"/>
      <c r="MW26" s="340">
        <v>5.9499999999999997E-2</v>
      </c>
      <c r="MX26" s="397">
        <v>513.9</v>
      </c>
      <c r="MY26" s="334">
        <v>2.0280999999999998</v>
      </c>
      <c r="MZ26" s="335">
        <v>1.0259</v>
      </c>
      <c r="NA26" s="334">
        <v>1.107</v>
      </c>
      <c r="NB26" s="397">
        <v>182.4</v>
      </c>
      <c r="NC26" s="260">
        <v>125</v>
      </c>
      <c r="NE26" s="291">
        <v>125</v>
      </c>
      <c r="NF26" s="409">
        <v>5.6680000000000001E-2</v>
      </c>
      <c r="NG26" s="396">
        <v>513.70000000000005</v>
      </c>
      <c r="NH26" s="415">
        <v>2.0238999999999998</v>
      </c>
      <c r="NI26" s="415">
        <v>1.0273000000000001</v>
      </c>
      <c r="NJ26" s="335">
        <v>1.1079000000000001</v>
      </c>
      <c r="NK26" s="565">
        <v>182.1</v>
      </c>
      <c r="NL26" s="731"/>
      <c r="NM26" s="409">
        <v>5.4899999999999997E-2</v>
      </c>
      <c r="NN26" s="397">
        <v>518.6</v>
      </c>
      <c r="NO26" s="415">
        <v>2.0327000000000002</v>
      </c>
      <c r="NP26" s="335">
        <v>1.0347</v>
      </c>
      <c r="NQ26" s="415">
        <v>1.1071</v>
      </c>
      <c r="NR26" s="565">
        <v>183.2</v>
      </c>
      <c r="NS26" s="240">
        <v>130</v>
      </c>
      <c r="NU26" s="288">
        <v>130</v>
      </c>
      <c r="NV26" s="511">
        <v>5.2519999999999997E-2</v>
      </c>
      <c r="NW26" s="528">
        <v>518.4</v>
      </c>
      <c r="NX26" s="522">
        <v>2.0287999999999999</v>
      </c>
      <c r="NY26" s="470">
        <v>1.0361</v>
      </c>
      <c r="NZ26" s="339">
        <v>1.1081000000000001</v>
      </c>
      <c r="OA26" s="528">
        <v>182.9</v>
      </c>
      <c r="OB26" s="731"/>
      <c r="OC26" s="511">
        <v>5.033E-2</v>
      </c>
      <c r="OD26" s="528">
        <v>518.20000000000005</v>
      </c>
      <c r="OE26" s="574">
        <v>2.0251000000000001</v>
      </c>
      <c r="OF26" s="536">
        <v>1.0375000000000001</v>
      </c>
      <c r="OG26" s="574">
        <v>1.109</v>
      </c>
      <c r="OH26" s="476">
        <v>182.6</v>
      </c>
      <c r="OI26" s="263">
        <v>130</v>
      </c>
      <c r="OK26" s="267">
        <v>130</v>
      </c>
      <c r="OL26" s="537">
        <v>4.8300000000000003E-2</v>
      </c>
      <c r="OM26" s="517">
        <v>518</v>
      </c>
      <c r="ON26" s="536">
        <v>2.0215000000000001</v>
      </c>
      <c r="OO26" s="459">
        <v>1.0388999999999999</v>
      </c>
      <c r="OP26" s="459">
        <v>1.1099000000000001</v>
      </c>
      <c r="OQ26" s="528">
        <v>182.4</v>
      </c>
      <c r="OR26" s="731"/>
      <c r="OS26" s="460">
        <v>4.7109999999999999E-2</v>
      </c>
      <c r="OT26" s="528">
        <v>523</v>
      </c>
      <c r="OU26" s="536">
        <v>2.0308999999999999</v>
      </c>
      <c r="OV26" s="536">
        <v>1.046</v>
      </c>
      <c r="OW26" s="536">
        <v>1.109</v>
      </c>
      <c r="OX26" s="476">
        <v>183.5</v>
      </c>
      <c r="OY26" s="289">
        <v>135</v>
      </c>
      <c r="PA26" s="259">
        <v>135</v>
      </c>
      <c r="PB26" s="340">
        <v>4.5350000000000001E-2</v>
      </c>
      <c r="PC26" s="396">
        <v>522.79999999999995</v>
      </c>
      <c r="PD26" s="334">
        <v>2.0276000000000001</v>
      </c>
      <c r="PE26" s="541">
        <v>1.0472999999999999</v>
      </c>
      <c r="PF26" s="492">
        <v>1.1099000000000001</v>
      </c>
      <c r="PG26" s="540">
        <v>183.2</v>
      </c>
      <c r="PH26" s="731"/>
      <c r="PI26" s="340">
        <v>4.3709999999999999E-2</v>
      </c>
      <c r="PJ26" s="397">
        <v>522.6</v>
      </c>
      <c r="PK26" s="334">
        <v>2.0244</v>
      </c>
      <c r="PL26" s="541">
        <v>1.0487</v>
      </c>
      <c r="PM26" s="334">
        <v>1.1108</v>
      </c>
      <c r="PN26" s="542">
        <v>183</v>
      </c>
      <c r="PO26" s="276">
        <v>135</v>
      </c>
      <c r="PQ26" s="261">
        <v>135</v>
      </c>
      <c r="PR26" s="409">
        <v>4.2169999999999999E-2</v>
      </c>
      <c r="PS26" s="396">
        <v>522.4</v>
      </c>
      <c r="PT26" s="415">
        <v>2.0211999999999999</v>
      </c>
      <c r="PU26" s="415">
        <v>1.0501</v>
      </c>
      <c r="PV26" s="541">
        <v>1.1116999999999999</v>
      </c>
      <c r="PW26" s="540">
        <v>182.7</v>
      </c>
      <c r="PX26" s="731"/>
      <c r="PY26" s="409">
        <v>3.9980000000000002E-2</v>
      </c>
      <c r="PZ26" s="397">
        <v>527.20000000000005</v>
      </c>
      <c r="QA26" s="415">
        <v>2.0280999999999998</v>
      </c>
      <c r="QB26" s="500">
        <v>1.0582</v>
      </c>
      <c r="QC26" s="415">
        <v>1.1114999999999999</v>
      </c>
      <c r="QD26" s="540">
        <v>183.6</v>
      </c>
      <c r="QE26" s="240">
        <v>140</v>
      </c>
      <c r="QG26" s="264">
        <v>140</v>
      </c>
      <c r="QH26" s="512">
        <v>3.7499999999999999E-2</v>
      </c>
      <c r="QI26" s="514">
        <v>526.79999999999995</v>
      </c>
      <c r="QJ26" s="522">
        <v>2.0224000000000002</v>
      </c>
      <c r="QK26" s="523">
        <v>1.0609</v>
      </c>
      <c r="QL26" s="591">
        <v>1.1133</v>
      </c>
      <c r="QM26" s="526">
        <v>183.1</v>
      </c>
      <c r="QN26" s="731"/>
      <c r="QO26" s="512">
        <v>3.5819999999999998E-2</v>
      </c>
      <c r="QP26" s="532">
        <v>531.79999999999995</v>
      </c>
      <c r="QQ26" s="255">
        <v>2.0297999999999998</v>
      </c>
      <c r="QR26" s="191">
        <v>1.0687</v>
      </c>
      <c r="QS26" s="256">
        <v>1.113</v>
      </c>
      <c r="QT26" s="527">
        <v>184.1</v>
      </c>
      <c r="QU26" s="265">
        <v>145</v>
      </c>
      <c r="QW26" s="193">
        <v>145</v>
      </c>
      <c r="QX26" s="537">
        <v>3.3829999999999999E-2</v>
      </c>
      <c r="QY26" s="517">
        <v>531.4</v>
      </c>
      <c r="QZ26" s="536">
        <v>2.0247000000000002</v>
      </c>
      <c r="RA26" s="508">
        <v>1.0712999999999999</v>
      </c>
      <c r="RB26" s="508">
        <v>1.1147</v>
      </c>
      <c r="RC26" s="526">
        <v>183.6</v>
      </c>
      <c r="RD26" s="731"/>
      <c r="RE26" s="509">
        <v>3.2030000000000003E-2</v>
      </c>
      <c r="RF26" s="528">
        <v>531</v>
      </c>
      <c r="RG26" s="536">
        <v>2.0198</v>
      </c>
      <c r="RH26" s="508">
        <v>1.0739000000000001</v>
      </c>
      <c r="RI26" s="508">
        <v>1.1165</v>
      </c>
      <c r="RJ26" s="526">
        <v>183.1</v>
      </c>
      <c r="RK26" s="279">
        <v>145</v>
      </c>
      <c r="RM26" s="270">
        <v>150</v>
      </c>
      <c r="RN26" s="340">
        <v>2.9360000000000001E-2</v>
      </c>
      <c r="RO26" s="396">
        <v>535.6</v>
      </c>
      <c r="RP26" s="334">
        <v>2.0234999999999999</v>
      </c>
      <c r="RQ26" s="334">
        <v>1.0838000000000001</v>
      </c>
      <c r="RR26" s="492">
        <v>1.1176999999999999</v>
      </c>
      <c r="RS26" s="489">
        <v>183.7</v>
      </c>
      <c r="RT26" s="731"/>
      <c r="RU26" s="490">
        <v>2.7150000000000001E-2</v>
      </c>
      <c r="RV26" s="397">
        <v>540.20000000000005</v>
      </c>
      <c r="RW26" s="334">
        <v>2.0278999999999998</v>
      </c>
      <c r="RX26" s="492">
        <v>1.0933999999999999</v>
      </c>
      <c r="RY26" s="334">
        <v>1.1187</v>
      </c>
      <c r="RZ26" s="488">
        <v>184.3</v>
      </c>
      <c r="SA26" s="260">
        <v>155</v>
      </c>
      <c r="SC26" s="268">
        <v>155</v>
      </c>
      <c r="SD26" s="409">
        <v>2.4910000000000002E-2</v>
      </c>
      <c r="SE26" s="396">
        <v>539.5</v>
      </c>
      <c r="SF26" s="415">
        <v>2.02</v>
      </c>
      <c r="SG26" s="415">
        <v>1.0984</v>
      </c>
      <c r="SH26" s="500">
        <v>1.1221000000000001</v>
      </c>
      <c r="SI26" s="489">
        <v>183.4</v>
      </c>
      <c r="SJ26" s="731"/>
      <c r="SK26" s="409">
        <v>2.334E-2</v>
      </c>
      <c r="SL26" s="176">
        <v>544.20000000000005</v>
      </c>
      <c r="SM26" s="415">
        <v>2.0255000000000001</v>
      </c>
      <c r="SN26" s="500">
        <v>1.1074999999999999</v>
      </c>
      <c r="SO26" s="415">
        <v>1.1229</v>
      </c>
      <c r="SP26" s="190">
        <v>184.1</v>
      </c>
      <c r="SQ26" s="240">
        <v>160</v>
      </c>
      <c r="SS26" s="268">
        <v>165</v>
      </c>
      <c r="ST26" s="409">
        <v>2.1989999999999999E-2</v>
      </c>
      <c r="SU26" s="170">
        <v>549.1</v>
      </c>
      <c r="SV26" s="415">
        <v>2.0312999999999999</v>
      </c>
      <c r="SW26" s="499">
        <v>1.1163000000000001</v>
      </c>
      <c r="SX26" s="499">
        <v>1.1234999999999999</v>
      </c>
      <c r="SY26" s="190">
        <v>184.8</v>
      </c>
      <c r="SZ26" s="731"/>
      <c r="TA26" s="409">
        <v>2.0500000000000001E-2</v>
      </c>
      <c r="TB26" s="397">
        <v>548.29999999999995</v>
      </c>
      <c r="TC26" s="415">
        <v>2.0247999999999999</v>
      </c>
      <c r="TD26" s="491">
        <v>1.1211</v>
      </c>
      <c r="TE26" s="334">
        <v>1.1268</v>
      </c>
      <c r="TF26" s="488">
        <v>184</v>
      </c>
      <c r="TG26" s="240">
        <v>165</v>
      </c>
      <c r="TI26" s="176">
        <v>170</v>
      </c>
      <c r="TJ26" s="340">
        <v>1.949E-2</v>
      </c>
      <c r="TK26" s="396">
        <v>553.20000000000005</v>
      </c>
      <c r="TL26" s="334">
        <v>2.0314000000000001</v>
      </c>
      <c r="TM26" s="491">
        <v>1.1294</v>
      </c>
      <c r="TN26" s="334">
        <v>1.1272</v>
      </c>
      <c r="TO26" s="396">
        <v>184.8</v>
      </c>
      <c r="TP26" s="731"/>
      <c r="TQ26" s="490">
        <v>1.83E-2</v>
      </c>
      <c r="TR26" s="451">
        <v>552.5</v>
      </c>
      <c r="TS26" s="422">
        <v>2.0255999999999998</v>
      </c>
      <c r="TT26" s="491">
        <v>1.1341000000000001</v>
      </c>
      <c r="TU26" s="491">
        <v>1.1304000000000001</v>
      </c>
      <c r="TV26" s="396">
        <v>184</v>
      </c>
      <c r="TW26" s="271">
        <v>170</v>
      </c>
      <c r="TY26" s="270">
        <v>175</v>
      </c>
      <c r="TZ26" s="474">
        <v>1.7520000000000001E-2</v>
      </c>
      <c r="UA26" s="467">
        <v>557.5</v>
      </c>
      <c r="UB26" s="473">
        <v>2.0327000000000002</v>
      </c>
      <c r="UC26" s="491">
        <v>1.1418999999999999</v>
      </c>
      <c r="UD26" s="610">
        <v>1.1305000000000001</v>
      </c>
      <c r="UE26" s="489">
        <v>184.8</v>
      </c>
      <c r="UF26" s="749"/>
      <c r="UG26" s="474">
        <v>1.6549999999999999E-2</v>
      </c>
      <c r="UH26" s="478">
        <v>556.79999999999995</v>
      </c>
      <c r="UI26" s="473">
        <v>2.0274000000000001</v>
      </c>
      <c r="UJ26" s="610">
        <v>1.1466000000000001</v>
      </c>
      <c r="UK26" s="473">
        <v>1.1336999999999999</v>
      </c>
      <c r="UL26" s="488">
        <v>184.1</v>
      </c>
      <c r="UM26" s="310">
        <v>175</v>
      </c>
      <c r="UO26" s="268">
        <v>180</v>
      </c>
      <c r="UP26" s="464">
        <v>1.5129999999999999E-2</v>
      </c>
      <c r="UQ26" s="467">
        <v>561.20000000000005</v>
      </c>
      <c r="UR26" s="471">
        <v>2.0299999999999998</v>
      </c>
      <c r="US26" s="499">
        <v>1.1585000000000001</v>
      </c>
      <c r="UT26" s="610">
        <v>1.1367</v>
      </c>
      <c r="UU26" s="489">
        <v>184.3</v>
      </c>
      <c r="UV26" s="749"/>
      <c r="UW26" s="464">
        <v>1.3950000000000001E-2</v>
      </c>
      <c r="UX26" s="478">
        <v>565.70000000000005</v>
      </c>
      <c r="UY26" s="471">
        <v>2.0335000000000001</v>
      </c>
      <c r="UZ26" s="622">
        <v>1.1698999999999999</v>
      </c>
      <c r="VA26" s="471">
        <v>1.1394</v>
      </c>
      <c r="VB26" s="489">
        <v>184.6</v>
      </c>
      <c r="VC26" s="248">
        <v>185</v>
      </c>
      <c r="VE26" s="264">
        <v>185</v>
      </c>
      <c r="VF26" s="512">
        <v>1.2749999999999999E-2</v>
      </c>
      <c r="VG26" s="514">
        <v>564.29999999999995</v>
      </c>
      <c r="VH26" s="522">
        <v>2.0247000000000002</v>
      </c>
      <c r="VI26" s="523">
        <v>1.179</v>
      </c>
      <c r="VJ26" s="391">
        <v>1.1457999999999999</v>
      </c>
      <c r="VK26" s="527">
        <v>183.2</v>
      </c>
      <c r="VL26" s="749"/>
      <c r="VM26" s="512">
        <v>1.192E-2</v>
      </c>
      <c r="VN26" s="532">
        <v>568.9</v>
      </c>
      <c r="VO26" s="522">
        <v>2.0293000000000001</v>
      </c>
      <c r="VP26" s="391">
        <v>1.1897</v>
      </c>
      <c r="VQ26" s="522">
        <v>1.1479999999999999</v>
      </c>
      <c r="VR26" s="526">
        <v>183.7</v>
      </c>
      <c r="VS26" s="257">
        <v>190</v>
      </c>
      <c r="VU26" s="193">
        <v>195</v>
      </c>
      <c r="VV26" s="537">
        <v>1.1209999999999999E-2</v>
      </c>
      <c r="VW26" s="514">
        <v>573.6</v>
      </c>
      <c r="VX26" s="536">
        <v>2.0344000000000002</v>
      </c>
      <c r="VY26" s="508">
        <v>1.1998</v>
      </c>
      <c r="VZ26" s="508">
        <v>1.1498999999999999</v>
      </c>
      <c r="WA26" s="526">
        <v>184.3</v>
      </c>
      <c r="WB26" s="749"/>
      <c r="WC26" s="509">
        <v>1.0410000000000001E-2</v>
      </c>
      <c r="WD26" s="528">
        <v>572.29999999999995</v>
      </c>
      <c r="WE26" s="536">
        <v>2.0270000000000001</v>
      </c>
      <c r="WF26" s="508">
        <v>1.2085999999999999</v>
      </c>
      <c r="WG26" s="508">
        <v>1.1560999999999999</v>
      </c>
      <c r="WH26" s="526">
        <v>183.1</v>
      </c>
      <c r="WI26" s="279">
        <v>195</v>
      </c>
      <c r="WK26" s="193">
        <v>200</v>
      </c>
      <c r="WL26" s="509">
        <v>9.8799999999999999E-3</v>
      </c>
      <c r="WM26" s="514">
        <v>577.1</v>
      </c>
      <c r="WN26" s="536">
        <v>2.0327999999999999</v>
      </c>
      <c r="WO26" s="508">
        <v>1.2179</v>
      </c>
      <c r="WP26" s="492">
        <v>1.1575</v>
      </c>
      <c r="WQ26" s="526">
        <v>183.8</v>
      </c>
      <c r="WR26" s="749"/>
      <c r="WS26" s="509">
        <v>9.41E-3</v>
      </c>
      <c r="WT26" s="528">
        <v>581.9</v>
      </c>
      <c r="WU26" s="536">
        <v>2.0390000000000001</v>
      </c>
      <c r="WV26" s="492">
        <v>1.2266999999999999</v>
      </c>
      <c r="WW26" s="536">
        <v>1.1586000000000001</v>
      </c>
      <c r="WX26" s="530">
        <v>184.6</v>
      </c>
      <c r="WY26" s="194">
        <v>205</v>
      </c>
      <c r="WZ26" s="400"/>
      <c r="XA26" s="254">
        <v>205</v>
      </c>
      <c r="XB26" s="512">
        <v>8.8400000000000006E-3</v>
      </c>
      <c r="XC26" s="514">
        <v>580.70000000000005</v>
      </c>
      <c r="XD26" s="522">
        <v>2.0326</v>
      </c>
      <c r="XE26" s="523">
        <v>1.2351000000000001</v>
      </c>
      <c r="XF26" s="492">
        <v>1.1645000000000001</v>
      </c>
      <c r="XG26" s="526">
        <v>183.5</v>
      </c>
      <c r="XH26" s="749"/>
      <c r="XI26" s="512">
        <v>8.4799999999999997E-3</v>
      </c>
      <c r="XJ26" s="528">
        <v>585.70000000000005</v>
      </c>
      <c r="XK26" s="522">
        <v>2.0394000000000001</v>
      </c>
      <c r="XL26" s="500">
        <v>1.2432000000000001</v>
      </c>
      <c r="XM26" s="522">
        <v>1.165</v>
      </c>
      <c r="XN26" s="526">
        <v>184.5</v>
      </c>
      <c r="XO26" s="257">
        <v>210</v>
      </c>
      <c r="XP26" s="177"/>
    </row>
    <row r="27" spans="1:640" ht="15.75" thickBot="1" x14ac:dyDescent="0.3">
      <c r="A27" s="282">
        <v>45</v>
      </c>
      <c r="B27" s="365">
        <v>2.5906699999999998</v>
      </c>
      <c r="C27" s="368">
        <v>443.5</v>
      </c>
      <c r="D27" s="360">
        <v>2.1497000000000002</v>
      </c>
      <c r="E27" s="360">
        <v>0.86899999999999999</v>
      </c>
      <c r="F27" s="360">
        <v>1.1044</v>
      </c>
      <c r="G27" s="172">
        <v>168.9</v>
      </c>
      <c r="H27" s="266"/>
      <c r="I27" s="365">
        <v>1.3333299999999999</v>
      </c>
      <c r="J27" s="374">
        <v>452.1</v>
      </c>
      <c r="K27" s="360">
        <v>2.12</v>
      </c>
      <c r="L27" s="358">
        <v>0.8871</v>
      </c>
      <c r="M27" s="360">
        <v>1.1028</v>
      </c>
      <c r="N27" s="368">
        <v>171.2</v>
      </c>
      <c r="O27" s="379">
        <v>55</v>
      </c>
      <c r="P27" s="238"/>
      <c r="Q27" s="282">
        <v>65</v>
      </c>
      <c r="R27" s="363">
        <v>0.91491</v>
      </c>
      <c r="S27" s="368">
        <v>461</v>
      </c>
      <c r="T27" s="358">
        <v>2.1135999999999999</v>
      </c>
      <c r="U27" s="358">
        <v>0.90469999999999995</v>
      </c>
      <c r="V27" s="358">
        <v>1.1012</v>
      </c>
      <c r="W27" s="368">
        <v>173.5</v>
      </c>
      <c r="X27" s="266"/>
      <c r="Y27" s="363">
        <v>0.69589000000000001</v>
      </c>
      <c r="Z27" s="374">
        <v>465.4</v>
      </c>
      <c r="AA27" s="358">
        <v>2.1032999999999999</v>
      </c>
      <c r="AB27" s="358">
        <v>0.91379999999999995</v>
      </c>
      <c r="AC27" s="358">
        <v>1.1006</v>
      </c>
      <c r="AD27" s="368">
        <v>174.6</v>
      </c>
      <c r="AE27" s="283">
        <v>70</v>
      </c>
      <c r="AF27" s="37"/>
      <c r="AG27" s="243">
        <v>70</v>
      </c>
      <c r="AH27" s="340">
        <v>0.55586000000000002</v>
      </c>
      <c r="AI27" s="396">
        <v>465.3</v>
      </c>
      <c r="AJ27" s="334">
        <v>2.0848</v>
      </c>
      <c r="AK27" s="334">
        <v>0.91479999999999995</v>
      </c>
      <c r="AL27" s="334">
        <v>1.1012</v>
      </c>
      <c r="AM27" s="406">
        <v>174.4</v>
      </c>
      <c r="AN27" s="731"/>
      <c r="AO27" s="393">
        <v>0.46970000000000001</v>
      </c>
      <c r="AP27" s="407">
        <v>469.7</v>
      </c>
      <c r="AQ27" s="334">
        <v>2.0830000000000002</v>
      </c>
      <c r="AR27" s="334">
        <v>0.92369999999999997</v>
      </c>
      <c r="AS27" s="401">
        <v>1.1006</v>
      </c>
      <c r="AT27" s="397">
        <v>175.5</v>
      </c>
      <c r="AU27" s="240">
        <v>75</v>
      </c>
      <c r="AV27" s="37"/>
      <c r="AW27" s="243">
        <v>80</v>
      </c>
      <c r="AX27" s="409">
        <v>0.40799999999999997</v>
      </c>
      <c r="AY27" s="396">
        <v>474.3</v>
      </c>
      <c r="AZ27" s="415">
        <v>2.0834000000000001</v>
      </c>
      <c r="BA27" s="415">
        <v>0.93240000000000001</v>
      </c>
      <c r="BB27" s="416">
        <v>1.1000000000000001</v>
      </c>
      <c r="BC27" s="396">
        <v>176.6</v>
      </c>
      <c r="BD27" s="731"/>
      <c r="BE27" s="409">
        <v>0.35663</v>
      </c>
      <c r="BF27" s="397">
        <v>474.2</v>
      </c>
      <c r="BG27" s="415">
        <v>2.0722999999999998</v>
      </c>
      <c r="BH27" s="334">
        <v>0.93330000000000002</v>
      </c>
      <c r="BI27" s="415">
        <v>1.1005</v>
      </c>
      <c r="BJ27" s="396">
        <v>176.4</v>
      </c>
      <c r="BK27" s="240">
        <v>80</v>
      </c>
      <c r="BL27" s="37"/>
      <c r="BM27" s="243">
        <v>85</v>
      </c>
      <c r="BN27" s="409">
        <v>0.32123000000000002</v>
      </c>
      <c r="BO27" s="396">
        <v>478.7</v>
      </c>
      <c r="BP27" s="415">
        <v>2.0756999999999999</v>
      </c>
      <c r="BQ27" s="415">
        <v>0.94179999999999997</v>
      </c>
      <c r="BR27" s="334">
        <v>1.0999000000000001</v>
      </c>
      <c r="BS27" s="396">
        <v>177.5</v>
      </c>
      <c r="BT27" s="731"/>
      <c r="BU27" s="409">
        <v>0.28885</v>
      </c>
      <c r="BV27" s="397">
        <v>478.6</v>
      </c>
      <c r="BW27" s="415">
        <v>2.0669</v>
      </c>
      <c r="BX27" s="334">
        <v>0.94269999999999998</v>
      </c>
      <c r="BY27" s="415">
        <v>1.1004</v>
      </c>
      <c r="BZ27" s="397">
        <v>177.4</v>
      </c>
      <c r="CA27" s="240">
        <v>85</v>
      </c>
      <c r="CB27" s="37"/>
      <c r="CC27" s="243">
        <v>85</v>
      </c>
      <c r="CD27" s="340">
        <v>0.28505999999999998</v>
      </c>
      <c r="CE27" s="396">
        <v>478.6</v>
      </c>
      <c r="CF27" s="334">
        <v>2.0657999999999999</v>
      </c>
      <c r="CG27" s="334">
        <v>0.94279999999999997</v>
      </c>
      <c r="CH27" s="334">
        <v>1.1004</v>
      </c>
      <c r="CI27" s="396">
        <v>177.3</v>
      </c>
      <c r="CJ27" s="731"/>
      <c r="CK27" s="340">
        <v>0.2661</v>
      </c>
      <c r="CL27" s="397">
        <v>483.2</v>
      </c>
      <c r="CM27" s="334">
        <v>2.0720000000000001</v>
      </c>
      <c r="CN27" s="334">
        <v>0.95099999999999996</v>
      </c>
      <c r="CO27" s="334">
        <v>1.0996999999999999</v>
      </c>
      <c r="CP27" s="396">
        <v>178.4</v>
      </c>
      <c r="CQ27" s="240">
        <v>90</v>
      </c>
      <c r="CR27" s="37"/>
      <c r="CS27" s="243">
        <v>90</v>
      </c>
      <c r="CT27" s="440">
        <v>0.24371999999999999</v>
      </c>
      <c r="CU27" s="396">
        <v>483.1</v>
      </c>
      <c r="CV27" s="334">
        <v>2.0647000000000002</v>
      </c>
      <c r="CW27" s="334">
        <v>0.95179999999999998</v>
      </c>
      <c r="CX27" s="444">
        <v>1.1001000000000001</v>
      </c>
      <c r="CY27" s="442">
        <v>178.3</v>
      </c>
      <c r="CZ27" s="731"/>
      <c r="DA27" s="340">
        <v>0.22477</v>
      </c>
      <c r="DB27" s="397">
        <v>483</v>
      </c>
      <c r="DC27" s="334">
        <v>2.0579999999999998</v>
      </c>
      <c r="DD27" s="334">
        <v>0.9526</v>
      </c>
      <c r="DE27" s="444">
        <v>1.1006</v>
      </c>
      <c r="DF27" s="397">
        <v>178.2</v>
      </c>
      <c r="DG27" s="240">
        <v>90</v>
      </c>
      <c r="DH27" s="37"/>
      <c r="DI27" s="243">
        <v>95</v>
      </c>
      <c r="DJ27" s="409">
        <v>0.21146000000000001</v>
      </c>
      <c r="DK27" s="396">
        <v>487.7</v>
      </c>
      <c r="DL27" s="415">
        <v>2.0648</v>
      </c>
      <c r="DM27" s="415">
        <v>0.9607</v>
      </c>
      <c r="DN27" s="334">
        <v>1.0998000000000001</v>
      </c>
      <c r="DO27" s="442">
        <v>179.3</v>
      </c>
      <c r="DP27" s="731"/>
      <c r="DQ27" s="409">
        <v>0.19719999999999999</v>
      </c>
      <c r="DR27" s="449">
        <v>487.6</v>
      </c>
      <c r="DS27" s="415">
        <v>2.0590000000000002</v>
      </c>
      <c r="DT27" s="415">
        <v>0.96150000000000002</v>
      </c>
      <c r="DU27" s="455">
        <v>1.1003000000000001</v>
      </c>
      <c r="DV27" s="396">
        <v>179.1</v>
      </c>
      <c r="DW27" s="240">
        <v>95</v>
      </c>
      <c r="DX27" s="37"/>
      <c r="DY27" s="247">
        <v>95</v>
      </c>
      <c r="DZ27" s="464">
        <v>0.18471000000000001</v>
      </c>
      <c r="EA27" s="467">
        <v>487.5</v>
      </c>
      <c r="EB27" s="471">
        <v>2.0535000000000001</v>
      </c>
      <c r="EC27" s="471">
        <v>0.96220000000000006</v>
      </c>
      <c r="ED27" s="471">
        <v>1.1008</v>
      </c>
      <c r="EE27" s="467">
        <v>179</v>
      </c>
      <c r="EF27" s="731"/>
      <c r="EG27" s="464">
        <v>0.17618</v>
      </c>
      <c r="EH27" s="476">
        <v>492.2</v>
      </c>
      <c r="EI27" s="471">
        <v>2.0613999999999999</v>
      </c>
      <c r="EJ27" s="473">
        <v>0.97019999999999995</v>
      </c>
      <c r="EK27" s="473">
        <v>1.1000000000000001</v>
      </c>
      <c r="EL27" s="476">
        <v>180.1</v>
      </c>
      <c r="EM27" s="248">
        <v>100</v>
      </c>
      <c r="EN27" s="37"/>
      <c r="EO27" s="262">
        <v>100</v>
      </c>
      <c r="EP27" s="474">
        <v>0.16622000000000001</v>
      </c>
      <c r="EQ27" s="467">
        <v>492.1</v>
      </c>
      <c r="ER27" s="473">
        <v>2.0566</v>
      </c>
      <c r="ES27" s="473">
        <v>0.97089999999999999</v>
      </c>
      <c r="ET27" s="403">
        <v>1.1004</v>
      </c>
      <c r="EU27" s="465">
        <v>180</v>
      </c>
      <c r="EV27" s="731"/>
      <c r="EW27" s="474">
        <v>0.15733</v>
      </c>
      <c r="EX27" s="476">
        <v>492</v>
      </c>
      <c r="EY27" s="473">
        <v>2.052</v>
      </c>
      <c r="EZ27" s="473">
        <v>0.97160000000000002</v>
      </c>
      <c r="FA27" s="473">
        <v>1.1008</v>
      </c>
      <c r="FB27" s="465">
        <v>179.8</v>
      </c>
      <c r="FC27" s="248">
        <v>100</v>
      </c>
      <c r="FD27" s="37"/>
      <c r="FE27" s="268">
        <v>100</v>
      </c>
      <c r="FF27" s="340">
        <v>0.14932000000000001</v>
      </c>
      <c r="FG27" s="487">
        <v>491.9</v>
      </c>
      <c r="FH27" s="334">
        <v>2.0476000000000001</v>
      </c>
      <c r="FI27" s="334">
        <v>0.97230000000000005</v>
      </c>
      <c r="FJ27" s="491">
        <v>1.1012999999999999</v>
      </c>
      <c r="FK27" s="396">
        <v>179.7</v>
      </c>
      <c r="FL27" s="731"/>
      <c r="FM27" s="490">
        <v>0.14413000000000001</v>
      </c>
      <c r="FN27" s="397">
        <v>496.7</v>
      </c>
      <c r="FO27" s="334">
        <v>2.0564</v>
      </c>
      <c r="FP27" s="334">
        <v>0.98009999999999997</v>
      </c>
      <c r="FQ27" s="334">
        <v>1.1004</v>
      </c>
      <c r="FR27" s="488">
        <v>180.8</v>
      </c>
      <c r="FS27" s="240">
        <v>100</v>
      </c>
      <c r="FT27" s="37"/>
      <c r="FU27" s="268">
        <v>105</v>
      </c>
      <c r="FV27" s="409">
        <v>0.13746</v>
      </c>
      <c r="FW27" s="396">
        <v>496.6</v>
      </c>
      <c r="FX27" s="415">
        <v>2.0525000000000002</v>
      </c>
      <c r="FY27" s="415">
        <v>0.98080000000000001</v>
      </c>
      <c r="FZ27" s="492">
        <v>1.1008</v>
      </c>
      <c r="GA27" s="489">
        <v>180.7</v>
      </c>
      <c r="GB27" s="731"/>
      <c r="GC27" s="409">
        <v>0.13134999999999999</v>
      </c>
      <c r="GD27" s="397">
        <v>496.5</v>
      </c>
      <c r="GE27" s="415">
        <v>2.0487000000000002</v>
      </c>
      <c r="GF27" s="415">
        <v>0.98140000000000005</v>
      </c>
      <c r="GG27" s="372">
        <v>1.1012</v>
      </c>
      <c r="GH27" s="489">
        <v>180.6</v>
      </c>
      <c r="GI27" s="240">
        <v>105</v>
      </c>
      <c r="GJ27" s="37"/>
      <c r="GK27" s="243">
        <v>105</v>
      </c>
      <c r="GL27" s="409">
        <v>0.12576999999999999</v>
      </c>
      <c r="GM27" s="404">
        <v>496.4</v>
      </c>
      <c r="GN27" s="415">
        <v>2.0449999999999999</v>
      </c>
      <c r="GO27" s="415">
        <v>0.98209999999999997</v>
      </c>
      <c r="GP27" s="333">
        <v>1.1016999999999999</v>
      </c>
      <c r="GQ27" s="396">
        <v>180.5</v>
      </c>
      <c r="GR27" s="731"/>
      <c r="GS27" s="409">
        <v>0.12235</v>
      </c>
      <c r="GT27" s="397">
        <v>501.3</v>
      </c>
      <c r="GU27" s="241">
        <v>2.0543999999999998</v>
      </c>
      <c r="GV27" s="170">
        <v>0.98970000000000002</v>
      </c>
      <c r="GW27" s="241">
        <v>1.1008</v>
      </c>
      <c r="GX27" s="397">
        <v>181.6</v>
      </c>
      <c r="GY27" s="240">
        <v>110</v>
      </c>
      <c r="HA27" s="243">
        <v>110</v>
      </c>
      <c r="HB27" s="340">
        <v>0.11755</v>
      </c>
      <c r="HC27" s="396">
        <v>501.2</v>
      </c>
      <c r="HD27" s="334">
        <v>2.0510999999999999</v>
      </c>
      <c r="HE27" s="334">
        <v>0.99029999999999996</v>
      </c>
      <c r="HF27" s="333">
        <v>1.1012</v>
      </c>
      <c r="HG27" s="396">
        <v>181.5</v>
      </c>
      <c r="HH27" s="731"/>
      <c r="HI27" s="340">
        <v>0.11311</v>
      </c>
      <c r="HJ27" s="397">
        <v>501.1</v>
      </c>
      <c r="HK27" s="334">
        <v>2.0478000000000001</v>
      </c>
      <c r="HL27" s="334">
        <v>0.99099999999999999</v>
      </c>
      <c r="HM27" s="334">
        <v>1.1015999999999999</v>
      </c>
      <c r="HN27" s="396">
        <v>181.4</v>
      </c>
      <c r="HO27" s="240">
        <v>110</v>
      </c>
      <c r="HQ27" s="268">
        <v>110</v>
      </c>
      <c r="HR27" s="340">
        <v>0.10897</v>
      </c>
      <c r="HS27" s="396">
        <v>501</v>
      </c>
      <c r="HT27" s="334">
        <v>2.0447000000000002</v>
      </c>
      <c r="HU27" s="334">
        <v>0.99160000000000004</v>
      </c>
      <c r="HV27" s="492">
        <v>1.1020000000000001</v>
      </c>
      <c r="HW27" s="489">
        <v>181.2</v>
      </c>
      <c r="HX27" s="731"/>
      <c r="HY27" s="490">
        <v>0.10512000000000001</v>
      </c>
      <c r="HZ27" s="397">
        <v>500.9</v>
      </c>
      <c r="IA27" s="334">
        <v>2.0415999999999999</v>
      </c>
      <c r="IB27" s="334">
        <v>0.99229999999999996</v>
      </c>
      <c r="IC27" s="334">
        <v>1.1024</v>
      </c>
      <c r="ID27" s="488">
        <v>181.1</v>
      </c>
      <c r="IE27" s="240">
        <v>110</v>
      </c>
      <c r="IG27" s="243">
        <v>115</v>
      </c>
      <c r="IH27" s="409">
        <v>0.10299</v>
      </c>
      <c r="II27" s="396">
        <v>505.8</v>
      </c>
      <c r="IJ27" s="415">
        <v>2.0516000000000001</v>
      </c>
      <c r="IK27" s="415">
        <v>0.99960000000000004</v>
      </c>
      <c r="IL27" s="492">
        <v>1.1013999999999999</v>
      </c>
      <c r="IM27" s="489">
        <v>182.3</v>
      </c>
      <c r="IN27" s="731"/>
      <c r="IO27" s="409">
        <v>9.9580000000000002E-2</v>
      </c>
      <c r="IP27" s="397">
        <v>505.7</v>
      </c>
      <c r="IQ27" s="415">
        <v>2.0488</v>
      </c>
      <c r="IR27" s="415">
        <v>1.0003</v>
      </c>
      <c r="IS27" s="415">
        <v>1.1017999999999999</v>
      </c>
      <c r="IT27" s="489">
        <v>182.2</v>
      </c>
      <c r="IU27" s="240">
        <v>115</v>
      </c>
      <c r="IW27" s="295">
        <v>115</v>
      </c>
      <c r="IX27" s="512">
        <v>9.6390000000000003E-2</v>
      </c>
      <c r="IY27" s="514">
        <v>505.6</v>
      </c>
      <c r="IZ27" s="522">
        <v>2.0459999999999998</v>
      </c>
      <c r="JA27" s="523">
        <v>1.0008999999999999</v>
      </c>
      <c r="JB27" s="391">
        <v>1.1022000000000001</v>
      </c>
      <c r="JC27" s="526">
        <v>182</v>
      </c>
      <c r="JD27" s="731"/>
      <c r="JE27" s="512">
        <v>9.3390000000000001E-2</v>
      </c>
      <c r="JF27" s="528">
        <v>505.5</v>
      </c>
      <c r="JG27" s="522">
        <v>2.0432999999999999</v>
      </c>
      <c r="JH27" s="391">
        <v>1.0015000000000001</v>
      </c>
      <c r="JI27" s="522">
        <v>1.1026</v>
      </c>
      <c r="JJ27" s="530">
        <v>181.9</v>
      </c>
      <c r="JK27" s="296">
        <v>115</v>
      </c>
      <c r="JM27" s="264">
        <v>115</v>
      </c>
      <c r="JN27" s="509">
        <v>9.0579999999999994E-2</v>
      </c>
      <c r="JO27" s="514">
        <v>505.4</v>
      </c>
      <c r="JP27" s="536">
        <v>2.0407000000000002</v>
      </c>
      <c r="JQ27" s="508">
        <v>1.0021</v>
      </c>
      <c r="JR27" s="659">
        <v>1.103</v>
      </c>
      <c r="JS27" s="526">
        <v>181.8</v>
      </c>
      <c r="JT27" s="731"/>
      <c r="JU27" s="509">
        <v>8.9160000000000003E-2</v>
      </c>
      <c r="JV27" s="528">
        <v>510.4</v>
      </c>
      <c r="JW27" s="536">
        <v>2.0510999999999999</v>
      </c>
      <c r="JX27" s="508">
        <v>1.0093000000000001</v>
      </c>
      <c r="JY27" s="508">
        <v>1.1019000000000001</v>
      </c>
      <c r="JZ27" s="526">
        <v>183</v>
      </c>
      <c r="KA27" s="279">
        <v>120</v>
      </c>
      <c r="KC27" s="176">
        <v>120</v>
      </c>
      <c r="KD27" s="340">
        <v>8.6629999999999999E-2</v>
      </c>
      <c r="KE27" s="398">
        <v>510.3</v>
      </c>
      <c r="KF27" s="170">
        <v>2.0486</v>
      </c>
      <c r="KG27" s="170">
        <v>1.0099</v>
      </c>
      <c r="KH27" s="170">
        <v>1.1023000000000001</v>
      </c>
      <c r="KI27" s="540">
        <v>182.9</v>
      </c>
      <c r="KJ27" s="731"/>
      <c r="KK27" s="340">
        <v>8.4199999999999997E-2</v>
      </c>
      <c r="KL27" s="397">
        <v>510.2</v>
      </c>
      <c r="KM27" s="334">
        <v>2.0461999999999998</v>
      </c>
      <c r="KN27" s="339">
        <v>1.0105</v>
      </c>
      <c r="KO27" s="334">
        <v>1.1027</v>
      </c>
      <c r="KP27" s="396">
        <v>182.8</v>
      </c>
      <c r="KQ27" s="260">
        <v>120</v>
      </c>
      <c r="KS27" s="243">
        <v>120</v>
      </c>
      <c r="KT27" s="409">
        <v>8.1930000000000003E-2</v>
      </c>
      <c r="KU27" s="544">
        <v>510.1</v>
      </c>
      <c r="KV27" s="415">
        <v>2.0438999999999998</v>
      </c>
      <c r="KW27" s="417">
        <v>1.0111000000000001</v>
      </c>
      <c r="KX27" s="334">
        <v>1.1031</v>
      </c>
      <c r="KY27" s="543">
        <v>182.6</v>
      </c>
      <c r="KZ27" s="731"/>
      <c r="LA27" s="340">
        <v>7.9780000000000004E-2</v>
      </c>
      <c r="LB27" s="397">
        <v>510</v>
      </c>
      <c r="LC27" s="415">
        <v>2.0415999999999999</v>
      </c>
      <c r="LD27" s="387">
        <v>1.0117</v>
      </c>
      <c r="LE27" s="415">
        <v>1.1033999999999999</v>
      </c>
      <c r="LF27" s="396">
        <v>182.5</v>
      </c>
      <c r="LG27" s="240">
        <v>120</v>
      </c>
      <c r="LI27" s="264">
        <v>120</v>
      </c>
      <c r="LJ27" s="511">
        <v>7.7719999999999997E-2</v>
      </c>
      <c r="LK27" s="514">
        <v>509.9</v>
      </c>
      <c r="LL27" s="522">
        <v>2.0394000000000001</v>
      </c>
      <c r="LM27" s="523">
        <v>1.0123</v>
      </c>
      <c r="LN27" s="523">
        <v>1.1037999999999999</v>
      </c>
      <c r="LO27" s="526">
        <v>182.4</v>
      </c>
      <c r="LP27" s="731"/>
      <c r="LQ27" s="511">
        <v>7.4039999999999995E-2</v>
      </c>
      <c r="LR27" s="528">
        <v>514.79999999999995</v>
      </c>
      <c r="LS27" s="522">
        <v>2.0468999999999999</v>
      </c>
      <c r="LT27" s="333">
        <v>1.0201</v>
      </c>
      <c r="LU27" s="536">
        <v>1.1032999999999999</v>
      </c>
      <c r="LV27" s="526">
        <v>183.4</v>
      </c>
      <c r="LW27" s="257">
        <v>125</v>
      </c>
      <c r="LY27" s="199">
        <v>125</v>
      </c>
      <c r="LZ27" s="509">
        <v>6.9790000000000005E-2</v>
      </c>
      <c r="MA27" s="514">
        <v>514.6</v>
      </c>
      <c r="MB27" s="536">
        <v>2.0417999999999998</v>
      </c>
      <c r="MC27" s="508">
        <v>1.0215000000000001</v>
      </c>
      <c r="MD27" s="339">
        <v>1.1042000000000001</v>
      </c>
      <c r="ME27" s="526">
        <v>183.2</v>
      </c>
      <c r="MF27" s="731"/>
      <c r="MG27" s="509">
        <v>6.6000000000000003E-2</v>
      </c>
      <c r="MH27" s="528">
        <v>514.29999999999995</v>
      </c>
      <c r="MI27" s="192">
        <v>2.0369999999999999</v>
      </c>
      <c r="MJ27" s="253">
        <v>1.0229999999999999</v>
      </c>
      <c r="MK27" s="192">
        <v>1.1051</v>
      </c>
      <c r="ML27" s="526">
        <v>182.9</v>
      </c>
      <c r="MM27" s="194">
        <v>125</v>
      </c>
      <c r="MO27" s="290">
        <v>130</v>
      </c>
      <c r="MP27" s="340">
        <v>6.3479999999999995E-2</v>
      </c>
      <c r="MQ27" s="396">
        <v>519.29999999999995</v>
      </c>
      <c r="MR27" s="334">
        <v>2.0451999999999999</v>
      </c>
      <c r="MS27" s="334">
        <v>1.0305</v>
      </c>
      <c r="MT27" s="335">
        <v>1.1044</v>
      </c>
      <c r="MU27" s="565">
        <v>184</v>
      </c>
      <c r="MV27" s="731"/>
      <c r="MW27" s="340">
        <v>6.0350000000000001E-2</v>
      </c>
      <c r="MX27" s="397">
        <v>519.1</v>
      </c>
      <c r="MY27" s="334">
        <v>2.0409000000000002</v>
      </c>
      <c r="MZ27" s="335">
        <v>1.0319</v>
      </c>
      <c r="NA27" s="334">
        <v>1.1052999999999999</v>
      </c>
      <c r="NB27" s="397">
        <v>183.7</v>
      </c>
      <c r="NC27" s="260">
        <v>130</v>
      </c>
      <c r="NE27" s="243">
        <v>130</v>
      </c>
      <c r="NF27" s="409">
        <v>5.7489999999999999E-2</v>
      </c>
      <c r="NG27" s="396">
        <v>518.79999999999995</v>
      </c>
      <c r="NH27" s="415">
        <v>2.0367000000000002</v>
      </c>
      <c r="NI27" s="415">
        <v>1.0333000000000001</v>
      </c>
      <c r="NJ27" s="335">
        <v>1.1062000000000001</v>
      </c>
      <c r="NK27" s="565">
        <v>183.4</v>
      </c>
      <c r="NL27" s="731"/>
      <c r="NM27" s="409">
        <v>5.568E-2</v>
      </c>
      <c r="NN27" s="397">
        <v>523.79999999999995</v>
      </c>
      <c r="NO27" s="415">
        <v>2.0455000000000001</v>
      </c>
      <c r="NP27" s="335">
        <v>1.0406</v>
      </c>
      <c r="NQ27" s="415">
        <v>1.1054999999999999</v>
      </c>
      <c r="NR27" s="396">
        <v>184.5</v>
      </c>
      <c r="NS27" s="240">
        <v>135</v>
      </c>
      <c r="NU27" s="288">
        <v>135</v>
      </c>
      <c r="NV27" s="511">
        <v>5.3269999999999998E-2</v>
      </c>
      <c r="NW27" s="528">
        <v>523.6</v>
      </c>
      <c r="NX27" s="522">
        <v>2.0417000000000001</v>
      </c>
      <c r="NY27" s="470">
        <v>1.0419</v>
      </c>
      <c r="NZ27" s="339">
        <v>1.1063000000000001</v>
      </c>
      <c r="OA27" s="528">
        <v>184.3</v>
      </c>
      <c r="OB27" s="731"/>
      <c r="OC27" s="511">
        <v>5.1049999999999998E-2</v>
      </c>
      <c r="OD27" s="528">
        <v>523.4</v>
      </c>
      <c r="OE27" s="574">
        <v>2.0379999999999998</v>
      </c>
      <c r="OF27" s="536">
        <v>1.0432999999999999</v>
      </c>
      <c r="OG27" s="574">
        <v>1.1072</v>
      </c>
      <c r="OH27" s="476">
        <v>184</v>
      </c>
      <c r="OI27" s="263">
        <v>135</v>
      </c>
      <c r="OK27" s="267">
        <v>135</v>
      </c>
      <c r="OL27" s="537">
        <v>4.9000000000000002E-2</v>
      </c>
      <c r="OM27" s="517">
        <v>523.20000000000005</v>
      </c>
      <c r="ON27" s="536">
        <v>2.0344000000000002</v>
      </c>
      <c r="OO27" s="459">
        <v>1.0446</v>
      </c>
      <c r="OP27" s="459">
        <v>1.1081000000000001</v>
      </c>
      <c r="OQ27" s="476">
        <v>183.8</v>
      </c>
      <c r="OR27" s="731"/>
      <c r="OS27" s="537">
        <v>4.7780000000000003E-2</v>
      </c>
      <c r="OT27" s="528">
        <v>528.20000000000005</v>
      </c>
      <c r="OU27" s="536">
        <v>2.0436999999999999</v>
      </c>
      <c r="OV27" s="536">
        <v>1.0516000000000001</v>
      </c>
      <c r="OW27" s="536">
        <v>1.1072</v>
      </c>
      <c r="OX27" s="476">
        <v>184.9</v>
      </c>
      <c r="OY27" s="289">
        <v>140</v>
      </c>
      <c r="PA27" s="259">
        <v>140</v>
      </c>
      <c r="PB27" s="340">
        <v>4.5999999999999999E-2</v>
      </c>
      <c r="PC27" s="396">
        <v>528</v>
      </c>
      <c r="PD27" s="334">
        <v>2.0404</v>
      </c>
      <c r="PE27" s="541">
        <v>1.0528999999999999</v>
      </c>
      <c r="PF27" s="492">
        <v>1.1081000000000001</v>
      </c>
      <c r="PG27" s="540">
        <v>184.6</v>
      </c>
      <c r="PH27" s="731"/>
      <c r="PI27" s="340">
        <v>4.4339999999999997E-2</v>
      </c>
      <c r="PJ27" s="397">
        <v>527.79999999999995</v>
      </c>
      <c r="PK27" s="334">
        <v>2.0371999999999999</v>
      </c>
      <c r="PL27" s="541">
        <v>1.0542</v>
      </c>
      <c r="PM27" s="334">
        <v>1.1089</v>
      </c>
      <c r="PN27" s="542">
        <v>184.4</v>
      </c>
      <c r="PO27" s="276">
        <v>140</v>
      </c>
      <c r="PQ27" s="261">
        <v>140</v>
      </c>
      <c r="PR27" s="409">
        <v>4.2790000000000002E-2</v>
      </c>
      <c r="PS27" s="396">
        <v>527.6</v>
      </c>
      <c r="PT27" s="415">
        <v>2.0341</v>
      </c>
      <c r="PU27" s="546">
        <v>1.0555000000000001</v>
      </c>
      <c r="PV27" s="492">
        <v>1.1097999999999999</v>
      </c>
      <c r="PW27" s="540">
        <v>184.1</v>
      </c>
      <c r="PX27" s="731"/>
      <c r="PY27" s="431">
        <v>4.0559999999999999E-2</v>
      </c>
      <c r="PZ27" s="397">
        <v>532.5</v>
      </c>
      <c r="QA27" s="415">
        <v>2.0407999999999999</v>
      </c>
      <c r="QB27" s="429">
        <v>1.0636000000000001</v>
      </c>
      <c r="QC27" s="415">
        <v>1.1095999999999999</v>
      </c>
      <c r="QD27" s="396">
        <v>185</v>
      </c>
      <c r="QE27" s="240">
        <v>145</v>
      </c>
      <c r="QG27" s="264">
        <v>145</v>
      </c>
      <c r="QH27" s="511">
        <v>3.805E-2</v>
      </c>
      <c r="QI27" s="514">
        <v>532.20000000000005</v>
      </c>
      <c r="QJ27" s="522">
        <v>2.0352000000000001</v>
      </c>
      <c r="QK27" s="523">
        <v>1.0661</v>
      </c>
      <c r="QL27" s="523">
        <v>1.1113</v>
      </c>
      <c r="QM27" s="526">
        <v>184.6</v>
      </c>
      <c r="QN27" s="731"/>
      <c r="QO27" s="511">
        <v>3.6339999999999997E-2</v>
      </c>
      <c r="QP27" s="532">
        <v>537.1</v>
      </c>
      <c r="QQ27" s="255">
        <v>2.0426000000000002</v>
      </c>
      <c r="QR27" s="198">
        <v>1.0738000000000001</v>
      </c>
      <c r="QS27" s="255">
        <v>1.111</v>
      </c>
      <c r="QT27" s="527">
        <v>185.5</v>
      </c>
      <c r="QU27" s="257">
        <v>150</v>
      </c>
      <c r="QW27" s="199">
        <v>150</v>
      </c>
      <c r="QX27" s="509">
        <v>3.4320000000000003E-2</v>
      </c>
      <c r="QY27" s="517">
        <v>536.70000000000005</v>
      </c>
      <c r="QZ27" s="536">
        <v>2.0375000000000001</v>
      </c>
      <c r="RA27" s="508">
        <v>1.0763</v>
      </c>
      <c r="RB27" s="590">
        <v>1.1126</v>
      </c>
      <c r="RC27" s="596">
        <v>185.1</v>
      </c>
      <c r="RD27" s="731"/>
      <c r="RE27" s="509">
        <v>3.2500000000000001E-2</v>
      </c>
      <c r="RF27" s="528">
        <v>536.29999999999995</v>
      </c>
      <c r="RG27" s="536">
        <v>2.0326</v>
      </c>
      <c r="RH27" s="508">
        <v>1.0787</v>
      </c>
      <c r="RI27" s="536">
        <v>1.1143000000000001</v>
      </c>
      <c r="RJ27" s="526">
        <v>184.6</v>
      </c>
      <c r="RK27" s="194">
        <v>150</v>
      </c>
      <c r="RM27" s="270">
        <v>155</v>
      </c>
      <c r="RN27" s="340">
        <v>2.98E-2</v>
      </c>
      <c r="RO27" s="396">
        <v>541</v>
      </c>
      <c r="RP27" s="334">
        <v>2.0363000000000002</v>
      </c>
      <c r="RQ27" s="334">
        <v>1.0885</v>
      </c>
      <c r="RR27" s="492">
        <v>1.1153999999999999</v>
      </c>
      <c r="RS27" s="489">
        <v>185.2</v>
      </c>
      <c r="RT27" s="731"/>
      <c r="RU27" s="340">
        <v>2.7560000000000001E-2</v>
      </c>
      <c r="RV27" s="397">
        <v>545.70000000000005</v>
      </c>
      <c r="RW27" s="334">
        <v>2.0406</v>
      </c>
      <c r="RX27" s="491">
        <v>1.0979000000000001</v>
      </c>
      <c r="RY27" s="334">
        <v>1.1164000000000001</v>
      </c>
      <c r="RZ27" s="488">
        <v>185.8</v>
      </c>
      <c r="SA27" s="260">
        <v>160</v>
      </c>
      <c r="SC27" s="268">
        <v>160</v>
      </c>
      <c r="SD27" s="409">
        <v>2.529E-2</v>
      </c>
      <c r="SE27" s="396">
        <v>545</v>
      </c>
      <c r="SF27" s="415">
        <v>2.0327999999999999</v>
      </c>
      <c r="SG27" s="499">
        <v>1.1027</v>
      </c>
      <c r="SH27" s="500">
        <v>1.1195999999999999</v>
      </c>
      <c r="SI27" s="489">
        <v>184.9</v>
      </c>
      <c r="SJ27" s="731"/>
      <c r="SK27" s="409">
        <v>2.3699999999999999E-2</v>
      </c>
      <c r="SL27" s="176">
        <v>549.79999999999995</v>
      </c>
      <c r="SM27" s="415">
        <v>2.0381999999999998</v>
      </c>
      <c r="SN27" s="500">
        <v>1.1115999999999999</v>
      </c>
      <c r="SO27" s="415">
        <v>1.1203000000000001</v>
      </c>
      <c r="SP27" s="190">
        <v>185.6</v>
      </c>
      <c r="SQ27" s="240">
        <v>165</v>
      </c>
      <c r="SS27" s="243">
        <v>170</v>
      </c>
      <c r="ST27" s="409">
        <v>2.2329999999999999E-2</v>
      </c>
      <c r="SU27" s="170">
        <v>554.70000000000005</v>
      </c>
      <c r="SV27" s="415">
        <v>2.044</v>
      </c>
      <c r="SW27" s="499">
        <v>1.1203000000000001</v>
      </c>
      <c r="SX27" s="415">
        <v>1.1209</v>
      </c>
      <c r="SY27" s="190">
        <v>186.3</v>
      </c>
      <c r="SZ27" s="731"/>
      <c r="TA27" s="497">
        <v>2.0820000000000002E-2</v>
      </c>
      <c r="TB27" s="451">
        <v>554</v>
      </c>
      <c r="TC27" s="415">
        <v>2.0375999999999999</v>
      </c>
      <c r="TD27" s="334">
        <v>1.1248</v>
      </c>
      <c r="TE27" s="491">
        <v>1.1240000000000001</v>
      </c>
      <c r="TF27" s="488">
        <v>185.5</v>
      </c>
      <c r="TG27" s="287">
        <v>170</v>
      </c>
      <c r="TI27" s="270">
        <v>175</v>
      </c>
      <c r="TJ27" s="340">
        <v>1.9779999999999999E-2</v>
      </c>
      <c r="TK27" s="396">
        <v>558.9</v>
      </c>
      <c r="TL27" s="334">
        <v>2.0440999999999998</v>
      </c>
      <c r="TM27" s="334">
        <v>1.133</v>
      </c>
      <c r="TN27" s="339">
        <v>1.1244000000000001</v>
      </c>
      <c r="TO27" s="489">
        <v>186.4</v>
      </c>
      <c r="TP27" s="731"/>
      <c r="TQ27" s="490">
        <v>1.8589999999999999E-2</v>
      </c>
      <c r="TR27" s="397">
        <v>558.20000000000005</v>
      </c>
      <c r="TS27" s="334">
        <v>2.0383</v>
      </c>
      <c r="TT27" s="491">
        <v>1.1374</v>
      </c>
      <c r="TU27" s="334">
        <v>1.1274</v>
      </c>
      <c r="TV27" s="489">
        <v>185.6</v>
      </c>
      <c r="TW27" s="260">
        <v>175</v>
      </c>
      <c r="TY27" s="270">
        <v>180</v>
      </c>
      <c r="TZ27" s="474">
        <v>1.779E-2</v>
      </c>
      <c r="UA27" s="467">
        <v>563.20000000000005</v>
      </c>
      <c r="UB27" s="473">
        <v>2.0453999999999999</v>
      </c>
      <c r="UC27" s="491">
        <v>1.1452</v>
      </c>
      <c r="UD27" s="610">
        <v>1.1274999999999999</v>
      </c>
      <c r="UE27" s="489">
        <v>186.5</v>
      </c>
      <c r="UF27" s="749"/>
      <c r="UG27" s="474">
        <v>1.6809999999999999E-2</v>
      </c>
      <c r="UH27" s="478">
        <v>562.6</v>
      </c>
      <c r="UI27" s="473">
        <v>2.0400999999999998</v>
      </c>
      <c r="UJ27" s="491">
        <v>1.1496</v>
      </c>
      <c r="UK27" s="473">
        <v>1.1305000000000001</v>
      </c>
      <c r="UL27" s="488">
        <v>185.7</v>
      </c>
      <c r="UM27" s="310">
        <v>180</v>
      </c>
      <c r="UO27" s="268">
        <v>185</v>
      </c>
      <c r="UP27" s="464">
        <v>1.537E-2</v>
      </c>
      <c r="UQ27" s="467">
        <v>567</v>
      </c>
      <c r="UR27" s="471">
        <v>2.0428000000000002</v>
      </c>
      <c r="US27" s="499">
        <v>1.1612</v>
      </c>
      <c r="UT27" s="610">
        <v>1.1334</v>
      </c>
      <c r="UU27" s="489">
        <v>186</v>
      </c>
      <c r="UV27" s="749"/>
      <c r="UW27" s="464">
        <v>1.417E-2</v>
      </c>
      <c r="UX27" s="478">
        <v>571.5</v>
      </c>
      <c r="UY27" s="471">
        <v>2.0461999999999998</v>
      </c>
      <c r="UZ27" s="499">
        <v>1.1722999999999999</v>
      </c>
      <c r="VA27" s="471">
        <v>1.1358999999999999</v>
      </c>
      <c r="VB27" s="489">
        <v>186.3</v>
      </c>
      <c r="VC27" s="248">
        <v>190</v>
      </c>
      <c r="VE27" s="264">
        <v>190</v>
      </c>
      <c r="VF27" s="512">
        <v>1.2959999999999999E-2</v>
      </c>
      <c r="VG27" s="514">
        <v>570.20000000000005</v>
      </c>
      <c r="VH27" s="522">
        <v>2.0375000000000001</v>
      </c>
      <c r="VI27" s="523">
        <v>1.1808000000000001</v>
      </c>
      <c r="VJ27" s="391">
        <v>1.1417999999999999</v>
      </c>
      <c r="VK27" s="527">
        <v>185</v>
      </c>
      <c r="VL27" s="749"/>
      <c r="VM27" s="512">
        <v>1.2120000000000001E-2</v>
      </c>
      <c r="VN27" s="532">
        <v>574.79999999999995</v>
      </c>
      <c r="VO27" s="522">
        <v>2.0421</v>
      </c>
      <c r="VP27" s="508">
        <v>1.1913</v>
      </c>
      <c r="VQ27" s="523">
        <v>1.1439999999999999</v>
      </c>
      <c r="VR27" s="526">
        <v>185.5</v>
      </c>
      <c r="VS27" s="265">
        <v>195</v>
      </c>
      <c r="VU27" s="193">
        <v>200</v>
      </c>
      <c r="VV27" s="509">
        <v>1.1390000000000001E-2</v>
      </c>
      <c r="VW27" s="514">
        <v>579.6</v>
      </c>
      <c r="VX27" s="536">
        <v>2.0470999999999999</v>
      </c>
      <c r="VY27" s="508">
        <v>1.2012</v>
      </c>
      <c r="VZ27" s="330">
        <v>1.1457999999999999</v>
      </c>
      <c r="WA27" s="526">
        <v>186.1</v>
      </c>
      <c r="WB27" s="749"/>
      <c r="WC27" s="509">
        <v>1.059E-2</v>
      </c>
      <c r="WD27" s="528">
        <v>578.29999999999995</v>
      </c>
      <c r="WE27" s="536">
        <v>2.0398000000000001</v>
      </c>
      <c r="WF27" s="508">
        <v>1.2094</v>
      </c>
      <c r="WG27" s="536">
        <v>1.1515</v>
      </c>
      <c r="WH27" s="526">
        <v>184.9</v>
      </c>
      <c r="WI27" s="194">
        <v>200</v>
      </c>
      <c r="WK27" s="193">
        <v>205</v>
      </c>
      <c r="WL27" s="509">
        <v>1.005E-2</v>
      </c>
      <c r="WM27" s="514">
        <v>583.1</v>
      </c>
      <c r="WN27" s="536">
        <v>2.0457000000000001</v>
      </c>
      <c r="WO27" s="508">
        <v>1.2185999999999999</v>
      </c>
      <c r="WP27" s="492">
        <v>1.1529</v>
      </c>
      <c r="WQ27" s="526">
        <v>185.7</v>
      </c>
      <c r="WR27" s="749"/>
      <c r="WS27" s="509">
        <v>9.5700000000000004E-3</v>
      </c>
      <c r="WT27" s="528">
        <v>588.1</v>
      </c>
      <c r="WU27" s="536">
        <v>2.0518000000000001</v>
      </c>
      <c r="WV27" s="508">
        <v>1.2273000000000001</v>
      </c>
      <c r="WW27" s="536">
        <v>1.1539999999999999</v>
      </c>
      <c r="WX27" s="530">
        <v>186.5</v>
      </c>
      <c r="WY27" s="194">
        <v>210</v>
      </c>
      <c r="WZ27" s="400"/>
      <c r="XA27" s="254">
        <v>210</v>
      </c>
      <c r="XB27" s="511">
        <v>8.9999999999999993E-3</v>
      </c>
      <c r="XC27" s="514">
        <v>586.9</v>
      </c>
      <c r="XD27" s="522">
        <v>2.0455000000000001</v>
      </c>
      <c r="XE27" s="523">
        <v>1.2351000000000001</v>
      </c>
      <c r="XF27" s="492">
        <v>1.1594</v>
      </c>
      <c r="XG27" s="526">
        <v>185.5</v>
      </c>
      <c r="XH27" s="749"/>
      <c r="XI27" s="511">
        <v>8.6300000000000005E-3</v>
      </c>
      <c r="XJ27" s="528">
        <v>591.9</v>
      </c>
      <c r="XK27" s="522">
        <v>2.0522</v>
      </c>
      <c r="XL27" s="500">
        <v>1.2431000000000001</v>
      </c>
      <c r="XM27" s="522">
        <v>1.1599999999999999</v>
      </c>
      <c r="XN27" s="526">
        <v>186.4</v>
      </c>
      <c r="XO27" s="257">
        <v>215</v>
      </c>
      <c r="XP27" s="170"/>
    </row>
    <row r="28" spans="1:640" ht="15.75" thickBot="1" x14ac:dyDescent="0.3">
      <c r="A28" s="282">
        <v>50</v>
      </c>
      <c r="B28" s="365">
        <v>2.63158</v>
      </c>
      <c r="C28" s="368">
        <v>447.9</v>
      </c>
      <c r="D28" s="360">
        <v>2.1633</v>
      </c>
      <c r="E28" s="360">
        <v>0.87749999999999995</v>
      </c>
      <c r="F28" s="360">
        <v>1.1032999999999999</v>
      </c>
      <c r="G28" s="172">
        <v>170.2</v>
      </c>
      <c r="H28" s="266"/>
      <c r="I28" s="365">
        <v>1.35318</v>
      </c>
      <c r="J28" s="374">
        <v>456.6</v>
      </c>
      <c r="K28" s="360">
        <v>2.1335000000000002</v>
      </c>
      <c r="L28" s="358">
        <v>0.89539999999999997</v>
      </c>
      <c r="M28" s="360">
        <v>1.1016999999999999</v>
      </c>
      <c r="N28" s="368">
        <v>172.5</v>
      </c>
      <c r="O28" s="382">
        <v>60</v>
      </c>
      <c r="P28" s="238"/>
      <c r="Q28" s="282">
        <v>70</v>
      </c>
      <c r="R28" s="363">
        <v>0.92850999999999995</v>
      </c>
      <c r="S28" s="368">
        <v>465.5</v>
      </c>
      <c r="T28" s="358">
        <v>2.1269999999999998</v>
      </c>
      <c r="U28" s="358">
        <v>0.91290000000000004</v>
      </c>
      <c r="V28" s="358">
        <v>1.1001000000000001</v>
      </c>
      <c r="W28" s="368">
        <v>174.8</v>
      </c>
      <c r="X28" s="266"/>
      <c r="Y28" s="363">
        <v>0.70621</v>
      </c>
      <c r="Z28" s="374">
        <v>470</v>
      </c>
      <c r="AA28" s="358">
        <v>2.1164999999999998</v>
      </c>
      <c r="AB28" s="358">
        <v>0.92190000000000005</v>
      </c>
      <c r="AC28" s="358">
        <v>1.0994999999999999</v>
      </c>
      <c r="AD28" s="368">
        <v>175.8</v>
      </c>
      <c r="AE28" s="283">
        <v>75</v>
      </c>
      <c r="AF28" s="37"/>
      <c r="AG28" s="243">
        <v>75</v>
      </c>
      <c r="AH28" s="340">
        <v>0.56401999999999997</v>
      </c>
      <c r="AI28" s="396">
        <v>469.9</v>
      </c>
      <c r="AJ28" s="334">
        <v>2.0981000000000001</v>
      </c>
      <c r="AK28" s="334">
        <v>0.92279999999999995</v>
      </c>
      <c r="AL28" s="401">
        <v>1.1001000000000001</v>
      </c>
      <c r="AM28" s="404">
        <v>175.7</v>
      </c>
      <c r="AN28" s="731"/>
      <c r="AO28" s="340">
        <v>0.47642000000000001</v>
      </c>
      <c r="AP28" s="397">
        <v>474.4</v>
      </c>
      <c r="AQ28" s="334">
        <v>2.0962000000000001</v>
      </c>
      <c r="AR28" s="334">
        <v>0.93159999999999998</v>
      </c>
      <c r="AS28" s="401">
        <v>1.0994999999999999</v>
      </c>
      <c r="AT28" s="397">
        <v>176.7</v>
      </c>
      <c r="AU28" s="240">
        <v>80</v>
      </c>
      <c r="AV28" s="37"/>
      <c r="AW28" s="243">
        <v>85</v>
      </c>
      <c r="AX28" s="409">
        <v>0.41391</v>
      </c>
      <c r="AY28" s="396">
        <v>478.9</v>
      </c>
      <c r="AZ28" s="415">
        <v>2.0966</v>
      </c>
      <c r="BA28" s="415">
        <v>0.94020000000000004</v>
      </c>
      <c r="BB28" s="416">
        <v>1.0989</v>
      </c>
      <c r="BC28" s="396">
        <v>177.8</v>
      </c>
      <c r="BD28" s="731"/>
      <c r="BE28" s="409">
        <v>0.36179</v>
      </c>
      <c r="BF28" s="397">
        <v>478.8</v>
      </c>
      <c r="BG28" s="415">
        <v>2.0855000000000001</v>
      </c>
      <c r="BH28" s="334">
        <v>0.94099999999999995</v>
      </c>
      <c r="BI28" s="415">
        <v>1.0993999999999999</v>
      </c>
      <c r="BJ28" s="396">
        <v>177.6</v>
      </c>
      <c r="BK28" s="240">
        <v>85</v>
      </c>
      <c r="BL28" s="37"/>
      <c r="BM28" s="243">
        <v>90</v>
      </c>
      <c r="BN28" s="409">
        <v>0.32595000000000002</v>
      </c>
      <c r="BO28" s="396">
        <v>483.5</v>
      </c>
      <c r="BP28" s="415">
        <v>2.0888</v>
      </c>
      <c r="BQ28" s="415">
        <v>0.94950000000000001</v>
      </c>
      <c r="BR28" s="426">
        <v>1.0987</v>
      </c>
      <c r="BS28" s="396">
        <v>178.7</v>
      </c>
      <c r="BT28" s="731"/>
      <c r="BU28" s="409">
        <v>0.29299999999999998</v>
      </c>
      <c r="BV28" s="397">
        <v>483.4</v>
      </c>
      <c r="BW28" s="415">
        <v>2.08</v>
      </c>
      <c r="BX28" s="334">
        <v>0.95030000000000003</v>
      </c>
      <c r="BY28" s="415">
        <v>1.0992</v>
      </c>
      <c r="BZ28" s="397">
        <v>178.6</v>
      </c>
      <c r="CA28" s="240">
        <v>90</v>
      </c>
      <c r="CB28" s="37"/>
      <c r="CC28" s="243">
        <v>90</v>
      </c>
      <c r="CD28" s="340">
        <v>0.28917999999999999</v>
      </c>
      <c r="CE28" s="396">
        <v>483.3</v>
      </c>
      <c r="CF28" s="334">
        <v>2.0789</v>
      </c>
      <c r="CG28" s="334">
        <v>0.95040000000000002</v>
      </c>
      <c r="CH28" s="334">
        <v>1.0992</v>
      </c>
      <c r="CI28" s="396">
        <v>178.6</v>
      </c>
      <c r="CJ28" s="731"/>
      <c r="CK28" s="340">
        <v>0.26998</v>
      </c>
      <c r="CL28" s="397">
        <v>488</v>
      </c>
      <c r="CM28" s="334">
        <v>2.0851000000000002</v>
      </c>
      <c r="CN28" s="334">
        <v>0.95860000000000001</v>
      </c>
      <c r="CO28" s="334">
        <v>1.0985</v>
      </c>
      <c r="CP28" s="396">
        <v>179.7</v>
      </c>
      <c r="CQ28" s="240">
        <v>95</v>
      </c>
      <c r="CR28" s="37"/>
      <c r="CS28" s="243">
        <v>95</v>
      </c>
      <c r="CT28" s="340">
        <v>0.24722</v>
      </c>
      <c r="CU28" s="442">
        <v>487.9</v>
      </c>
      <c r="CV28" s="334">
        <v>2.0777999999999999</v>
      </c>
      <c r="CW28" s="334">
        <v>0.95930000000000004</v>
      </c>
      <c r="CX28" s="334">
        <v>1.0989</v>
      </c>
      <c r="CY28" s="449">
        <v>179.5</v>
      </c>
      <c r="CZ28" s="731"/>
      <c r="DA28" s="340">
        <v>0.22800000000000001</v>
      </c>
      <c r="DB28" s="397">
        <v>487.8</v>
      </c>
      <c r="DC28" s="334">
        <v>2.0710999999999999</v>
      </c>
      <c r="DD28" s="334">
        <v>0.96</v>
      </c>
      <c r="DE28" s="444">
        <v>1.0993999999999999</v>
      </c>
      <c r="DF28" s="397">
        <v>179.4</v>
      </c>
      <c r="DG28" s="240">
        <v>95</v>
      </c>
      <c r="DH28" s="37"/>
      <c r="DI28" s="278">
        <v>100</v>
      </c>
      <c r="DJ28" s="409">
        <v>0.2145</v>
      </c>
      <c r="DK28" s="398">
        <v>492.5</v>
      </c>
      <c r="DL28" s="415">
        <v>2.0777999999999999</v>
      </c>
      <c r="DM28" s="415">
        <v>0.96809999999999996</v>
      </c>
      <c r="DN28" s="444">
        <v>1.0987</v>
      </c>
      <c r="DO28" s="442">
        <v>180.5</v>
      </c>
      <c r="DP28" s="731"/>
      <c r="DQ28" s="453">
        <v>0.2</v>
      </c>
      <c r="DR28" s="397">
        <v>492.4</v>
      </c>
      <c r="DS28" s="415">
        <v>2.0720000000000001</v>
      </c>
      <c r="DT28" s="415">
        <v>0.96879999999999999</v>
      </c>
      <c r="DU28" s="415">
        <v>1.0991</v>
      </c>
      <c r="DV28" s="442">
        <v>180.4</v>
      </c>
      <c r="DW28" s="240">
        <v>100</v>
      </c>
      <c r="DX28" s="37"/>
      <c r="DY28" s="262">
        <v>100</v>
      </c>
      <c r="DZ28" s="464">
        <v>0.18734000000000001</v>
      </c>
      <c r="EA28" s="467">
        <v>492.3</v>
      </c>
      <c r="EB28" s="471">
        <v>2.0666000000000002</v>
      </c>
      <c r="EC28" s="471">
        <v>0.96950000000000003</v>
      </c>
      <c r="ED28" s="419">
        <v>1.0994999999999999</v>
      </c>
      <c r="EE28" s="465">
        <v>180.2</v>
      </c>
      <c r="EF28" s="731"/>
      <c r="EG28" s="463">
        <v>0.17867</v>
      </c>
      <c r="EH28" s="478">
        <v>497.1</v>
      </c>
      <c r="EI28" s="471">
        <v>2.0743999999999998</v>
      </c>
      <c r="EJ28" s="473">
        <v>0.97740000000000005</v>
      </c>
      <c r="EK28" s="473">
        <v>1.0988</v>
      </c>
      <c r="EL28" s="476">
        <v>181.3</v>
      </c>
      <c r="EM28" s="248">
        <v>105</v>
      </c>
      <c r="EN28" s="37"/>
      <c r="EO28" s="262">
        <v>105</v>
      </c>
      <c r="EP28" s="474">
        <v>0.16858000000000001</v>
      </c>
      <c r="EQ28" s="467">
        <v>497</v>
      </c>
      <c r="ER28" s="473">
        <v>2.0695999999999999</v>
      </c>
      <c r="ES28" s="473">
        <v>0.97809999999999997</v>
      </c>
      <c r="ET28" s="403">
        <v>1.0992</v>
      </c>
      <c r="EU28" s="465">
        <v>181.2</v>
      </c>
      <c r="EV28" s="731"/>
      <c r="EW28" s="474">
        <v>0.15956999999999999</v>
      </c>
      <c r="EX28" s="476">
        <v>496.9</v>
      </c>
      <c r="EY28" s="473">
        <v>2.0649999999999999</v>
      </c>
      <c r="EZ28" s="473">
        <v>0.9788</v>
      </c>
      <c r="FA28" s="473">
        <v>1.0995999999999999</v>
      </c>
      <c r="FB28" s="465">
        <v>181.1</v>
      </c>
      <c r="FC28" s="248">
        <v>105</v>
      </c>
      <c r="FD28" s="37"/>
      <c r="FE28" s="268">
        <v>105</v>
      </c>
      <c r="FF28" s="340">
        <v>0.15145</v>
      </c>
      <c r="FG28" s="487">
        <v>496.8</v>
      </c>
      <c r="FH28" s="334">
        <v>2.0606</v>
      </c>
      <c r="FI28" s="334">
        <v>0.97940000000000005</v>
      </c>
      <c r="FJ28" s="492">
        <v>1.1000000000000001</v>
      </c>
      <c r="FK28" s="489">
        <v>181</v>
      </c>
      <c r="FL28" s="731"/>
      <c r="FM28" s="490">
        <v>0.14616000000000001</v>
      </c>
      <c r="FN28" s="397">
        <v>501.6</v>
      </c>
      <c r="FO28" s="334">
        <v>2.0693999999999999</v>
      </c>
      <c r="FP28" s="334">
        <v>0.98719999999999997</v>
      </c>
      <c r="FQ28" s="334">
        <v>1.0992</v>
      </c>
      <c r="FR28" s="488">
        <v>182.1</v>
      </c>
      <c r="FS28" s="240">
        <v>105</v>
      </c>
      <c r="FT28" s="37"/>
      <c r="FU28" s="268">
        <v>110</v>
      </c>
      <c r="FV28" s="409">
        <v>0.13938999999999999</v>
      </c>
      <c r="FW28" s="396">
        <v>501.6</v>
      </c>
      <c r="FX28" s="415">
        <v>2.0653999999999999</v>
      </c>
      <c r="FY28" s="415">
        <v>0.98780000000000001</v>
      </c>
      <c r="FZ28" s="492">
        <v>1.0995999999999999</v>
      </c>
      <c r="GA28" s="489">
        <v>182</v>
      </c>
      <c r="GB28" s="731"/>
      <c r="GC28" s="409">
        <v>0.13322999999999999</v>
      </c>
      <c r="GD28" s="397">
        <v>501.5</v>
      </c>
      <c r="GE28" s="415">
        <v>2.0615999999999999</v>
      </c>
      <c r="GF28" s="415">
        <v>0.98839999999999995</v>
      </c>
      <c r="GG28" s="415">
        <v>1.1000000000000001</v>
      </c>
      <c r="GH28" s="489">
        <v>181.8</v>
      </c>
      <c r="GI28" s="240">
        <v>110</v>
      </c>
      <c r="GJ28" s="37"/>
      <c r="GK28" s="243">
        <v>110</v>
      </c>
      <c r="GL28" s="409">
        <v>0.12755</v>
      </c>
      <c r="GM28" s="404">
        <v>501.4</v>
      </c>
      <c r="GN28" s="415">
        <v>2.0579000000000001</v>
      </c>
      <c r="GO28" s="415">
        <v>0.98909999999999998</v>
      </c>
      <c r="GP28" s="333">
        <v>1.1004</v>
      </c>
      <c r="GQ28" s="396">
        <v>181.7</v>
      </c>
      <c r="GR28" s="731"/>
      <c r="GS28" s="409">
        <v>0.12407</v>
      </c>
      <c r="GT28" s="397">
        <v>506.2</v>
      </c>
      <c r="GU28" s="241">
        <v>2.0672999999999999</v>
      </c>
      <c r="GV28" s="170">
        <v>0.99660000000000004</v>
      </c>
      <c r="GW28" s="241">
        <v>1.0994999999999999</v>
      </c>
      <c r="GX28" s="397">
        <v>182.9</v>
      </c>
      <c r="GY28" s="240">
        <v>115</v>
      </c>
      <c r="HA28" s="243">
        <v>115</v>
      </c>
      <c r="HB28" s="340">
        <v>0.11922000000000001</v>
      </c>
      <c r="HC28" s="396">
        <v>506.1</v>
      </c>
      <c r="HD28" s="334">
        <v>2.0640000000000001</v>
      </c>
      <c r="HE28" s="334">
        <v>0.99719999999999998</v>
      </c>
      <c r="HF28" s="333">
        <v>1.0999000000000001</v>
      </c>
      <c r="HG28" s="396">
        <v>182.7</v>
      </c>
      <c r="HH28" s="731"/>
      <c r="HI28" s="340">
        <v>0.11471000000000001</v>
      </c>
      <c r="HJ28" s="397">
        <v>506.1</v>
      </c>
      <c r="HK28" s="334">
        <v>2.0607000000000002</v>
      </c>
      <c r="HL28" s="334">
        <v>0.99780000000000002</v>
      </c>
      <c r="HM28" s="334">
        <v>1.1002000000000001</v>
      </c>
      <c r="HN28" s="396">
        <v>182.6</v>
      </c>
      <c r="HO28" s="240">
        <v>115</v>
      </c>
      <c r="HQ28" s="243">
        <v>115</v>
      </c>
      <c r="HR28" s="340">
        <v>0.11051999999999999</v>
      </c>
      <c r="HS28" s="396">
        <v>506</v>
      </c>
      <c r="HT28" s="334">
        <v>2.0575999999999999</v>
      </c>
      <c r="HU28" s="334">
        <v>0.99839999999999995</v>
      </c>
      <c r="HV28" s="492">
        <v>1.1006</v>
      </c>
      <c r="HW28" s="489">
        <v>182.5</v>
      </c>
      <c r="HX28" s="731"/>
      <c r="HY28" s="340">
        <v>0.10663</v>
      </c>
      <c r="HZ28" s="397">
        <v>505.9</v>
      </c>
      <c r="IA28" s="334">
        <v>2.0546000000000002</v>
      </c>
      <c r="IB28" s="334">
        <v>0.999</v>
      </c>
      <c r="IC28" s="334">
        <v>1.101</v>
      </c>
      <c r="ID28" s="488">
        <v>182.4</v>
      </c>
      <c r="IE28" s="240">
        <v>115</v>
      </c>
      <c r="IG28" s="243">
        <v>120</v>
      </c>
      <c r="IH28" s="409">
        <v>0.10444000000000001</v>
      </c>
      <c r="II28" s="505">
        <v>510.8</v>
      </c>
      <c r="IJ28" s="415">
        <v>2.0644999999999998</v>
      </c>
      <c r="IK28" s="415">
        <v>1.0064</v>
      </c>
      <c r="IL28" s="334">
        <v>1.1001000000000001</v>
      </c>
      <c r="IM28" s="489">
        <v>183.5</v>
      </c>
      <c r="IN28" s="731"/>
      <c r="IO28" s="409">
        <v>0.10098</v>
      </c>
      <c r="IP28" s="427">
        <v>510.7</v>
      </c>
      <c r="IQ28" s="415">
        <v>2.0615999999999999</v>
      </c>
      <c r="IR28" s="415">
        <v>1.0069999999999999</v>
      </c>
      <c r="IS28" s="415">
        <v>1.1004</v>
      </c>
      <c r="IT28" s="396">
        <v>183.4</v>
      </c>
      <c r="IU28" s="240">
        <v>120</v>
      </c>
      <c r="IW28" s="264">
        <v>120</v>
      </c>
      <c r="IX28" s="512">
        <v>9.7750000000000004E-2</v>
      </c>
      <c r="IY28" s="514">
        <v>510.6</v>
      </c>
      <c r="IZ28" s="522">
        <v>2.0589</v>
      </c>
      <c r="JA28" s="523">
        <v>1.0075000000000001</v>
      </c>
      <c r="JB28" s="523">
        <v>1.1008</v>
      </c>
      <c r="JC28" s="514">
        <v>183.3</v>
      </c>
      <c r="JD28" s="731"/>
      <c r="JE28" s="512">
        <v>9.4710000000000003E-2</v>
      </c>
      <c r="JF28" s="528">
        <v>510.5</v>
      </c>
      <c r="JG28" s="522">
        <v>2.0562</v>
      </c>
      <c r="JH28" s="508">
        <v>1.0081</v>
      </c>
      <c r="JI28" s="523">
        <v>1.1012</v>
      </c>
      <c r="JJ28" s="528">
        <v>183.2</v>
      </c>
      <c r="JK28" s="265">
        <v>120</v>
      </c>
      <c r="JM28" s="254">
        <v>120</v>
      </c>
      <c r="JN28" s="537">
        <v>9.1840000000000005E-2</v>
      </c>
      <c r="JO28" s="514">
        <v>510.4</v>
      </c>
      <c r="JP28" s="536">
        <v>2.0535999999999999</v>
      </c>
      <c r="JQ28" s="508">
        <v>1.0086999999999999</v>
      </c>
      <c r="JR28" s="387">
        <v>1.1014999999999999</v>
      </c>
      <c r="JS28" s="526">
        <v>183.1</v>
      </c>
      <c r="JT28" s="731"/>
      <c r="JU28" s="509">
        <v>9.0410000000000004E-2</v>
      </c>
      <c r="JV28" s="528">
        <v>515.4</v>
      </c>
      <c r="JW28" s="508">
        <v>2.0638999999999998</v>
      </c>
      <c r="JX28" s="391">
        <v>1.0159</v>
      </c>
      <c r="JY28" s="536">
        <v>1.1006</v>
      </c>
      <c r="JZ28" s="526">
        <v>184.3</v>
      </c>
      <c r="KA28" s="194">
        <v>125</v>
      </c>
      <c r="KC28" s="267">
        <v>125</v>
      </c>
      <c r="KD28" s="340">
        <v>8.7830000000000005E-2</v>
      </c>
      <c r="KE28" s="396">
        <v>515.29999999999995</v>
      </c>
      <c r="KF28" s="170">
        <v>2.0613999999999999</v>
      </c>
      <c r="KG28" s="170">
        <v>1.0164</v>
      </c>
      <c r="KH28" s="196">
        <v>1.1009</v>
      </c>
      <c r="KI28" s="396">
        <v>184.2</v>
      </c>
      <c r="KJ28" s="731"/>
      <c r="KK28" s="340">
        <v>8.5400000000000004E-2</v>
      </c>
      <c r="KL28" s="397">
        <v>515.29999999999995</v>
      </c>
      <c r="KM28" s="334">
        <v>2.0590000000000002</v>
      </c>
      <c r="KN28" s="541">
        <v>1.0169999999999999</v>
      </c>
      <c r="KO28" s="339">
        <v>1.1012999999999999</v>
      </c>
      <c r="KP28" s="540">
        <v>184</v>
      </c>
      <c r="KQ28" s="177">
        <v>125</v>
      </c>
      <c r="KS28" s="288">
        <v>125</v>
      </c>
      <c r="KT28" s="409">
        <v>8.3080000000000001E-2</v>
      </c>
      <c r="KU28" s="404">
        <v>515.20000000000005</v>
      </c>
      <c r="KV28" s="415">
        <v>2.0567000000000002</v>
      </c>
      <c r="KW28" s="415">
        <v>1.0175000000000001</v>
      </c>
      <c r="KX28" s="541">
        <v>1.1015999999999999</v>
      </c>
      <c r="KY28" s="404">
        <v>183.9</v>
      </c>
      <c r="KZ28" s="731"/>
      <c r="LA28" s="340">
        <v>8.0890000000000004E-2</v>
      </c>
      <c r="LB28" s="397">
        <v>515.1</v>
      </c>
      <c r="LC28" s="415">
        <v>2.0543999999999998</v>
      </c>
      <c r="LD28" s="415">
        <v>1.0181</v>
      </c>
      <c r="LE28" s="546">
        <v>1.1020000000000001</v>
      </c>
      <c r="LF28" s="540">
        <v>183.8</v>
      </c>
      <c r="LG28" s="240">
        <v>125</v>
      </c>
      <c r="LI28" s="264">
        <v>125</v>
      </c>
      <c r="LJ28" s="512">
        <v>7.8810000000000005E-2</v>
      </c>
      <c r="LK28" s="514">
        <v>515</v>
      </c>
      <c r="LL28" s="522">
        <v>2.0522</v>
      </c>
      <c r="LM28" s="523">
        <v>1.0186999999999999</v>
      </c>
      <c r="LN28" s="333">
        <v>1.1023000000000001</v>
      </c>
      <c r="LO28" s="526">
        <v>183.7</v>
      </c>
      <c r="LP28" s="731"/>
      <c r="LQ28" s="512">
        <v>7.5079999999999994E-2</v>
      </c>
      <c r="LR28" s="528">
        <v>519.9</v>
      </c>
      <c r="LS28" s="522">
        <v>2.0596000000000001</v>
      </c>
      <c r="LT28" s="333">
        <v>1.0264</v>
      </c>
      <c r="LU28" s="536">
        <v>1.1017999999999999</v>
      </c>
      <c r="LV28" s="526">
        <v>184.7</v>
      </c>
      <c r="LW28" s="257">
        <v>130</v>
      </c>
      <c r="LY28" s="199">
        <v>130</v>
      </c>
      <c r="LZ28" s="537">
        <v>7.0779999999999996E-2</v>
      </c>
      <c r="MA28" s="514">
        <v>519.70000000000005</v>
      </c>
      <c r="MB28" s="536">
        <v>2.0546000000000002</v>
      </c>
      <c r="MC28" s="508">
        <v>1.0278</v>
      </c>
      <c r="MD28" s="331">
        <v>1.1027</v>
      </c>
      <c r="ME28" s="526">
        <v>184.5</v>
      </c>
      <c r="MF28" s="731"/>
      <c r="MG28" s="509">
        <v>6.694E-2</v>
      </c>
      <c r="MH28" s="528">
        <v>519.5</v>
      </c>
      <c r="MI28" s="192">
        <v>2.0497999999999998</v>
      </c>
      <c r="MJ28" s="253">
        <v>1.0290999999999999</v>
      </c>
      <c r="MK28" s="192">
        <v>1.1035999999999999</v>
      </c>
      <c r="ML28" s="526">
        <v>184.2</v>
      </c>
      <c r="MM28" s="194">
        <v>130</v>
      </c>
      <c r="MO28" s="290">
        <v>135</v>
      </c>
      <c r="MP28" s="340">
        <v>6.4369999999999997E-2</v>
      </c>
      <c r="MQ28" s="396">
        <v>524.4</v>
      </c>
      <c r="MR28" s="334">
        <v>2.0579999999999998</v>
      </c>
      <c r="MS28" s="334">
        <v>1.0367</v>
      </c>
      <c r="MT28" s="335">
        <v>1.1029</v>
      </c>
      <c r="MU28" s="565">
        <v>185.3</v>
      </c>
      <c r="MV28" s="731"/>
      <c r="MW28" s="340">
        <v>6.1199999999999997E-2</v>
      </c>
      <c r="MX28" s="397">
        <v>524.20000000000005</v>
      </c>
      <c r="MY28" s="334">
        <v>2.0535999999999999</v>
      </c>
      <c r="MZ28" s="335">
        <v>1.038</v>
      </c>
      <c r="NA28" s="334">
        <v>1.1037999999999999</v>
      </c>
      <c r="NB28" s="566">
        <v>185</v>
      </c>
      <c r="NC28" s="260">
        <v>135</v>
      </c>
      <c r="NE28" s="291">
        <v>135</v>
      </c>
      <c r="NF28" s="409">
        <v>5.8319999999999997E-2</v>
      </c>
      <c r="NG28" s="396">
        <v>524</v>
      </c>
      <c r="NH28" s="415">
        <v>2.0495000000000001</v>
      </c>
      <c r="NI28" s="415">
        <v>1.0392999999999999</v>
      </c>
      <c r="NJ28" s="335">
        <v>1.1046</v>
      </c>
      <c r="NK28" s="565">
        <v>184.8</v>
      </c>
      <c r="NL28" s="731"/>
      <c r="NM28" s="409">
        <v>5.6469999999999999E-2</v>
      </c>
      <c r="NN28" s="397">
        <v>529</v>
      </c>
      <c r="NO28" s="415">
        <v>2.0581999999999998</v>
      </c>
      <c r="NP28" s="335">
        <v>1.0466</v>
      </c>
      <c r="NQ28" s="415">
        <v>1.1039000000000001</v>
      </c>
      <c r="NR28" s="565">
        <v>185.8</v>
      </c>
      <c r="NS28" s="240">
        <v>140</v>
      </c>
      <c r="NU28" s="288">
        <v>140</v>
      </c>
      <c r="NV28" s="511">
        <v>5.4019999999999999E-2</v>
      </c>
      <c r="NW28" s="528">
        <v>528.79999999999995</v>
      </c>
      <c r="NX28" s="522">
        <v>2.0543999999999998</v>
      </c>
      <c r="NY28" s="470">
        <v>1.0478000000000001</v>
      </c>
      <c r="NZ28" s="459">
        <v>1.1047</v>
      </c>
      <c r="OA28" s="476">
        <v>185.6</v>
      </c>
      <c r="OB28" s="731"/>
      <c r="OC28" s="511">
        <v>5.1769999999999997E-2</v>
      </c>
      <c r="OD28" s="528">
        <v>528.6</v>
      </c>
      <c r="OE28" s="574">
        <v>2.0507</v>
      </c>
      <c r="OF28" s="536">
        <v>1.0490999999999999</v>
      </c>
      <c r="OG28" s="574">
        <v>1.1054999999999999</v>
      </c>
      <c r="OH28" s="476">
        <v>185.4</v>
      </c>
      <c r="OI28" s="263">
        <v>140</v>
      </c>
      <c r="OK28" s="267">
        <v>140</v>
      </c>
      <c r="OL28" s="537">
        <v>4.9700000000000001E-2</v>
      </c>
      <c r="OM28" s="517">
        <v>528.4</v>
      </c>
      <c r="ON28" s="536">
        <v>2.0470999999999999</v>
      </c>
      <c r="OO28" s="459">
        <v>1.0504</v>
      </c>
      <c r="OP28" s="459">
        <v>1.1064000000000001</v>
      </c>
      <c r="OQ28" s="528">
        <v>185.1</v>
      </c>
      <c r="OR28" s="731"/>
      <c r="OS28" s="460">
        <v>4.845E-2</v>
      </c>
      <c r="OT28" s="528">
        <v>533.5</v>
      </c>
      <c r="OU28" s="536">
        <v>2.0564</v>
      </c>
      <c r="OV28" s="459">
        <v>1.0573999999999999</v>
      </c>
      <c r="OW28" s="459">
        <v>1.1054999999999999</v>
      </c>
      <c r="OX28" s="528">
        <v>186.2</v>
      </c>
      <c r="OY28" s="289">
        <v>145</v>
      </c>
      <c r="PA28" s="176">
        <v>145</v>
      </c>
      <c r="PB28" s="578">
        <v>4.6649999999999997E-2</v>
      </c>
      <c r="PC28" s="396">
        <v>533.29999999999995</v>
      </c>
      <c r="PD28" s="334">
        <v>2.0531000000000001</v>
      </c>
      <c r="PE28" s="334">
        <v>1.0586</v>
      </c>
      <c r="PF28" s="334">
        <v>1.1063000000000001</v>
      </c>
      <c r="PG28" s="397">
        <v>186</v>
      </c>
      <c r="PH28" s="731"/>
      <c r="PI28" s="434">
        <v>4.4970000000000003E-2</v>
      </c>
      <c r="PJ28" s="397">
        <v>533.1</v>
      </c>
      <c r="PK28" s="334">
        <v>2.0499000000000001</v>
      </c>
      <c r="PL28" s="334">
        <v>1.0598000000000001</v>
      </c>
      <c r="PM28" s="334">
        <v>1.1071</v>
      </c>
      <c r="PN28" s="397">
        <v>185.8</v>
      </c>
      <c r="PO28" s="260">
        <v>145</v>
      </c>
      <c r="PQ28" s="243">
        <v>145</v>
      </c>
      <c r="PR28" s="580">
        <v>4.3400000000000001E-2</v>
      </c>
      <c r="PS28" s="396">
        <v>532.9</v>
      </c>
      <c r="PT28" s="415">
        <v>2.0468000000000002</v>
      </c>
      <c r="PU28" s="415">
        <v>1.0610999999999999</v>
      </c>
      <c r="PV28" s="334">
        <v>1.1080000000000001</v>
      </c>
      <c r="PW28" s="396">
        <v>185.5</v>
      </c>
      <c r="PX28" s="731"/>
      <c r="PY28" s="409">
        <v>4.1140000000000003E-2</v>
      </c>
      <c r="PZ28" s="397">
        <v>537.9</v>
      </c>
      <c r="QA28" s="415">
        <v>2.0535000000000001</v>
      </c>
      <c r="QB28" s="500">
        <v>1.069</v>
      </c>
      <c r="QC28" s="429">
        <v>1.1077999999999999</v>
      </c>
      <c r="QD28" s="540">
        <v>186.4</v>
      </c>
      <c r="QE28" s="240">
        <v>150</v>
      </c>
      <c r="QG28" s="264">
        <v>150</v>
      </c>
      <c r="QH28" s="512">
        <v>3.8600000000000002E-2</v>
      </c>
      <c r="QI28" s="514">
        <v>537.5</v>
      </c>
      <c r="QJ28" s="522">
        <v>2.0478999999999998</v>
      </c>
      <c r="QK28" s="523">
        <v>1.0713999999999999</v>
      </c>
      <c r="QL28" s="590">
        <v>1.1093999999999999</v>
      </c>
      <c r="QM28" s="526">
        <v>186</v>
      </c>
      <c r="QN28" s="731"/>
      <c r="QO28" s="512">
        <v>3.6859999999999997E-2</v>
      </c>
      <c r="QP28" s="532">
        <v>542.5</v>
      </c>
      <c r="QQ28" s="255">
        <v>2.0552000000000001</v>
      </c>
      <c r="QR28" s="198">
        <v>1.0790999999999999</v>
      </c>
      <c r="QS28" s="255">
        <v>1.1091</v>
      </c>
      <c r="QT28" s="527">
        <v>186.9</v>
      </c>
      <c r="QU28" s="257">
        <v>155</v>
      </c>
      <c r="QW28" s="199">
        <v>155</v>
      </c>
      <c r="QX28" s="509">
        <v>3.4819999999999997E-2</v>
      </c>
      <c r="QY28" s="517">
        <v>542.1</v>
      </c>
      <c r="QZ28" s="536">
        <v>2.0501999999999998</v>
      </c>
      <c r="RA28" s="508">
        <v>1.0813999999999999</v>
      </c>
      <c r="RB28" s="590">
        <v>1.1107</v>
      </c>
      <c r="RC28" s="596">
        <v>186.5</v>
      </c>
      <c r="RD28" s="731"/>
      <c r="RE28" s="509">
        <v>3.2980000000000002E-2</v>
      </c>
      <c r="RF28" s="528">
        <v>541.79999999999995</v>
      </c>
      <c r="RG28" s="536">
        <v>2.0453000000000001</v>
      </c>
      <c r="RH28" s="590">
        <v>1.0837000000000001</v>
      </c>
      <c r="RI28" s="536">
        <v>1.1122000000000001</v>
      </c>
      <c r="RJ28" s="526">
        <v>186</v>
      </c>
      <c r="RK28" s="194">
        <v>155</v>
      </c>
      <c r="RM28" s="270">
        <v>160</v>
      </c>
      <c r="RN28" s="340">
        <v>3.023E-2</v>
      </c>
      <c r="RO28" s="396">
        <v>546.5</v>
      </c>
      <c r="RP28" s="334">
        <v>2.0489000000000002</v>
      </c>
      <c r="RQ28" s="334">
        <v>1.0932999999999999</v>
      </c>
      <c r="RR28" s="491">
        <v>1.1133</v>
      </c>
      <c r="RS28" s="489">
        <v>186.6</v>
      </c>
      <c r="RT28" s="731"/>
      <c r="RU28" s="340">
        <v>2.7959999999999999E-2</v>
      </c>
      <c r="RV28" s="397">
        <v>551.20000000000005</v>
      </c>
      <c r="RW28" s="334">
        <v>2.0531999999999999</v>
      </c>
      <c r="RX28" s="492">
        <v>1.1026</v>
      </c>
      <c r="RY28" s="334">
        <v>1.1142000000000001</v>
      </c>
      <c r="RZ28" s="488">
        <v>187.2</v>
      </c>
      <c r="SA28" s="260">
        <v>165</v>
      </c>
      <c r="SC28" s="268">
        <v>165</v>
      </c>
      <c r="SD28" s="409">
        <v>2.5659999999999999E-2</v>
      </c>
      <c r="SE28" s="396">
        <v>550.5</v>
      </c>
      <c r="SF28" s="415">
        <v>2.0455000000000001</v>
      </c>
      <c r="SG28" s="499">
        <v>1.107</v>
      </c>
      <c r="SH28" s="500">
        <v>1.1172</v>
      </c>
      <c r="SI28" s="489">
        <v>186.4</v>
      </c>
      <c r="SJ28" s="731"/>
      <c r="SK28" s="409">
        <v>2.4049999999999998E-2</v>
      </c>
      <c r="SL28" s="176">
        <v>555.4</v>
      </c>
      <c r="SM28" s="415">
        <v>2.0508000000000002</v>
      </c>
      <c r="SN28" s="429">
        <v>1.1158999999999999</v>
      </c>
      <c r="SO28" s="415">
        <v>1.1178999999999999</v>
      </c>
      <c r="SP28" s="170">
        <v>187.1</v>
      </c>
      <c r="SQ28" s="240">
        <v>170</v>
      </c>
      <c r="SS28" s="268">
        <v>175</v>
      </c>
      <c r="ST28" s="409">
        <v>2.265E-2</v>
      </c>
      <c r="SU28" s="170">
        <v>560.29999999999995</v>
      </c>
      <c r="SV28" s="415">
        <v>2.0566</v>
      </c>
      <c r="SW28" s="499">
        <v>1.1244000000000001</v>
      </c>
      <c r="SX28" s="499">
        <v>1.1185</v>
      </c>
      <c r="SY28" s="190">
        <v>187.9</v>
      </c>
      <c r="SZ28" s="731"/>
      <c r="TA28" s="409">
        <v>2.1129999999999999E-2</v>
      </c>
      <c r="TB28" s="397">
        <v>559.6</v>
      </c>
      <c r="TC28" s="415">
        <v>2.0501999999999998</v>
      </c>
      <c r="TD28" s="491">
        <v>1.1287</v>
      </c>
      <c r="TE28" s="334">
        <v>1.1214</v>
      </c>
      <c r="TF28" s="488">
        <v>187.1</v>
      </c>
      <c r="TG28" s="240">
        <v>175</v>
      </c>
      <c r="TI28" s="270">
        <v>180</v>
      </c>
      <c r="TJ28" s="340">
        <v>2.0080000000000001E-2</v>
      </c>
      <c r="TK28" s="396">
        <v>564.6</v>
      </c>
      <c r="TL28" s="334">
        <v>2.0567000000000002</v>
      </c>
      <c r="TM28" s="491">
        <v>1.1368</v>
      </c>
      <c r="TN28" s="339">
        <v>1.1217999999999999</v>
      </c>
      <c r="TO28" s="489">
        <v>187.9</v>
      </c>
      <c r="TP28" s="731"/>
      <c r="TQ28" s="340">
        <v>1.8870000000000001E-2</v>
      </c>
      <c r="TR28" s="397">
        <v>563.9</v>
      </c>
      <c r="TS28" s="334">
        <v>2.0508999999999999</v>
      </c>
      <c r="TT28" s="491">
        <v>1.141</v>
      </c>
      <c r="TU28" s="334">
        <v>1.1246</v>
      </c>
      <c r="TV28" s="489">
        <v>187.2</v>
      </c>
      <c r="TW28" s="260">
        <v>180</v>
      </c>
      <c r="TY28" s="270">
        <v>185</v>
      </c>
      <c r="TZ28" s="474">
        <v>1.806E-2</v>
      </c>
      <c r="UA28" s="467">
        <v>569</v>
      </c>
      <c r="UB28" s="473">
        <v>2.0579999999999998</v>
      </c>
      <c r="UC28" s="491">
        <v>1.1487000000000001</v>
      </c>
      <c r="UD28" s="610">
        <v>1.1248</v>
      </c>
      <c r="UE28" s="489">
        <v>188.1</v>
      </c>
      <c r="UF28" s="749"/>
      <c r="UG28" s="474">
        <v>1.7069999999999998E-2</v>
      </c>
      <c r="UH28" s="478">
        <v>568.29999999999995</v>
      </c>
      <c r="UI28" s="473">
        <v>2.0527000000000002</v>
      </c>
      <c r="UJ28" s="610">
        <v>1.1528</v>
      </c>
      <c r="UK28" s="473">
        <v>1.1275999999999999</v>
      </c>
      <c r="UL28" s="488">
        <v>187.4</v>
      </c>
      <c r="UM28" s="310">
        <v>185</v>
      </c>
      <c r="UO28" s="268">
        <v>190</v>
      </c>
      <c r="UP28" s="464">
        <v>1.5610000000000001E-2</v>
      </c>
      <c r="UQ28" s="467">
        <v>572.79999999999995</v>
      </c>
      <c r="UR28" s="471">
        <v>2.0554000000000001</v>
      </c>
      <c r="US28" s="499">
        <v>1.1641999999999999</v>
      </c>
      <c r="UT28" s="610">
        <v>1.1302000000000001</v>
      </c>
      <c r="UU28" s="489">
        <v>187.6</v>
      </c>
      <c r="UV28" s="749"/>
      <c r="UW28" s="464">
        <v>1.44E-2</v>
      </c>
      <c r="UX28" s="478">
        <v>577.4</v>
      </c>
      <c r="UY28" s="471">
        <v>2.0588000000000002</v>
      </c>
      <c r="UZ28" s="471">
        <v>1.1751</v>
      </c>
      <c r="VA28" s="471">
        <v>1.1327</v>
      </c>
      <c r="VB28" s="467">
        <v>188</v>
      </c>
      <c r="VC28" s="248">
        <v>195</v>
      </c>
      <c r="VE28" s="254">
        <v>195</v>
      </c>
      <c r="VF28" s="511">
        <v>1.3169999999999999E-2</v>
      </c>
      <c r="VG28" s="514">
        <v>576.1</v>
      </c>
      <c r="VH28" s="522">
        <v>2.0501999999999998</v>
      </c>
      <c r="VI28" s="523">
        <v>1.1830000000000001</v>
      </c>
      <c r="VJ28" s="508">
        <v>1.1382000000000001</v>
      </c>
      <c r="VK28" s="527">
        <v>186.7</v>
      </c>
      <c r="VL28" s="749"/>
      <c r="VM28" s="512">
        <v>1.2319999999999999E-2</v>
      </c>
      <c r="VN28" s="532">
        <v>580.79999999999995</v>
      </c>
      <c r="VO28" s="522">
        <v>2.0547</v>
      </c>
      <c r="VP28" s="391">
        <v>1.1932</v>
      </c>
      <c r="VQ28" s="522">
        <v>1.1402000000000001</v>
      </c>
      <c r="VR28" s="526">
        <v>187.3</v>
      </c>
      <c r="VS28" s="257">
        <v>200</v>
      </c>
      <c r="VU28" s="193">
        <v>205</v>
      </c>
      <c r="VV28" s="509">
        <v>1.158E-2</v>
      </c>
      <c r="VW28" s="514">
        <v>585.6</v>
      </c>
      <c r="VX28" s="536">
        <v>2.0598000000000001</v>
      </c>
      <c r="VY28" s="508">
        <v>1.2030000000000001</v>
      </c>
      <c r="VZ28" s="330">
        <v>1.1419999999999999</v>
      </c>
      <c r="WA28" s="526">
        <v>187.8</v>
      </c>
      <c r="WB28" s="749"/>
      <c r="WC28" s="509">
        <v>1.077E-2</v>
      </c>
      <c r="WD28" s="528">
        <v>584.4</v>
      </c>
      <c r="WE28" s="536">
        <v>2.0526</v>
      </c>
      <c r="WF28" s="391">
        <v>1.2107000000000001</v>
      </c>
      <c r="WG28" s="536">
        <v>1.1473</v>
      </c>
      <c r="WH28" s="526">
        <v>186.7</v>
      </c>
      <c r="WI28" s="194">
        <v>205</v>
      </c>
      <c r="WK28" s="193">
        <v>210</v>
      </c>
      <c r="WL28" s="509">
        <v>1.022E-2</v>
      </c>
      <c r="WM28" s="514">
        <v>589.20000000000005</v>
      </c>
      <c r="WN28" s="536">
        <v>2.0583</v>
      </c>
      <c r="WO28" s="508">
        <v>1.2197</v>
      </c>
      <c r="WP28" s="492">
        <v>1.1486000000000001</v>
      </c>
      <c r="WQ28" s="526">
        <v>187.5</v>
      </c>
      <c r="WR28" s="749"/>
      <c r="WS28" s="537">
        <v>9.7300000000000008E-3</v>
      </c>
      <c r="WT28" s="528">
        <v>594.20000000000005</v>
      </c>
      <c r="WU28" s="536">
        <v>2.0644</v>
      </c>
      <c r="WV28" s="492">
        <v>1.2283999999999999</v>
      </c>
      <c r="WW28" s="536">
        <v>1.1496999999999999</v>
      </c>
      <c r="WX28" s="530">
        <v>188.3</v>
      </c>
      <c r="WY28" s="194">
        <v>215</v>
      </c>
      <c r="WZ28" s="400"/>
      <c r="XA28" s="254">
        <v>215</v>
      </c>
      <c r="XB28" s="512">
        <v>9.1500000000000001E-3</v>
      </c>
      <c r="XC28" s="514">
        <v>593</v>
      </c>
      <c r="XD28" s="522">
        <v>2.0581999999999998</v>
      </c>
      <c r="XE28" s="523">
        <v>1.2357</v>
      </c>
      <c r="XF28" s="492">
        <v>1.1548</v>
      </c>
      <c r="XG28" s="526">
        <v>187.3</v>
      </c>
      <c r="XH28" s="749"/>
      <c r="XI28" s="511">
        <v>8.77E-3</v>
      </c>
      <c r="XJ28" s="528">
        <v>598.1</v>
      </c>
      <c r="XK28" s="522">
        <v>2.0649000000000002</v>
      </c>
      <c r="XL28" s="522">
        <v>1.2436</v>
      </c>
      <c r="XM28" s="522">
        <v>1.1554</v>
      </c>
      <c r="XN28" s="514">
        <v>188.3</v>
      </c>
      <c r="XO28" s="257">
        <v>220</v>
      </c>
      <c r="XP28" s="177"/>
    </row>
    <row r="29" spans="1:640" ht="15.75" thickBot="1" x14ac:dyDescent="0.3">
      <c r="A29" s="282">
        <v>55</v>
      </c>
      <c r="B29" s="365">
        <v>2.6738</v>
      </c>
      <c r="C29" s="368">
        <v>452.3</v>
      </c>
      <c r="D29" s="360">
        <v>2.1768000000000001</v>
      </c>
      <c r="E29" s="360">
        <v>0.88600000000000001</v>
      </c>
      <c r="F29" s="360">
        <v>1.1021000000000001</v>
      </c>
      <c r="G29" s="172">
        <v>171.4</v>
      </c>
      <c r="H29" s="266"/>
      <c r="I29" s="365">
        <v>1.3736299999999999</v>
      </c>
      <c r="J29" s="374">
        <v>461.1</v>
      </c>
      <c r="K29" s="360">
        <v>2.1469</v>
      </c>
      <c r="L29" s="358">
        <v>0.90369999999999995</v>
      </c>
      <c r="M29" s="360">
        <v>1.1006</v>
      </c>
      <c r="N29" s="368">
        <v>173.7</v>
      </c>
      <c r="O29" s="382">
        <v>65</v>
      </c>
      <c r="P29" s="238"/>
      <c r="Q29" s="282">
        <v>75</v>
      </c>
      <c r="R29" s="363">
        <v>0.94250999999999996</v>
      </c>
      <c r="S29" s="368">
        <v>470.1</v>
      </c>
      <c r="T29" s="358">
        <v>2.1402000000000001</v>
      </c>
      <c r="U29" s="358">
        <v>0.92100000000000004</v>
      </c>
      <c r="V29" s="358">
        <v>1.099</v>
      </c>
      <c r="W29" s="368">
        <v>176</v>
      </c>
      <c r="X29" s="266"/>
      <c r="Y29" s="363">
        <v>0.71633000000000002</v>
      </c>
      <c r="Z29" s="374">
        <v>474.6</v>
      </c>
      <c r="AA29" s="358">
        <v>2.1297000000000001</v>
      </c>
      <c r="AB29" s="358">
        <v>0.92989999999999995</v>
      </c>
      <c r="AC29" s="358">
        <v>1.0985</v>
      </c>
      <c r="AD29" s="368">
        <v>177</v>
      </c>
      <c r="AE29" s="283">
        <v>80</v>
      </c>
      <c r="AF29" s="37"/>
      <c r="AG29" s="243">
        <v>80</v>
      </c>
      <c r="AH29" s="340">
        <v>0.57240999999999997</v>
      </c>
      <c r="AI29" s="396">
        <v>474.5</v>
      </c>
      <c r="AJ29" s="334">
        <v>2.1113</v>
      </c>
      <c r="AK29" s="334">
        <v>0.93069999999999997</v>
      </c>
      <c r="AL29" s="401">
        <v>1.099</v>
      </c>
      <c r="AM29" s="406">
        <v>176.9</v>
      </c>
      <c r="AN29" s="731"/>
      <c r="AO29" s="340">
        <v>0.48355999999999999</v>
      </c>
      <c r="AP29" s="397">
        <v>479.1</v>
      </c>
      <c r="AQ29" s="334">
        <v>2.1093999999999999</v>
      </c>
      <c r="AR29" s="334">
        <v>0.93940000000000001</v>
      </c>
      <c r="AS29" s="401">
        <v>1.0984</v>
      </c>
      <c r="AT29" s="397">
        <v>177.9</v>
      </c>
      <c r="AU29" s="240">
        <v>85</v>
      </c>
      <c r="AV29" s="37"/>
      <c r="AW29" s="239">
        <v>90</v>
      </c>
      <c r="AX29" s="409">
        <v>0.41982000000000003</v>
      </c>
      <c r="AY29" s="396">
        <v>483.7</v>
      </c>
      <c r="AZ29" s="415">
        <v>2.1097000000000001</v>
      </c>
      <c r="BA29" s="415">
        <v>0.94799999999999995</v>
      </c>
      <c r="BB29" s="416">
        <v>1.0978000000000001</v>
      </c>
      <c r="BC29" s="396">
        <v>179</v>
      </c>
      <c r="BD29" s="731"/>
      <c r="BE29" s="412">
        <v>0.36697000000000002</v>
      </c>
      <c r="BF29" s="397">
        <v>483.6</v>
      </c>
      <c r="BG29" s="415">
        <v>2.0985999999999998</v>
      </c>
      <c r="BH29" s="334">
        <v>0.94869999999999999</v>
      </c>
      <c r="BI29" s="415">
        <v>1.0982000000000001</v>
      </c>
      <c r="BJ29" s="396">
        <v>178.9</v>
      </c>
      <c r="BK29" s="240">
        <v>90</v>
      </c>
      <c r="BL29" s="37"/>
      <c r="BM29" s="243">
        <v>95</v>
      </c>
      <c r="BN29" s="409">
        <v>0.33057999999999998</v>
      </c>
      <c r="BO29" s="396">
        <v>488.2</v>
      </c>
      <c r="BP29" s="415">
        <v>2.1017999999999999</v>
      </c>
      <c r="BQ29" s="415">
        <v>0.95709999999999995</v>
      </c>
      <c r="BR29" s="334">
        <v>1.0975999999999999</v>
      </c>
      <c r="BS29" s="396">
        <v>179.9</v>
      </c>
      <c r="BT29" s="731"/>
      <c r="BU29" s="409">
        <v>0.29718</v>
      </c>
      <c r="BV29" s="397">
        <v>488.1</v>
      </c>
      <c r="BW29" s="415">
        <v>2.093</v>
      </c>
      <c r="BX29" s="334">
        <v>0.95779999999999998</v>
      </c>
      <c r="BY29" s="415">
        <v>1.0981000000000001</v>
      </c>
      <c r="BZ29" s="397">
        <v>179.8</v>
      </c>
      <c r="CA29" s="240">
        <v>95</v>
      </c>
      <c r="CB29" s="37"/>
      <c r="CC29" s="243">
        <v>95</v>
      </c>
      <c r="CD29" s="340">
        <v>0.29326000000000002</v>
      </c>
      <c r="CE29" s="396">
        <v>488.1</v>
      </c>
      <c r="CF29" s="334">
        <v>2.0918999999999999</v>
      </c>
      <c r="CG29" s="334">
        <v>0.95789999999999997</v>
      </c>
      <c r="CH29" s="334">
        <v>1.0981000000000001</v>
      </c>
      <c r="CI29" s="396">
        <v>179.8</v>
      </c>
      <c r="CJ29" s="731"/>
      <c r="CK29" s="340">
        <v>0.27374999999999999</v>
      </c>
      <c r="CL29" s="397">
        <v>492.8</v>
      </c>
      <c r="CM29" s="334">
        <v>2.0981000000000001</v>
      </c>
      <c r="CN29" s="334">
        <v>0.96609999999999996</v>
      </c>
      <c r="CO29" s="334">
        <v>1.0973999999999999</v>
      </c>
      <c r="CP29" s="396">
        <v>180.9</v>
      </c>
      <c r="CQ29" s="240">
        <v>100</v>
      </c>
      <c r="CR29" s="37"/>
      <c r="CS29" s="278">
        <v>100</v>
      </c>
      <c r="CT29" s="340">
        <v>0.25069000000000002</v>
      </c>
      <c r="CU29" s="398">
        <v>492.7</v>
      </c>
      <c r="CV29" s="334">
        <v>2.0908000000000002</v>
      </c>
      <c r="CW29" s="334">
        <v>0.9667</v>
      </c>
      <c r="CX29" s="444">
        <v>1.0978000000000001</v>
      </c>
      <c r="CY29" s="442">
        <v>180.8</v>
      </c>
      <c r="CZ29" s="731"/>
      <c r="DA29" s="440">
        <v>0.23116</v>
      </c>
      <c r="DB29" s="397">
        <v>492.6</v>
      </c>
      <c r="DC29" s="334">
        <v>2.0840999999999998</v>
      </c>
      <c r="DD29" s="334">
        <v>0.96740000000000004</v>
      </c>
      <c r="DE29" s="334">
        <v>1.0982000000000001</v>
      </c>
      <c r="DF29" s="449">
        <v>180.6</v>
      </c>
      <c r="DG29" s="240">
        <v>100</v>
      </c>
      <c r="DH29" s="37"/>
      <c r="DI29" s="278">
        <v>105</v>
      </c>
      <c r="DJ29" s="409">
        <v>0.21753</v>
      </c>
      <c r="DK29" s="398">
        <v>497.4</v>
      </c>
      <c r="DL29" s="415">
        <v>2.0908000000000002</v>
      </c>
      <c r="DM29" s="415">
        <v>0.97550000000000003</v>
      </c>
      <c r="DN29" s="444">
        <v>1.0974999999999999</v>
      </c>
      <c r="DO29" s="442">
        <v>181.7</v>
      </c>
      <c r="DP29" s="731"/>
      <c r="DQ29" s="453">
        <v>0.20283999999999999</v>
      </c>
      <c r="DR29" s="397">
        <v>497.3</v>
      </c>
      <c r="DS29" s="415">
        <v>2.085</v>
      </c>
      <c r="DT29" s="415">
        <v>0.97609999999999997</v>
      </c>
      <c r="DU29" s="415">
        <v>1.0979000000000001</v>
      </c>
      <c r="DV29" s="442">
        <v>181.6</v>
      </c>
      <c r="DW29" s="240">
        <v>105</v>
      </c>
      <c r="DX29" s="37"/>
      <c r="DY29" s="262">
        <v>105</v>
      </c>
      <c r="DZ29" s="464">
        <v>0.19001000000000001</v>
      </c>
      <c r="EA29" s="467">
        <v>497.2</v>
      </c>
      <c r="EB29" s="471">
        <v>2.0794999999999999</v>
      </c>
      <c r="EC29" s="470">
        <v>0.9768</v>
      </c>
      <c r="ED29" s="470">
        <v>1.0983000000000001</v>
      </c>
      <c r="EE29" s="465">
        <v>181.5</v>
      </c>
      <c r="EF29" s="731"/>
      <c r="EG29" s="463">
        <v>0.18113000000000001</v>
      </c>
      <c r="EH29" s="478">
        <v>502</v>
      </c>
      <c r="EI29" s="471">
        <v>2.0872999999999999</v>
      </c>
      <c r="EJ29" s="473">
        <v>0.98470000000000002</v>
      </c>
      <c r="EK29" s="473">
        <v>1.0975999999999999</v>
      </c>
      <c r="EL29" s="476">
        <v>182.6</v>
      </c>
      <c r="EM29" s="248">
        <v>110</v>
      </c>
      <c r="EN29" s="37"/>
      <c r="EO29" s="262">
        <v>110</v>
      </c>
      <c r="EP29" s="474">
        <v>0.17094000000000001</v>
      </c>
      <c r="EQ29" s="467">
        <v>501.9</v>
      </c>
      <c r="ER29" s="473">
        <v>2.0825</v>
      </c>
      <c r="ES29" s="473">
        <v>0.98529999999999995</v>
      </c>
      <c r="ET29" s="403">
        <v>1.0980000000000001</v>
      </c>
      <c r="EU29" s="465">
        <v>182.4</v>
      </c>
      <c r="EV29" s="731"/>
      <c r="EW29" s="474">
        <v>0.16181000000000001</v>
      </c>
      <c r="EX29" s="478">
        <v>501.8</v>
      </c>
      <c r="EY29" s="473">
        <v>2.0779000000000001</v>
      </c>
      <c r="EZ29" s="473">
        <v>0.9859</v>
      </c>
      <c r="FA29" s="473">
        <v>1.0984</v>
      </c>
      <c r="FB29" s="465">
        <v>182.3</v>
      </c>
      <c r="FC29" s="248">
        <v>110</v>
      </c>
      <c r="FD29" s="37"/>
      <c r="FE29" s="268">
        <v>110</v>
      </c>
      <c r="FF29" s="340">
        <v>0.15359</v>
      </c>
      <c r="FG29" s="396">
        <v>501.7</v>
      </c>
      <c r="FH29" s="334">
        <v>2.0735000000000001</v>
      </c>
      <c r="FI29" s="334">
        <v>0.98650000000000004</v>
      </c>
      <c r="FJ29" s="492">
        <v>1.0988</v>
      </c>
      <c r="FK29" s="489">
        <v>182.2</v>
      </c>
      <c r="FL29" s="731"/>
      <c r="FM29" s="490">
        <v>0.14818999999999999</v>
      </c>
      <c r="FN29" s="397">
        <v>506.6</v>
      </c>
      <c r="FO29" s="334">
        <v>2.0821999999999998</v>
      </c>
      <c r="FP29" s="334">
        <v>0.99419999999999997</v>
      </c>
      <c r="FQ29" s="334">
        <v>1.0980000000000001</v>
      </c>
      <c r="FR29" s="488">
        <v>183.3</v>
      </c>
      <c r="FS29" s="240">
        <v>110</v>
      </c>
      <c r="FT29" s="37"/>
      <c r="FU29" s="243">
        <v>115</v>
      </c>
      <c r="FV29" s="409">
        <v>0.14132</v>
      </c>
      <c r="FW29" s="396">
        <v>506.5</v>
      </c>
      <c r="FX29" s="415">
        <v>2.0781999999999998</v>
      </c>
      <c r="FY29" s="415">
        <v>0.99480000000000002</v>
      </c>
      <c r="FZ29" s="492">
        <v>1.0983000000000001</v>
      </c>
      <c r="GA29" s="489">
        <v>183.2</v>
      </c>
      <c r="GB29" s="731"/>
      <c r="GC29" s="409">
        <v>0.13508000000000001</v>
      </c>
      <c r="GD29" s="397">
        <v>506.4</v>
      </c>
      <c r="GE29" s="415">
        <v>2.0745</v>
      </c>
      <c r="GF29" s="415">
        <v>0.99539999999999995</v>
      </c>
      <c r="GG29" s="415">
        <v>1.0987</v>
      </c>
      <c r="GH29" s="489">
        <v>183.1</v>
      </c>
      <c r="GI29" s="240">
        <v>115</v>
      </c>
      <c r="GJ29" s="37"/>
      <c r="GK29" s="243">
        <v>115</v>
      </c>
      <c r="GL29" s="409">
        <v>0.12934999999999999</v>
      </c>
      <c r="GM29" s="404">
        <v>506.3</v>
      </c>
      <c r="GN29" s="415">
        <v>2.0708000000000002</v>
      </c>
      <c r="GO29" s="415">
        <v>0.996</v>
      </c>
      <c r="GP29" s="333">
        <v>1.0991</v>
      </c>
      <c r="GQ29" s="396">
        <v>183</v>
      </c>
      <c r="GR29" s="731"/>
      <c r="GS29" s="409">
        <v>0.12579000000000001</v>
      </c>
      <c r="GT29" s="397">
        <v>511.2</v>
      </c>
      <c r="GU29" s="241">
        <v>2.0800999999999998</v>
      </c>
      <c r="GV29" s="170">
        <v>1.0035000000000001</v>
      </c>
      <c r="GW29" s="241">
        <v>1.0983000000000001</v>
      </c>
      <c r="GX29" s="397">
        <v>184.1</v>
      </c>
      <c r="GY29" s="240">
        <v>120</v>
      </c>
      <c r="GZ29" s="37"/>
      <c r="HA29" s="243">
        <v>120</v>
      </c>
      <c r="HB29" s="340">
        <v>0.12086</v>
      </c>
      <c r="HC29" s="396">
        <v>511.2</v>
      </c>
      <c r="HD29" s="334">
        <v>2.0768</v>
      </c>
      <c r="HE29" s="334">
        <v>1.0041</v>
      </c>
      <c r="HF29" s="334">
        <v>1.0986</v>
      </c>
      <c r="HG29" s="396">
        <v>184</v>
      </c>
      <c r="HH29" s="731"/>
      <c r="HI29" s="340">
        <v>0.11629</v>
      </c>
      <c r="HJ29" s="397">
        <v>511.1</v>
      </c>
      <c r="HK29" s="334">
        <v>2.0735000000000001</v>
      </c>
      <c r="HL29" s="334">
        <v>1.0046999999999999</v>
      </c>
      <c r="HM29" s="334">
        <v>1.099</v>
      </c>
      <c r="HN29" s="396">
        <v>183.9</v>
      </c>
      <c r="HO29" s="240">
        <v>120</v>
      </c>
      <c r="HQ29" s="243">
        <v>120</v>
      </c>
      <c r="HR29" s="340">
        <v>0.11206000000000001</v>
      </c>
      <c r="HS29" s="396">
        <v>511</v>
      </c>
      <c r="HT29" s="334">
        <v>2.0703999999999998</v>
      </c>
      <c r="HU29" s="334">
        <v>1.0052000000000001</v>
      </c>
      <c r="HV29" s="334">
        <v>1.0992999999999999</v>
      </c>
      <c r="HW29" s="488">
        <v>183.8</v>
      </c>
      <c r="HX29" s="731"/>
      <c r="HY29" s="340">
        <v>0.10811999999999999</v>
      </c>
      <c r="HZ29" s="427">
        <v>510.9</v>
      </c>
      <c r="IA29" s="334">
        <v>2.0674000000000001</v>
      </c>
      <c r="IB29" s="334">
        <v>1.0058</v>
      </c>
      <c r="IC29" s="334">
        <v>1.0996999999999999</v>
      </c>
      <c r="ID29" s="397">
        <v>183.7</v>
      </c>
      <c r="IE29" s="240">
        <v>120</v>
      </c>
      <c r="IG29" s="268">
        <v>125</v>
      </c>
      <c r="IH29" s="409">
        <v>0.10585</v>
      </c>
      <c r="II29" s="396">
        <v>515.9</v>
      </c>
      <c r="IJ29" s="415">
        <v>2.0771999999999999</v>
      </c>
      <c r="IK29" s="415">
        <v>1.0130999999999999</v>
      </c>
      <c r="IL29" s="492">
        <v>1.0988</v>
      </c>
      <c r="IM29" s="489">
        <v>184.8</v>
      </c>
      <c r="IN29" s="731"/>
      <c r="IO29" s="497">
        <v>0.10236000000000001</v>
      </c>
      <c r="IP29" s="397">
        <v>515.79999999999995</v>
      </c>
      <c r="IQ29" s="415">
        <v>2.0743999999999998</v>
      </c>
      <c r="IR29" s="500">
        <v>1.0137</v>
      </c>
      <c r="IS29" s="415">
        <v>1.0991</v>
      </c>
      <c r="IT29" s="489">
        <v>184.7</v>
      </c>
      <c r="IU29" s="240">
        <v>125</v>
      </c>
      <c r="IW29" s="264">
        <v>125</v>
      </c>
      <c r="IX29" s="512">
        <v>9.9099999999999994E-2</v>
      </c>
      <c r="IY29" s="514">
        <v>515.70000000000005</v>
      </c>
      <c r="IZ29" s="522">
        <v>2.0716000000000001</v>
      </c>
      <c r="JA29" s="523">
        <v>1.0142</v>
      </c>
      <c r="JB29" s="387">
        <v>1.0994999999999999</v>
      </c>
      <c r="JC29" s="526">
        <v>184.6</v>
      </c>
      <c r="JD29" s="731"/>
      <c r="JE29" s="512">
        <v>9.6030000000000004E-2</v>
      </c>
      <c r="JF29" s="528">
        <v>515.6</v>
      </c>
      <c r="JG29" s="522">
        <v>2.069</v>
      </c>
      <c r="JH29" s="508">
        <v>1.0147999999999999</v>
      </c>
      <c r="JI29" s="522">
        <v>1.0998000000000001</v>
      </c>
      <c r="JJ29" s="530">
        <v>184.5</v>
      </c>
      <c r="JK29" s="257">
        <v>125</v>
      </c>
      <c r="JM29" s="264">
        <v>125</v>
      </c>
      <c r="JN29" s="509">
        <v>9.3140000000000001E-2</v>
      </c>
      <c r="JO29" s="514">
        <v>515.5</v>
      </c>
      <c r="JP29" s="536">
        <v>2.0663999999999998</v>
      </c>
      <c r="JQ29" s="508">
        <v>1.0153000000000001</v>
      </c>
      <c r="JR29" s="387">
        <v>1.1002000000000001</v>
      </c>
      <c r="JS29" s="526">
        <v>184.4</v>
      </c>
      <c r="JT29" s="731"/>
      <c r="JU29" s="509">
        <v>9.1649999999999995E-2</v>
      </c>
      <c r="JV29" s="528">
        <v>520.5</v>
      </c>
      <c r="JW29" s="536">
        <v>2.0766</v>
      </c>
      <c r="JX29" s="391">
        <v>1.0225</v>
      </c>
      <c r="JY29" s="536">
        <v>1.0992999999999999</v>
      </c>
      <c r="JZ29" s="526">
        <v>185.5</v>
      </c>
      <c r="KA29" s="194">
        <v>130</v>
      </c>
      <c r="KC29" s="267">
        <v>130</v>
      </c>
      <c r="KD29" s="340">
        <v>8.9039999999999994E-2</v>
      </c>
      <c r="KE29" s="396">
        <v>520.4</v>
      </c>
      <c r="KF29" s="170">
        <v>2.0741000000000001</v>
      </c>
      <c r="KG29" s="170">
        <v>1.0229999999999999</v>
      </c>
      <c r="KH29" s="196">
        <v>1.0995999999999999</v>
      </c>
      <c r="KI29" s="396">
        <v>185.4</v>
      </c>
      <c r="KJ29" s="731"/>
      <c r="KK29" s="340">
        <v>8.6569999999999994E-2</v>
      </c>
      <c r="KL29" s="397">
        <v>520.4</v>
      </c>
      <c r="KM29" s="334">
        <v>2.0718000000000001</v>
      </c>
      <c r="KN29" s="541">
        <v>1.0235000000000001</v>
      </c>
      <c r="KO29" s="541">
        <v>1.0999000000000001</v>
      </c>
      <c r="KP29" s="540">
        <v>185.3</v>
      </c>
      <c r="KQ29" s="177">
        <v>130</v>
      </c>
      <c r="KS29" s="288">
        <v>130</v>
      </c>
      <c r="KT29" s="409">
        <v>8.4229999999999999E-2</v>
      </c>
      <c r="KU29" s="404">
        <v>520.29999999999995</v>
      </c>
      <c r="KV29" s="415">
        <v>2.0693999999999999</v>
      </c>
      <c r="KW29" s="415">
        <v>1.0241</v>
      </c>
      <c r="KX29" s="541">
        <v>1.1003000000000001</v>
      </c>
      <c r="KY29" s="404">
        <v>185.2</v>
      </c>
      <c r="KZ29" s="731"/>
      <c r="LA29" s="340">
        <v>8.2019999999999996E-2</v>
      </c>
      <c r="LB29" s="397">
        <v>520.20000000000005</v>
      </c>
      <c r="LC29" s="415">
        <v>2.0672000000000001</v>
      </c>
      <c r="LD29" s="415">
        <v>1.0246</v>
      </c>
      <c r="LE29" s="546">
        <v>1.1006</v>
      </c>
      <c r="LF29" s="540">
        <v>185.1</v>
      </c>
      <c r="LG29" s="240">
        <v>130</v>
      </c>
      <c r="LI29" s="264">
        <v>130</v>
      </c>
      <c r="LJ29" s="512">
        <v>7.9909999999999995E-2</v>
      </c>
      <c r="LK29" s="514">
        <v>520.1</v>
      </c>
      <c r="LL29" s="522">
        <v>2.0649000000000002</v>
      </c>
      <c r="LM29" s="523">
        <v>1.0250999999999999</v>
      </c>
      <c r="LN29" s="333">
        <v>1.1009</v>
      </c>
      <c r="LO29" s="526">
        <v>185</v>
      </c>
      <c r="LP29" s="731"/>
      <c r="LQ29" s="512">
        <v>7.6109999999999997E-2</v>
      </c>
      <c r="LR29" s="528">
        <v>525</v>
      </c>
      <c r="LS29" s="523">
        <v>2.0722999999999998</v>
      </c>
      <c r="LT29" s="508">
        <v>1.0327999999999999</v>
      </c>
      <c r="LU29" s="536">
        <v>1.1004</v>
      </c>
      <c r="LV29" s="526">
        <v>186</v>
      </c>
      <c r="LW29" s="257">
        <v>135</v>
      </c>
      <c r="LY29" s="199">
        <v>135</v>
      </c>
      <c r="LZ29" s="509">
        <v>7.1760000000000004E-2</v>
      </c>
      <c r="MA29" s="514">
        <v>524.79999999999995</v>
      </c>
      <c r="MB29" s="536">
        <v>2.0672999999999999</v>
      </c>
      <c r="MC29" s="508">
        <v>1.0341</v>
      </c>
      <c r="MD29" s="332">
        <v>1.1012999999999999</v>
      </c>
      <c r="ME29" s="526">
        <v>185.8</v>
      </c>
      <c r="MF29" s="731"/>
      <c r="MG29" s="509">
        <v>6.787E-2</v>
      </c>
      <c r="MH29" s="528">
        <v>524.6</v>
      </c>
      <c r="MI29" s="192">
        <v>2.0625</v>
      </c>
      <c r="MJ29" s="253">
        <v>1.0354000000000001</v>
      </c>
      <c r="MK29" s="192">
        <v>1.1021000000000001</v>
      </c>
      <c r="ML29" s="526">
        <v>185.5</v>
      </c>
      <c r="MM29" s="194">
        <v>135</v>
      </c>
      <c r="MO29" s="290">
        <v>140</v>
      </c>
      <c r="MP29" s="340">
        <v>6.5259999999999999E-2</v>
      </c>
      <c r="MQ29" s="396">
        <v>529.6</v>
      </c>
      <c r="MR29" s="334">
        <v>2.0707</v>
      </c>
      <c r="MS29" s="334">
        <v>1.0428999999999999</v>
      </c>
      <c r="MT29" s="335">
        <v>1.1014999999999999</v>
      </c>
      <c r="MU29" s="565">
        <v>186.6</v>
      </c>
      <c r="MV29" s="731"/>
      <c r="MW29" s="340">
        <v>6.2050000000000001E-2</v>
      </c>
      <c r="MX29" s="397">
        <v>529.4</v>
      </c>
      <c r="MY29" s="334">
        <v>2.0663</v>
      </c>
      <c r="MZ29" s="335">
        <v>1.0441</v>
      </c>
      <c r="NA29" s="334">
        <v>1.1023000000000001</v>
      </c>
      <c r="NB29" s="397">
        <v>186.3</v>
      </c>
      <c r="NC29" s="260">
        <v>140</v>
      </c>
      <c r="NE29" s="243">
        <v>140</v>
      </c>
      <c r="NF29" s="409">
        <v>5.9130000000000002E-2</v>
      </c>
      <c r="NG29" s="396">
        <v>529.20000000000005</v>
      </c>
      <c r="NH29" s="415">
        <v>2.0621999999999998</v>
      </c>
      <c r="NI29" s="415">
        <v>1.0452999999999999</v>
      </c>
      <c r="NJ29" s="335">
        <v>1.1031</v>
      </c>
      <c r="NK29" s="565">
        <v>186.1</v>
      </c>
      <c r="NL29" s="731"/>
      <c r="NM29" s="409">
        <v>5.7239999999999999E-2</v>
      </c>
      <c r="NN29" s="397">
        <v>534.29999999999995</v>
      </c>
      <c r="NO29" s="415">
        <v>2.0708000000000002</v>
      </c>
      <c r="NP29" s="334">
        <v>1.0526</v>
      </c>
      <c r="NQ29" s="415">
        <v>1.1024</v>
      </c>
      <c r="NR29" s="396">
        <v>187.2</v>
      </c>
      <c r="NS29" s="240">
        <v>145</v>
      </c>
      <c r="NU29" s="254">
        <v>145</v>
      </c>
      <c r="NV29" s="463">
        <v>5.4769999999999999E-2</v>
      </c>
      <c r="NW29" s="528">
        <v>534.1</v>
      </c>
      <c r="NX29" s="522">
        <v>2.0670000000000002</v>
      </c>
      <c r="NY29" s="470">
        <v>1.0538000000000001</v>
      </c>
      <c r="NZ29" s="459">
        <v>1.1032</v>
      </c>
      <c r="OA29" s="528">
        <v>186.9</v>
      </c>
      <c r="OB29" s="731"/>
      <c r="OC29" s="463">
        <v>5.2499999999999998E-2</v>
      </c>
      <c r="OD29" s="528">
        <v>533.9</v>
      </c>
      <c r="OE29" s="574">
        <v>2.0632999999999999</v>
      </c>
      <c r="OF29" s="459">
        <v>1.0549999999999999</v>
      </c>
      <c r="OG29" s="575">
        <v>1.1040000000000001</v>
      </c>
      <c r="OH29" s="528">
        <v>186.7</v>
      </c>
      <c r="OI29" s="263">
        <v>145</v>
      </c>
      <c r="OK29" s="193">
        <v>145</v>
      </c>
      <c r="OL29" s="460">
        <v>5.04E-2</v>
      </c>
      <c r="OM29" s="532">
        <v>533.70000000000005</v>
      </c>
      <c r="ON29" s="536">
        <v>2.0598000000000001</v>
      </c>
      <c r="OO29" s="459">
        <v>1.0562</v>
      </c>
      <c r="OP29" s="459">
        <v>1.1047</v>
      </c>
      <c r="OQ29" s="528">
        <v>186.5</v>
      </c>
      <c r="OR29" s="731"/>
      <c r="OS29" s="537">
        <v>4.913E-2</v>
      </c>
      <c r="OT29" s="528">
        <v>538.79999999999995</v>
      </c>
      <c r="OU29" s="536">
        <v>2.069</v>
      </c>
      <c r="OV29" s="536">
        <v>1.0631999999999999</v>
      </c>
      <c r="OW29" s="536">
        <v>1.1039000000000001</v>
      </c>
      <c r="OX29" s="476">
        <v>187.6</v>
      </c>
      <c r="OY29" s="289">
        <v>150</v>
      </c>
      <c r="PA29" s="259">
        <v>150</v>
      </c>
      <c r="PB29" s="340">
        <v>4.7300000000000002E-2</v>
      </c>
      <c r="PC29" s="396">
        <v>538.6</v>
      </c>
      <c r="PD29" s="334">
        <v>2.0657000000000001</v>
      </c>
      <c r="PE29" s="541">
        <v>1.0643</v>
      </c>
      <c r="PF29" s="492">
        <v>1.1047</v>
      </c>
      <c r="PG29" s="540">
        <v>187.3</v>
      </c>
      <c r="PH29" s="731"/>
      <c r="PI29" s="340">
        <v>4.5600000000000002E-2</v>
      </c>
      <c r="PJ29" s="397">
        <v>538.4</v>
      </c>
      <c r="PK29" s="334">
        <v>2.0625</v>
      </c>
      <c r="PL29" s="541">
        <v>1.0654999999999999</v>
      </c>
      <c r="PM29" s="334">
        <v>1.1054999999999999</v>
      </c>
      <c r="PN29" s="542">
        <v>187.1</v>
      </c>
      <c r="PO29" s="260">
        <v>150</v>
      </c>
      <c r="PQ29" s="261">
        <v>150</v>
      </c>
      <c r="PR29" s="409">
        <v>4.4010000000000001E-2</v>
      </c>
      <c r="PS29" s="396">
        <v>538.29999999999995</v>
      </c>
      <c r="PT29" s="415">
        <v>2.0594000000000001</v>
      </c>
      <c r="PU29" s="415">
        <v>1.0667</v>
      </c>
      <c r="PV29" s="492">
        <v>1.1062000000000001</v>
      </c>
      <c r="PW29" s="540">
        <v>186.9</v>
      </c>
      <c r="PX29" s="731"/>
      <c r="PY29" s="409">
        <v>4.1709999999999997E-2</v>
      </c>
      <c r="PZ29" s="397">
        <v>543.20000000000005</v>
      </c>
      <c r="QA29" s="415">
        <v>2.0661</v>
      </c>
      <c r="QB29" s="500">
        <v>1.0745</v>
      </c>
      <c r="QC29" s="415">
        <v>1.1061000000000001</v>
      </c>
      <c r="QD29" s="540">
        <v>187.8</v>
      </c>
      <c r="QE29" s="240">
        <v>155</v>
      </c>
      <c r="QG29" s="264">
        <v>155</v>
      </c>
      <c r="QH29" s="512">
        <v>3.9140000000000001E-2</v>
      </c>
      <c r="QI29" s="514">
        <v>542.9</v>
      </c>
      <c r="QJ29" s="522">
        <v>2.0605000000000002</v>
      </c>
      <c r="QK29" s="523">
        <v>1.0768</v>
      </c>
      <c r="QL29" s="590">
        <v>1.1075999999999999</v>
      </c>
      <c r="QM29" s="526">
        <v>187.4</v>
      </c>
      <c r="QN29" s="731"/>
      <c r="QO29" s="512">
        <v>3.737E-2</v>
      </c>
      <c r="QP29" s="532">
        <v>547.9</v>
      </c>
      <c r="QQ29" s="255">
        <v>2.0678000000000001</v>
      </c>
      <c r="QR29" s="191">
        <v>1.0844</v>
      </c>
      <c r="QS29" s="255">
        <v>1.1073</v>
      </c>
      <c r="QT29" s="527">
        <v>188.3</v>
      </c>
      <c r="QU29" s="257">
        <v>160</v>
      </c>
      <c r="QW29" s="199">
        <v>160</v>
      </c>
      <c r="QX29" s="509">
        <v>3.5310000000000001E-2</v>
      </c>
      <c r="QY29" s="517">
        <v>547.5</v>
      </c>
      <c r="QZ29" s="536">
        <v>2.0628000000000002</v>
      </c>
      <c r="RA29" s="508">
        <v>1.0866</v>
      </c>
      <c r="RB29" s="590">
        <v>1.1088</v>
      </c>
      <c r="RC29" s="596">
        <v>187.9</v>
      </c>
      <c r="RD29" s="731"/>
      <c r="RE29" s="537">
        <v>3.3450000000000001E-2</v>
      </c>
      <c r="RF29" s="528">
        <v>547.20000000000005</v>
      </c>
      <c r="RG29" s="536">
        <v>2.0579000000000001</v>
      </c>
      <c r="RH29" s="590">
        <v>1.0888</v>
      </c>
      <c r="RI29" s="536">
        <v>1.1103000000000001</v>
      </c>
      <c r="RJ29" s="526">
        <v>187.5</v>
      </c>
      <c r="RK29" s="194">
        <v>160</v>
      </c>
      <c r="RM29" s="270">
        <v>165</v>
      </c>
      <c r="RN29" s="340">
        <v>3.0669999999999999E-2</v>
      </c>
      <c r="RO29" s="396">
        <v>551.9</v>
      </c>
      <c r="RP29" s="334">
        <v>2.0615000000000001</v>
      </c>
      <c r="RQ29" s="334">
        <v>1.0982000000000001</v>
      </c>
      <c r="RR29" s="492">
        <v>1.1113</v>
      </c>
      <c r="RS29" s="489">
        <v>188</v>
      </c>
      <c r="RT29" s="731"/>
      <c r="RU29" s="340">
        <v>2.836E-2</v>
      </c>
      <c r="RV29" s="427">
        <v>556.79999999999995</v>
      </c>
      <c r="RW29" s="334">
        <v>2.0657000000000001</v>
      </c>
      <c r="RX29" s="334">
        <v>1.1073999999999999</v>
      </c>
      <c r="RY29" s="334">
        <v>1.1122000000000001</v>
      </c>
      <c r="RZ29" s="397">
        <v>188.7</v>
      </c>
      <c r="SA29" s="260">
        <v>170</v>
      </c>
      <c r="SC29" s="243">
        <v>170</v>
      </c>
      <c r="SD29" s="409">
        <v>2.6040000000000001E-2</v>
      </c>
      <c r="SE29" s="396">
        <v>556.1</v>
      </c>
      <c r="SF29" s="415">
        <v>2.0581</v>
      </c>
      <c r="SG29" s="415">
        <v>1.1115999999999999</v>
      </c>
      <c r="SH29" s="415">
        <v>1.115</v>
      </c>
      <c r="SI29" s="396">
        <v>187.9</v>
      </c>
      <c r="SJ29" s="731"/>
      <c r="SK29" s="409">
        <v>2.4400000000000002E-2</v>
      </c>
      <c r="SL29" s="176">
        <v>561</v>
      </c>
      <c r="SM29" s="415">
        <v>2.0634000000000001</v>
      </c>
      <c r="SN29" s="500">
        <v>1.1203000000000001</v>
      </c>
      <c r="SO29" s="415">
        <v>1.1156999999999999</v>
      </c>
      <c r="SP29" s="190">
        <v>188.6</v>
      </c>
      <c r="SQ29" s="240">
        <v>175</v>
      </c>
      <c r="SS29" s="268">
        <v>180</v>
      </c>
      <c r="ST29" s="409">
        <v>2.298E-2</v>
      </c>
      <c r="SU29" s="170">
        <v>565.9</v>
      </c>
      <c r="SV29" s="415">
        <v>2.0691000000000002</v>
      </c>
      <c r="SW29" s="499">
        <v>1.1288</v>
      </c>
      <c r="SX29" s="499">
        <v>1.1162000000000001</v>
      </c>
      <c r="SY29" s="190">
        <v>189.3</v>
      </c>
      <c r="SZ29" s="731"/>
      <c r="TA29" s="409">
        <v>2.1440000000000001E-2</v>
      </c>
      <c r="TB29" s="397">
        <v>565.20000000000005</v>
      </c>
      <c r="TC29" s="415">
        <v>2.0627</v>
      </c>
      <c r="TD29" s="491">
        <v>1.1328</v>
      </c>
      <c r="TE29" s="334">
        <v>1.119</v>
      </c>
      <c r="TF29" s="488">
        <v>188.6</v>
      </c>
      <c r="TG29" s="240">
        <v>180</v>
      </c>
      <c r="TI29" s="270">
        <v>185</v>
      </c>
      <c r="TJ29" s="340">
        <v>2.0369999999999999E-2</v>
      </c>
      <c r="TK29" s="396">
        <v>570.29999999999995</v>
      </c>
      <c r="TL29" s="334">
        <v>2.0691999999999999</v>
      </c>
      <c r="TM29" s="491">
        <v>1.1408</v>
      </c>
      <c r="TN29" s="491">
        <v>1.1193</v>
      </c>
      <c r="TO29" s="489">
        <v>189.4</v>
      </c>
      <c r="TP29" s="731"/>
      <c r="TQ29" s="340">
        <v>1.915E-2</v>
      </c>
      <c r="TR29" s="397">
        <v>569.6</v>
      </c>
      <c r="TS29" s="334">
        <v>2.0634999999999999</v>
      </c>
      <c r="TT29" s="491">
        <v>1.1447000000000001</v>
      </c>
      <c r="TU29" s="334">
        <v>1.1220000000000001</v>
      </c>
      <c r="TV29" s="489">
        <v>188.7</v>
      </c>
      <c r="TW29" s="260">
        <v>185</v>
      </c>
      <c r="TY29" s="270">
        <v>190</v>
      </c>
      <c r="TZ29" s="474">
        <v>1.8319999999999999E-2</v>
      </c>
      <c r="UA29" s="467">
        <v>574.70000000000005</v>
      </c>
      <c r="UB29" s="473">
        <v>2.0705</v>
      </c>
      <c r="UC29" s="491">
        <v>1.1524000000000001</v>
      </c>
      <c r="UD29" s="610">
        <v>1.1221000000000001</v>
      </c>
      <c r="UE29" s="489">
        <v>189.6</v>
      </c>
      <c r="UF29" s="749"/>
      <c r="UG29" s="474">
        <v>1.7330000000000002E-2</v>
      </c>
      <c r="UH29" s="478">
        <v>574.1</v>
      </c>
      <c r="UI29" s="473">
        <v>2.0653000000000001</v>
      </c>
      <c r="UJ29" s="610">
        <v>1.1563000000000001</v>
      </c>
      <c r="UK29" s="473">
        <v>1.1248</v>
      </c>
      <c r="UL29" s="488">
        <v>189</v>
      </c>
      <c r="UM29" s="310">
        <v>190</v>
      </c>
      <c r="UO29" s="247">
        <v>195</v>
      </c>
      <c r="UP29" s="464">
        <v>1.585E-2</v>
      </c>
      <c r="UQ29" s="467">
        <v>578.6</v>
      </c>
      <c r="UR29" s="471">
        <v>2.0678999999999998</v>
      </c>
      <c r="US29" s="471">
        <v>1.1674</v>
      </c>
      <c r="UT29" s="611">
        <v>1.1273</v>
      </c>
      <c r="UU29" s="488">
        <v>189.3</v>
      </c>
      <c r="UV29" s="749"/>
      <c r="UW29" s="464">
        <v>1.4619999999999999E-2</v>
      </c>
      <c r="UX29" s="478">
        <v>583.29999999999995</v>
      </c>
      <c r="UY29" s="471">
        <v>2.0712999999999999</v>
      </c>
      <c r="UZ29" s="622">
        <v>1.1779999999999999</v>
      </c>
      <c r="VA29" s="471">
        <v>1.1295999999999999</v>
      </c>
      <c r="VB29" s="489">
        <v>189.6</v>
      </c>
      <c r="VC29" s="248">
        <v>200</v>
      </c>
      <c r="VE29" s="254">
        <v>200</v>
      </c>
      <c r="VF29" s="512">
        <v>1.338E-2</v>
      </c>
      <c r="VG29" s="514">
        <v>582</v>
      </c>
      <c r="VH29" s="522">
        <v>2.0628000000000002</v>
      </c>
      <c r="VI29" s="523">
        <v>1.1855</v>
      </c>
      <c r="VJ29" s="391">
        <v>1.1348</v>
      </c>
      <c r="VK29" s="527">
        <v>188.4</v>
      </c>
      <c r="VL29" s="749"/>
      <c r="VM29" s="512">
        <v>1.251E-2</v>
      </c>
      <c r="VN29" s="532">
        <v>586.79999999999995</v>
      </c>
      <c r="VO29" s="522">
        <v>2.0672999999999999</v>
      </c>
      <c r="VP29" s="391">
        <v>1.1955</v>
      </c>
      <c r="VQ29" s="522">
        <v>1.1367</v>
      </c>
      <c r="VR29" s="526">
        <v>189</v>
      </c>
      <c r="VS29" s="257">
        <v>205</v>
      </c>
      <c r="VU29" s="193">
        <v>210</v>
      </c>
      <c r="VV29" s="509">
        <v>1.176E-2</v>
      </c>
      <c r="VW29" s="514">
        <v>591.6</v>
      </c>
      <c r="VX29" s="536">
        <v>2.0722999999999998</v>
      </c>
      <c r="VY29" s="508">
        <v>1.2051000000000001</v>
      </c>
      <c r="VZ29" s="628">
        <v>1.1384000000000001</v>
      </c>
      <c r="WA29" s="377">
        <v>189.6</v>
      </c>
      <c r="WB29" s="749"/>
      <c r="WC29" s="537">
        <v>1.094E-2</v>
      </c>
      <c r="WD29" s="528">
        <v>590.4</v>
      </c>
      <c r="WE29" s="536">
        <v>2.0651999999999999</v>
      </c>
      <c r="WF29" s="391">
        <v>1.2122999999999999</v>
      </c>
      <c r="WG29" s="536">
        <v>1.1434</v>
      </c>
      <c r="WH29" s="526">
        <v>188.5</v>
      </c>
      <c r="WI29" s="194">
        <v>210</v>
      </c>
      <c r="WK29" s="193">
        <v>215</v>
      </c>
      <c r="WL29" s="509">
        <v>1.038E-2</v>
      </c>
      <c r="WM29" s="514">
        <v>595.29999999999995</v>
      </c>
      <c r="WN29" s="536">
        <v>2.0709</v>
      </c>
      <c r="WO29" s="508">
        <v>1.2212000000000001</v>
      </c>
      <c r="WP29" s="492">
        <v>1.1447000000000001</v>
      </c>
      <c r="WQ29" s="526">
        <v>189.3</v>
      </c>
      <c r="WR29" s="749"/>
      <c r="WS29" s="537">
        <v>9.8899999999999995E-3</v>
      </c>
      <c r="WT29" s="528">
        <v>600.29999999999995</v>
      </c>
      <c r="WU29" s="536">
        <v>2.077</v>
      </c>
      <c r="WV29" s="536">
        <v>1.2298</v>
      </c>
      <c r="WW29" s="536">
        <v>1.1456999999999999</v>
      </c>
      <c r="WX29" s="530">
        <v>190.1</v>
      </c>
      <c r="WY29" s="194">
        <v>220</v>
      </c>
      <c r="WZ29" s="400"/>
      <c r="XA29" s="254">
        <v>220</v>
      </c>
      <c r="XB29" s="512">
        <v>9.2999999999999992E-3</v>
      </c>
      <c r="XC29" s="514">
        <v>599.20000000000005</v>
      </c>
      <c r="XD29" s="522">
        <v>2.0708000000000002</v>
      </c>
      <c r="XE29" s="522">
        <v>1.2365999999999999</v>
      </c>
      <c r="XF29" s="536">
        <v>1.1505000000000001</v>
      </c>
      <c r="XG29" s="526">
        <v>189.1</v>
      </c>
      <c r="XH29" s="749"/>
      <c r="XI29" s="512">
        <v>8.9200000000000008E-3</v>
      </c>
      <c r="XJ29" s="528">
        <v>604.29999999999995</v>
      </c>
      <c r="XK29" s="522">
        <v>2.0773999999999999</v>
      </c>
      <c r="XL29" s="500">
        <v>1.2444999999999999</v>
      </c>
      <c r="XM29" s="522">
        <v>1.1511</v>
      </c>
      <c r="XN29" s="526">
        <v>190.1</v>
      </c>
      <c r="XO29" s="257">
        <v>225</v>
      </c>
      <c r="XP29" s="191"/>
    </row>
    <row r="30" spans="1:640" ht="15.75" thickBot="1" x14ac:dyDescent="0.3">
      <c r="A30" s="282">
        <v>60</v>
      </c>
      <c r="B30" s="365">
        <v>2.7100300000000002</v>
      </c>
      <c r="C30" s="368">
        <v>456.7</v>
      </c>
      <c r="D30" s="360">
        <v>2.1903000000000001</v>
      </c>
      <c r="E30" s="360">
        <v>0.89429999999999998</v>
      </c>
      <c r="F30" s="360">
        <v>1.101</v>
      </c>
      <c r="G30" s="172">
        <v>172.7</v>
      </c>
      <c r="H30" s="266"/>
      <c r="I30" s="365">
        <v>1.3947000000000001</v>
      </c>
      <c r="J30" s="374">
        <v>465.6</v>
      </c>
      <c r="K30" s="360">
        <v>2.1602999999999999</v>
      </c>
      <c r="L30" s="358">
        <v>0.91190000000000004</v>
      </c>
      <c r="M30" s="360">
        <v>1.0994999999999999</v>
      </c>
      <c r="N30" s="368">
        <v>174.9</v>
      </c>
      <c r="O30" s="382">
        <v>70</v>
      </c>
      <c r="P30" s="238"/>
      <c r="Q30" s="282">
        <v>80</v>
      </c>
      <c r="R30" s="363">
        <v>0.95601999999999998</v>
      </c>
      <c r="S30" s="368">
        <v>474.7</v>
      </c>
      <c r="T30" s="358">
        <v>2.1534</v>
      </c>
      <c r="U30" s="358">
        <v>0.92900000000000005</v>
      </c>
      <c r="V30" s="358">
        <v>1.0979000000000001</v>
      </c>
      <c r="W30" s="368">
        <v>177.2</v>
      </c>
      <c r="X30" s="266"/>
      <c r="Y30" s="363">
        <v>0.72674000000000005</v>
      </c>
      <c r="Z30" s="374">
        <v>479.3</v>
      </c>
      <c r="AA30" s="358">
        <v>2.1429</v>
      </c>
      <c r="AB30" s="358">
        <v>0.93779999999999997</v>
      </c>
      <c r="AC30" s="358">
        <v>1.0973999999999999</v>
      </c>
      <c r="AD30" s="368">
        <v>178.2</v>
      </c>
      <c r="AE30" s="283">
        <v>85</v>
      </c>
      <c r="AF30" s="37"/>
      <c r="AG30" s="243">
        <v>85</v>
      </c>
      <c r="AH30" s="393">
        <v>0.58072000000000001</v>
      </c>
      <c r="AI30" s="396">
        <v>479.2</v>
      </c>
      <c r="AJ30" s="334">
        <v>2.1244999999999998</v>
      </c>
      <c r="AK30" s="334">
        <v>0.93859999999999999</v>
      </c>
      <c r="AL30" s="401">
        <v>1.0979000000000001</v>
      </c>
      <c r="AM30" s="406">
        <v>178.1</v>
      </c>
      <c r="AN30" s="731"/>
      <c r="AO30" s="340">
        <v>0.49020000000000002</v>
      </c>
      <c r="AP30" s="397">
        <v>483.8</v>
      </c>
      <c r="AQ30" s="334">
        <v>2.1225000000000001</v>
      </c>
      <c r="AR30" s="334">
        <v>0.94720000000000004</v>
      </c>
      <c r="AS30" s="401">
        <v>1.0972999999999999</v>
      </c>
      <c r="AT30" s="397">
        <v>179.1</v>
      </c>
      <c r="AU30" s="240">
        <v>90</v>
      </c>
      <c r="AV30" s="37"/>
      <c r="AW30" s="243">
        <v>95</v>
      </c>
      <c r="AX30" s="409">
        <v>0.42588999999999999</v>
      </c>
      <c r="AY30" s="396">
        <v>488.4</v>
      </c>
      <c r="AZ30" s="415">
        <v>2.1227</v>
      </c>
      <c r="BA30" s="415">
        <v>0.95569999999999999</v>
      </c>
      <c r="BB30" s="415">
        <v>1.0967</v>
      </c>
      <c r="BC30" s="396">
        <v>180.2</v>
      </c>
      <c r="BD30" s="731"/>
      <c r="BE30" s="409">
        <v>0.37215999999999999</v>
      </c>
      <c r="BF30" s="397">
        <v>488.3</v>
      </c>
      <c r="BG30" s="415">
        <v>2.1116000000000001</v>
      </c>
      <c r="BH30" s="334">
        <v>0.95640000000000003</v>
      </c>
      <c r="BI30" s="415">
        <v>1.0972</v>
      </c>
      <c r="BJ30" s="394">
        <v>180.1</v>
      </c>
      <c r="BK30" s="240">
        <v>95</v>
      </c>
      <c r="BL30" s="37"/>
      <c r="BM30" s="243">
        <v>100</v>
      </c>
      <c r="BN30" s="409">
        <v>0.33522999999999997</v>
      </c>
      <c r="BO30" s="396">
        <v>493</v>
      </c>
      <c r="BP30" s="415">
        <v>2.1147999999999998</v>
      </c>
      <c r="BQ30" s="415">
        <v>0.9647</v>
      </c>
      <c r="BR30" s="426">
        <v>1.0966</v>
      </c>
      <c r="BS30" s="396">
        <v>181.1</v>
      </c>
      <c r="BT30" s="731"/>
      <c r="BU30" s="409">
        <v>0.30138999999999999</v>
      </c>
      <c r="BV30" s="397">
        <v>492.9</v>
      </c>
      <c r="BW30" s="415">
        <v>2.1059999999999999</v>
      </c>
      <c r="BX30" s="334">
        <v>0.96540000000000004</v>
      </c>
      <c r="BY30" s="415">
        <v>1.097</v>
      </c>
      <c r="BZ30" s="397">
        <v>181</v>
      </c>
      <c r="CA30" s="240">
        <v>100</v>
      </c>
      <c r="CB30" s="37"/>
      <c r="CC30" s="297">
        <v>100</v>
      </c>
      <c r="CD30" s="340">
        <v>0.29735</v>
      </c>
      <c r="CE30" s="396">
        <v>492.9</v>
      </c>
      <c r="CF30" s="334">
        <v>2.1049000000000002</v>
      </c>
      <c r="CG30" s="334">
        <v>0.96550000000000002</v>
      </c>
      <c r="CH30" s="339">
        <v>1.097</v>
      </c>
      <c r="CI30" s="425">
        <v>181</v>
      </c>
      <c r="CJ30" s="731"/>
      <c r="CK30" s="340">
        <v>0.27755000000000002</v>
      </c>
      <c r="CL30" s="397">
        <v>497.7</v>
      </c>
      <c r="CM30" s="334">
        <v>2.1110000000000002</v>
      </c>
      <c r="CN30" s="334">
        <v>0.97350000000000003</v>
      </c>
      <c r="CO30" s="334">
        <v>1.0963000000000001</v>
      </c>
      <c r="CP30" s="396">
        <v>182.1</v>
      </c>
      <c r="CQ30" s="240">
        <v>105</v>
      </c>
      <c r="CR30" s="37"/>
      <c r="CS30" s="278">
        <v>105</v>
      </c>
      <c r="CT30" s="340">
        <v>0.25419000000000003</v>
      </c>
      <c r="CU30" s="398">
        <v>497.6</v>
      </c>
      <c r="CV30" s="334">
        <v>2.1036999999999999</v>
      </c>
      <c r="CW30" s="334">
        <v>0.97419999999999995</v>
      </c>
      <c r="CX30" s="444">
        <v>1.0967</v>
      </c>
      <c r="CY30" s="442">
        <v>182</v>
      </c>
      <c r="CZ30" s="731"/>
      <c r="DA30" s="440">
        <v>0.23447000000000001</v>
      </c>
      <c r="DB30" s="397">
        <v>497.5</v>
      </c>
      <c r="DC30" s="334">
        <v>2.097</v>
      </c>
      <c r="DD30" s="334">
        <v>0.9748</v>
      </c>
      <c r="DE30" s="334">
        <v>1.0971</v>
      </c>
      <c r="DF30" s="449">
        <v>181.8</v>
      </c>
      <c r="DG30" s="240">
        <v>105</v>
      </c>
      <c r="DH30" s="37"/>
      <c r="DI30" s="278">
        <v>110</v>
      </c>
      <c r="DJ30" s="409">
        <v>0.22051000000000001</v>
      </c>
      <c r="DK30" s="396">
        <v>502.3</v>
      </c>
      <c r="DL30" s="415">
        <v>2.1036000000000001</v>
      </c>
      <c r="DM30" s="415">
        <v>0.98280000000000001</v>
      </c>
      <c r="DN30" s="444">
        <v>1.0964</v>
      </c>
      <c r="DO30" s="442">
        <v>182.9</v>
      </c>
      <c r="DP30" s="731"/>
      <c r="DQ30" s="453">
        <v>0.20563000000000001</v>
      </c>
      <c r="DR30" s="397">
        <v>502.2</v>
      </c>
      <c r="DS30" s="415">
        <v>2.0977999999999999</v>
      </c>
      <c r="DT30" s="415">
        <v>0.98340000000000005</v>
      </c>
      <c r="DU30" s="415">
        <v>1.0968</v>
      </c>
      <c r="DV30" s="442">
        <v>182.8</v>
      </c>
      <c r="DW30" s="240">
        <v>110</v>
      </c>
      <c r="DX30" s="37"/>
      <c r="DY30" s="262">
        <v>110</v>
      </c>
      <c r="DZ30" s="464">
        <v>0.19259999999999999</v>
      </c>
      <c r="EA30" s="467">
        <v>502.1</v>
      </c>
      <c r="EB30" s="471">
        <v>2.0924</v>
      </c>
      <c r="EC30" s="470">
        <v>0.98399999999999999</v>
      </c>
      <c r="ED30" s="419">
        <v>1.0972</v>
      </c>
      <c r="EE30" s="465">
        <v>182.7</v>
      </c>
      <c r="EF30" s="731"/>
      <c r="EG30" s="463">
        <v>0.18362000000000001</v>
      </c>
      <c r="EH30" s="478">
        <v>507</v>
      </c>
      <c r="EI30" s="471">
        <v>2.1000999999999999</v>
      </c>
      <c r="EJ30" s="473">
        <v>0.9919</v>
      </c>
      <c r="EK30" s="473">
        <v>1.0965</v>
      </c>
      <c r="EL30" s="476">
        <v>183.8</v>
      </c>
      <c r="EM30" s="248">
        <v>115</v>
      </c>
      <c r="EN30" s="37"/>
      <c r="EO30" s="262">
        <v>115</v>
      </c>
      <c r="EP30" s="474">
        <v>0.17327999999999999</v>
      </c>
      <c r="EQ30" s="467">
        <v>506.9</v>
      </c>
      <c r="ER30" s="473">
        <v>2.0952999999999999</v>
      </c>
      <c r="ES30" s="459">
        <v>0.99239999999999995</v>
      </c>
      <c r="ET30" s="403">
        <v>1.0969</v>
      </c>
      <c r="EU30" s="465">
        <v>183.7</v>
      </c>
      <c r="EV30" s="731"/>
      <c r="EW30" s="460">
        <v>0.16403999999999999</v>
      </c>
      <c r="EX30" s="478">
        <v>506.8</v>
      </c>
      <c r="EY30" s="473">
        <v>2.0907</v>
      </c>
      <c r="EZ30" s="473">
        <v>0.99299999999999999</v>
      </c>
      <c r="FA30" s="473">
        <v>1.0972</v>
      </c>
      <c r="FB30" s="465">
        <v>183.6</v>
      </c>
      <c r="FC30" s="248">
        <v>115</v>
      </c>
      <c r="FD30" s="37"/>
      <c r="FE30" s="268">
        <v>115</v>
      </c>
      <c r="FF30" s="340">
        <v>0.15570999999999999</v>
      </c>
      <c r="FG30" s="396">
        <v>506.7</v>
      </c>
      <c r="FH30" s="334">
        <v>2.0863999999999998</v>
      </c>
      <c r="FI30" s="334">
        <v>0.99360000000000004</v>
      </c>
      <c r="FJ30" s="492">
        <v>1.0975999999999999</v>
      </c>
      <c r="FK30" s="489">
        <v>183.4</v>
      </c>
      <c r="FL30" s="731"/>
      <c r="FM30" s="340">
        <v>0.1502</v>
      </c>
      <c r="FN30" s="494">
        <v>511.6</v>
      </c>
      <c r="FO30" s="334">
        <v>2.0950000000000002</v>
      </c>
      <c r="FP30" s="334">
        <v>1.0013000000000001</v>
      </c>
      <c r="FQ30" s="334">
        <v>1.0968</v>
      </c>
      <c r="FR30" s="397">
        <v>184.5</v>
      </c>
      <c r="FS30" s="240">
        <v>115</v>
      </c>
      <c r="FT30" s="37"/>
      <c r="FU30" s="243">
        <v>120</v>
      </c>
      <c r="FV30" s="409">
        <v>0.14327000000000001</v>
      </c>
      <c r="FW30" s="487">
        <v>511.5</v>
      </c>
      <c r="FX30" s="415">
        <v>2.0910000000000002</v>
      </c>
      <c r="FY30" s="415">
        <v>1.0018</v>
      </c>
      <c r="FZ30" s="334">
        <v>1.0972</v>
      </c>
      <c r="GA30" s="489">
        <v>184.4</v>
      </c>
      <c r="GB30" s="731"/>
      <c r="GC30" s="409">
        <v>0.13693</v>
      </c>
      <c r="GD30" s="494">
        <v>511.4</v>
      </c>
      <c r="GE30" s="415">
        <v>2.0872000000000002</v>
      </c>
      <c r="GF30" s="372">
        <v>1.0024</v>
      </c>
      <c r="GG30" s="415">
        <v>1.0974999999999999</v>
      </c>
      <c r="GH30" s="396">
        <v>184.3</v>
      </c>
      <c r="GI30" s="240">
        <v>120</v>
      </c>
      <c r="GJ30" s="37"/>
      <c r="GK30" s="243">
        <v>120</v>
      </c>
      <c r="GL30" s="409">
        <v>0.13111</v>
      </c>
      <c r="GM30" s="404">
        <v>511.3</v>
      </c>
      <c r="GN30" s="415">
        <v>2.0836000000000001</v>
      </c>
      <c r="GO30" s="415">
        <v>1.0029999999999999</v>
      </c>
      <c r="GP30" s="334">
        <v>1.0979000000000001</v>
      </c>
      <c r="GQ30" s="396">
        <v>184.2</v>
      </c>
      <c r="GR30" s="731"/>
      <c r="GS30" s="409">
        <v>0.1275</v>
      </c>
      <c r="GT30" s="397">
        <v>516.29999999999995</v>
      </c>
      <c r="GU30" s="241">
        <v>2.0928</v>
      </c>
      <c r="GV30" s="253">
        <v>1.0104</v>
      </c>
      <c r="GW30" s="241">
        <v>1.0971</v>
      </c>
      <c r="GX30" s="397">
        <v>185.3</v>
      </c>
      <c r="GY30" s="240">
        <v>125</v>
      </c>
      <c r="GZ30" s="37"/>
      <c r="HA30" s="243">
        <v>125</v>
      </c>
      <c r="HB30" s="340">
        <v>0.12249</v>
      </c>
      <c r="HC30" s="396">
        <v>516.20000000000005</v>
      </c>
      <c r="HD30" s="334">
        <v>2.0895000000000001</v>
      </c>
      <c r="HE30" s="334">
        <v>1.0109999999999999</v>
      </c>
      <c r="HF30" s="339">
        <v>1.0973999999999999</v>
      </c>
      <c r="HG30" s="396">
        <v>185.2</v>
      </c>
      <c r="HH30" s="731"/>
      <c r="HI30" s="340">
        <v>0.11788</v>
      </c>
      <c r="HJ30" s="397">
        <v>516.1</v>
      </c>
      <c r="HK30" s="334">
        <v>2.0863</v>
      </c>
      <c r="HL30" s="334">
        <v>1.0115000000000001</v>
      </c>
      <c r="HM30" s="334">
        <v>1.0978000000000001</v>
      </c>
      <c r="HN30" s="396">
        <v>185.1</v>
      </c>
      <c r="HO30" s="240">
        <v>125</v>
      </c>
      <c r="HQ30" s="268">
        <v>125</v>
      </c>
      <c r="HR30" s="340">
        <v>0.11358</v>
      </c>
      <c r="HS30" s="396">
        <v>516</v>
      </c>
      <c r="HT30" s="334">
        <v>2.0831</v>
      </c>
      <c r="HU30" s="491">
        <v>1.012</v>
      </c>
      <c r="HV30" s="492">
        <v>1.0981000000000001</v>
      </c>
      <c r="HW30" s="489">
        <v>185</v>
      </c>
      <c r="HX30" s="731"/>
      <c r="HY30" s="490">
        <v>0.1096</v>
      </c>
      <c r="HZ30" s="397">
        <v>515.9</v>
      </c>
      <c r="IA30" s="334">
        <v>2.0800999999999998</v>
      </c>
      <c r="IB30" s="491">
        <v>1.0125999999999999</v>
      </c>
      <c r="IC30" s="334">
        <v>1.0985</v>
      </c>
      <c r="ID30" s="488">
        <v>184.9</v>
      </c>
      <c r="IE30" s="240">
        <v>125</v>
      </c>
      <c r="IG30" s="268">
        <v>130</v>
      </c>
      <c r="IH30" s="409">
        <v>0.10730000000000001</v>
      </c>
      <c r="II30" s="396">
        <v>520.9</v>
      </c>
      <c r="IJ30" s="415">
        <v>2.0899000000000001</v>
      </c>
      <c r="IK30" s="415">
        <v>1.0199</v>
      </c>
      <c r="IL30" s="492">
        <v>1.0975999999999999</v>
      </c>
      <c r="IM30" s="489">
        <v>186</v>
      </c>
      <c r="IN30" s="731"/>
      <c r="IO30" s="497">
        <v>0.10376000000000001</v>
      </c>
      <c r="IP30" s="397">
        <v>520.9</v>
      </c>
      <c r="IQ30" s="415">
        <v>2.0871</v>
      </c>
      <c r="IR30" s="500">
        <v>1.0204</v>
      </c>
      <c r="IS30" s="415">
        <v>1.0979000000000001</v>
      </c>
      <c r="IT30" s="489">
        <v>185.9</v>
      </c>
      <c r="IU30" s="240">
        <v>130</v>
      </c>
      <c r="IW30" s="264">
        <v>130</v>
      </c>
      <c r="IX30" s="512">
        <v>0.10045999999999999</v>
      </c>
      <c r="IY30" s="514">
        <v>520.79999999999995</v>
      </c>
      <c r="IZ30" s="522">
        <v>2.0842999999999998</v>
      </c>
      <c r="JA30" s="523">
        <v>1.0208999999999999</v>
      </c>
      <c r="JB30" s="388">
        <v>1.0983000000000001</v>
      </c>
      <c r="JC30" s="526">
        <v>185.8</v>
      </c>
      <c r="JD30" s="731"/>
      <c r="JE30" s="512">
        <v>9.7350000000000006E-2</v>
      </c>
      <c r="JF30" s="528">
        <v>520.70000000000005</v>
      </c>
      <c r="JG30" s="522">
        <v>2.0817000000000001</v>
      </c>
      <c r="JH30" s="391">
        <v>1.0214000000000001</v>
      </c>
      <c r="JI30" s="522">
        <v>1.0986</v>
      </c>
      <c r="JJ30" s="530">
        <v>185.7</v>
      </c>
      <c r="JK30" s="257">
        <v>130</v>
      </c>
      <c r="JM30" s="264">
        <v>130</v>
      </c>
      <c r="JN30" s="509">
        <v>9.4399999999999998E-2</v>
      </c>
      <c r="JO30" s="514">
        <v>520.6</v>
      </c>
      <c r="JP30" s="536">
        <v>2.0790999999999999</v>
      </c>
      <c r="JQ30" s="508">
        <v>1.022</v>
      </c>
      <c r="JR30" s="387">
        <v>1.0989</v>
      </c>
      <c r="JS30" s="526">
        <v>185.6</v>
      </c>
      <c r="JT30" s="731"/>
      <c r="JU30" s="537">
        <v>9.289E-2</v>
      </c>
      <c r="JV30" s="528">
        <v>525.6</v>
      </c>
      <c r="JW30" s="536">
        <v>2.0891999999999999</v>
      </c>
      <c r="JX30" s="391">
        <v>1.0290999999999999</v>
      </c>
      <c r="JY30" s="536">
        <v>1.0980000000000001</v>
      </c>
      <c r="JZ30" s="526">
        <v>186.8</v>
      </c>
      <c r="KA30" s="194">
        <v>135</v>
      </c>
      <c r="KC30" s="267">
        <v>135</v>
      </c>
      <c r="KD30" s="340">
        <v>9.0240000000000001E-2</v>
      </c>
      <c r="KE30" s="396">
        <v>525.6</v>
      </c>
      <c r="KF30" s="170">
        <v>2.0868000000000002</v>
      </c>
      <c r="KG30" s="170">
        <v>1.0296000000000001</v>
      </c>
      <c r="KH30" s="196">
        <v>1.0983000000000001</v>
      </c>
      <c r="KI30" s="396">
        <v>186.7</v>
      </c>
      <c r="KJ30" s="731"/>
      <c r="KK30" s="340">
        <v>8.7760000000000005E-2</v>
      </c>
      <c r="KL30" s="397">
        <v>525.5</v>
      </c>
      <c r="KM30" s="334">
        <v>2.0844</v>
      </c>
      <c r="KN30" s="541">
        <v>1.0301</v>
      </c>
      <c r="KO30" s="541">
        <v>1.0986</v>
      </c>
      <c r="KP30" s="540">
        <v>186.6</v>
      </c>
      <c r="KQ30" s="177">
        <v>135</v>
      </c>
      <c r="KS30" s="288">
        <v>135</v>
      </c>
      <c r="KT30" s="409">
        <v>8.5379999999999998E-2</v>
      </c>
      <c r="KU30" s="404">
        <v>525.4</v>
      </c>
      <c r="KV30" s="415">
        <v>2.0821000000000001</v>
      </c>
      <c r="KW30" s="415">
        <v>1.0306</v>
      </c>
      <c r="KX30" s="541">
        <v>1.099</v>
      </c>
      <c r="KY30" s="404">
        <v>186.5</v>
      </c>
      <c r="KZ30" s="731"/>
      <c r="LA30" s="340">
        <v>8.3140000000000006E-2</v>
      </c>
      <c r="LB30" s="397">
        <v>525.29999999999995</v>
      </c>
      <c r="LC30" s="415">
        <v>2.0798000000000001</v>
      </c>
      <c r="LD30" s="415">
        <v>1.0310999999999999</v>
      </c>
      <c r="LE30" s="546">
        <v>1.0992999999999999</v>
      </c>
      <c r="LF30" s="540">
        <v>186.4</v>
      </c>
      <c r="LG30" s="240">
        <v>135</v>
      </c>
      <c r="LI30" s="264">
        <v>135</v>
      </c>
      <c r="LJ30" s="512">
        <v>8.1009999999999999E-2</v>
      </c>
      <c r="LK30" s="514">
        <v>525.20000000000005</v>
      </c>
      <c r="LL30" s="522">
        <v>2.0775999999999999</v>
      </c>
      <c r="LM30" s="523">
        <v>1.0316000000000001</v>
      </c>
      <c r="LN30" s="557">
        <v>1.0995999999999999</v>
      </c>
      <c r="LO30" s="526">
        <v>186.3</v>
      </c>
      <c r="LP30" s="731"/>
      <c r="LQ30" s="512">
        <v>7.714E-2</v>
      </c>
      <c r="LR30" s="528">
        <v>530.20000000000005</v>
      </c>
      <c r="LS30" s="522">
        <v>2.0849000000000002</v>
      </c>
      <c r="LT30" s="333">
        <v>1.0392999999999999</v>
      </c>
      <c r="LU30" s="536">
        <v>1.0991</v>
      </c>
      <c r="LV30" s="526">
        <v>187.3</v>
      </c>
      <c r="LW30" s="257">
        <v>140</v>
      </c>
      <c r="LY30" s="199">
        <v>140</v>
      </c>
      <c r="LZ30" s="509">
        <v>7.2739999999999999E-2</v>
      </c>
      <c r="MA30" s="514">
        <v>530</v>
      </c>
      <c r="MB30" s="536">
        <v>2.0798999999999999</v>
      </c>
      <c r="MC30" s="508">
        <v>1.0405</v>
      </c>
      <c r="MD30" s="332">
        <v>1.0999000000000001</v>
      </c>
      <c r="ME30" s="526">
        <v>187</v>
      </c>
      <c r="MF30" s="731"/>
      <c r="MG30" s="509">
        <v>6.88E-2</v>
      </c>
      <c r="MH30" s="528">
        <v>529.79999999999995</v>
      </c>
      <c r="MI30" s="191">
        <v>2.0752000000000002</v>
      </c>
      <c r="MJ30" s="191">
        <v>1.0417000000000001</v>
      </c>
      <c r="MK30" s="192">
        <v>1.1007</v>
      </c>
      <c r="ML30" s="526">
        <v>186.8</v>
      </c>
      <c r="MM30" s="194">
        <v>140</v>
      </c>
      <c r="MO30" s="176">
        <v>145</v>
      </c>
      <c r="MP30" s="340">
        <v>6.6129999999999994E-2</v>
      </c>
      <c r="MQ30" s="396">
        <v>534.9</v>
      </c>
      <c r="MR30" s="334">
        <v>2.0832000000000002</v>
      </c>
      <c r="MS30" s="334">
        <v>1.0490999999999999</v>
      </c>
      <c r="MT30" s="334">
        <v>1.1001000000000001</v>
      </c>
      <c r="MU30" s="397">
        <v>187.8</v>
      </c>
      <c r="MV30" s="731"/>
      <c r="MW30" s="340">
        <v>6.2890000000000001E-2</v>
      </c>
      <c r="MX30" s="397">
        <v>534.70000000000005</v>
      </c>
      <c r="MY30" s="334">
        <v>2.0789</v>
      </c>
      <c r="MZ30" s="334">
        <v>1.0503</v>
      </c>
      <c r="NA30" s="334">
        <v>1.1009</v>
      </c>
      <c r="NB30" s="397">
        <v>187.6</v>
      </c>
      <c r="NC30" s="260">
        <v>145</v>
      </c>
      <c r="NE30" s="243">
        <v>145</v>
      </c>
      <c r="NF30" s="409">
        <v>5.994E-2</v>
      </c>
      <c r="NG30" s="396">
        <v>534.5</v>
      </c>
      <c r="NH30" s="415">
        <v>2.0748000000000002</v>
      </c>
      <c r="NI30" s="415">
        <v>1.0513999999999999</v>
      </c>
      <c r="NJ30" s="334">
        <v>1.1015999999999999</v>
      </c>
      <c r="NK30" s="396">
        <v>187.4</v>
      </c>
      <c r="NL30" s="731"/>
      <c r="NM30" s="409">
        <v>5.8009999999999999E-2</v>
      </c>
      <c r="NN30" s="397">
        <v>539.6</v>
      </c>
      <c r="NO30" s="415">
        <v>2.0834000000000001</v>
      </c>
      <c r="NP30" s="335">
        <v>1.0587</v>
      </c>
      <c r="NQ30" s="415">
        <v>1.101</v>
      </c>
      <c r="NR30" s="565">
        <v>188.4</v>
      </c>
      <c r="NS30" s="240">
        <v>150</v>
      </c>
      <c r="NU30" s="288">
        <v>150</v>
      </c>
      <c r="NV30" s="463">
        <v>5.552E-2</v>
      </c>
      <c r="NW30" s="528">
        <v>539.4</v>
      </c>
      <c r="NX30" s="522">
        <v>2.0796000000000001</v>
      </c>
      <c r="NY30" s="470">
        <v>1.0598000000000001</v>
      </c>
      <c r="NZ30" s="339">
        <v>1.1016999999999999</v>
      </c>
      <c r="OA30" s="528">
        <v>188.2</v>
      </c>
      <c r="OB30" s="731"/>
      <c r="OC30" s="511">
        <v>5.321E-2</v>
      </c>
      <c r="OD30" s="528">
        <v>539.20000000000005</v>
      </c>
      <c r="OE30" s="574">
        <v>2.0758999999999999</v>
      </c>
      <c r="OF30" s="536">
        <v>1.0609</v>
      </c>
      <c r="OG30" s="574">
        <v>1.1024</v>
      </c>
      <c r="OH30" s="476">
        <v>188</v>
      </c>
      <c r="OI30" s="263">
        <v>150</v>
      </c>
      <c r="OK30" s="267">
        <v>150</v>
      </c>
      <c r="OL30" s="537">
        <v>5.1090000000000003E-2</v>
      </c>
      <c r="OM30" s="517">
        <v>539</v>
      </c>
      <c r="ON30" s="536">
        <v>2.0724</v>
      </c>
      <c r="OO30" s="459">
        <v>1.0620000000000001</v>
      </c>
      <c r="OP30" s="459">
        <v>1.1032</v>
      </c>
      <c r="OQ30" s="528">
        <v>187.8</v>
      </c>
      <c r="OR30" s="731"/>
      <c r="OS30" s="537">
        <v>4.9790000000000001E-2</v>
      </c>
      <c r="OT30" s="528">
        <v>544.20000000000005</v>
      </c>
      <c r="OU30" s="536">
        <v>2.0815000000000001</v>
      </c>
      <c r="OV30" s="536">
        <v>1.069</v>
      </c>
      <c r="OW30" s="536">
        <v>1.1024</v>
      </c>
      <c r="OX30" s="476">
        <v>188.9</v>
      </c>
      <c r="OY30" s="289">
        <v>155</v>
      </c>
      <c r="PA30" s="259">
        <v>155</v>
      </c>
      <c r="PB30" s="340">
        <v>4.795E-2</v>
      </c>
      <c r="PC30" s="396">
        <v>544</v>
      </c>
      <c r="PD30" s="334">
        <v>2.0781999999999998</v>
      </c>
      <c r="PE30" s="541">
        <v>1.0701000000000001</v>
      </c>
      <c r="PF30" s="492">
        <v>1.1032</v>
      </c>
      <c r="PG30" s="540">
        <v>188.7</v>
      </c>
      <c r="PH30" s="731"/>
      <c r="PI30" s="340">
        <v>4.6219999999999997E-2</v>
      </c>
      <c r="PJ30" s="397">
        <v>543.79999999999995</v>
      </c>
      <c r="PK30" s="334">
        <v>2.0750999999999999</v>
      </c>
      <c r="PL30" s="492">
        <v>1.0711999999999999</v>
      </c>
      <c r="PM30" s="334">
        <v>1.1039000000000001</v>
      </c>
      <c r="PN30" s="542">
        <v>188.4</v>
      </c>
      <c r="PO30" s="260">
        <v>155</v>
      </c>
      <c r="PQ30" s="261">
        <v>155</v>
      </c>
      <c r="PR30" s="409">
        <v>4.462E-2</v>
      </c>
      <c r="PS30" s="396">
        <v>543.6</v>
      </c>
      <c r="PT30" s="415">
        <v>2.0720000000000001</v>
      </c>
      <c r="PU30" s="415">
        <v>1.0723</v>
      </c>
      <c r="PV30" s="492">
        <v>1.1046</v>
      </c>
      <c r="PW30" s="540">
        <v>188.2</v>
      </c>
      <c r="PX30" s="731"/>
      <c r="PY30" s="409">
        <v>4.2290000000000001E-2</v>
      </c>
      <c r="PZ30" s="397">
        <v>548.6</v>
      </c>
      <c r="QA30" s="415">
        <v>2.0785999999999998</v>
      </c>
      <c r="QB30" s="546">
        <v>1.0801000000000001</v>
      </c>
      <c r="QC30" s="415">
        <v>1.1045</v>
      </c>
      <c r="QD30" s="540">
        <v>189.1</v>
      </c>
      <c r="QE30" s="240">
        <v>160</v>
      </c>
      <c r="QG30" s="264">
        <v>160</v>
      </c>
      <c r="QH30" s="512">
        <v>3.9690000000000003E-2</v>
      </c>
      <c r="QI30" s="514">
        <v>548.29999999999995</v>
      </c>
      <c r="QJ30" s="522">
        <v>2.0731000000000002</v>
      </c>
      <c r="QK30" s="523">
        <v>1.0823</v>
      </c>
      <c r="QL30" s="387">
        <v>1.1059000000000001</v>
      </c>
      <c r="QM30" s="526">
        <v>188.7</v>
      </c>
      <c r="QN30" s="731"/>
      <c r="QO30" s="512">
        <v>3.789E-2</v>
      </c>
      <c r="QP30" s="532">
        <v>553.29999999999995</v>
      </c>
      <c r="QQ30" s="255">
        <v>2.0802999999999998</v>
      </c>
      <c r="QR30" s="198">
        <v>1.0898000000000001</v>
      </c>
      <c r="QS30" s="255">
        <v>1.1055999999999999</v>
      </c>
      <c r="QT30" s="527">
        <v>189.7</v>
      </c>
      <c r="QU30" s="257">
        <v>165</v>
      </c>
      <c r="QW30" s="199">
        <v>165</v>
      </c>
      <c r="QX30" s="509">
        <v>3.5799999999999998E-2</v>
      </c>
      <c r="QY30" s="517">
        <v>553</v>
      </c>
      <c r="QZ30" s="536">
        <v>2.0752999999999999</v>
      </c>
      <c r="RA30" s="508">
        <v>1.0919000000000001</v>
      </c>
      <c r="RB30" s="590">
        <v>1.107</v>
      </c>
      <c r="RC30" s="526">
        <v>189.3</v>
      </c>
      <c r="RD30" s="731"/>
      <c r="RE30" s="509">
        <v>3.3919999999999999E-2</v>
      </c>
      <c r="RF30" s="528">
        <v>552.6</v>
      </c>
      <c r="RG30" s="536">
        <v>2.0705</v>
      </c>
      <c r="RH30" s="590">
        <v>1.0940000000000001</v>
      </c>
      <c r="RI30" s="536">
        <v>1.1084000000000001</v>
      </c>
      <c r="RJ30" s="526">
        <v>188.9</v>
      </c>
      <c r="RK30" s="194">
        <v>165</v>
      </c>
      <c r="RM30" s="176">
        <v>170</v>
      </c>
      <c r="RN30" s="340">
        <v>3.1099999999999999E-2</v>
      </c>
      <c r="RO30" s="505">
        <v>557.4</v>
      </c>
      <c r="RP30" s="334">
        <v>2.0739999999999998</v>
      </c>
      <c r="RQ30" s="334">
        <v>1.1032999999999999</v>
      </c>
      <c r="RR30" s="334">
        <v>1.1093999999999999</v>
      </c>
      <c r="RS30" s="488">
        <v>189.5</v>
      </c>
      <c r="RT30" s="731"/>
      <c r="RU30" s="490">
        <v>2.8750000000000001E-2</v>
      </c>
      <c r="RV30" s="397">
        <v>562.29999999999995</v>
      </c>
      <c r="RW30" s="334">
        <v>2.0781999999999998</v>
      </c>
      <c r="RX30" s="491">
        <v>1.1123000000000001</v>
      </c>
      <c r="RY30" s="334">
        <v>1.1102000000000001</v>
      </c>
      <c r="RZ30" s="488">
        <v>190.1</v>
      </c>
      <c r="SA30" s="260">
        <v>175</v>
      </c>
      <c r="SC30" s="268">
        <v>175</v>
      </c>
      <c r="SD30" s="409">
        <v>2.6409999999999999E-2</v>
      </c>
      <c r="SE30" s="396">
        <v>561.6</v>
      </c>
      <c r="SF30" s="415">
        <v>2.0706000000000002</v>
      </c>
      <c r="SG30" s="415">
        <v>1.1162000000000001</v>
      </c>
      <c r="SH30" s="500">
        <v>1.1129</v>
      </c>
      <c r="SI30" s="489">
        <v>189.4</v>
      </c>
      <c r="SJ30" s="731"/>
      <c r="SK30" s="409">
        <v>2.4750000000000001E-2</v>
      </c>
      <c r="SL30" s="176">
        <v>566.6</v>
      </c>
      <c r="SM30" s="415">
        <v>2.0758000000000001</v>
      </c>
      <c r="SN30" s="499">
        <v>1.1249</v>
      </c>
      <c r="SO30" s="415">
        <v>1.1135999999999999</v>
      </c>
      <c r="SP30" s="190">
        <v>190.1</v>
      </c>
      <c r="SQ30" s="240">
        <v>180</v>
      </c>
      <c r="SS30" s="268">
        <v>185</v>
      </c>
      <c r="ST30" s="409">
        <v>2.3310000000000001E-2</v>
      </c>
      <c r="SU30" s="170">
        <v>571.6</v>
      </c>
      <c r="SV30" s="415">
        <v>2.0815000000000001</v>
      </c>
      <c r="SW30" s="415">
        <v>1.1332</v>
      </c>
      <c r="SX30" s="387">
        <v>1.1141000000000001</v>
      </c>
      <c r="SY30" s="190">
        <v>190.8</v>
      </c>
      <c r="SZ30" s="731"/>
      <c r="TA30" s="497">
        <v>2.1749999999999999E-2</v>
      </c>
      <c r="TB30" s="397">
        <v>570.9</v>
      </c>
      <c r="TC30" s="415">
        <v>2.0752000000000002</v>
      </c>
      <c r="TD30" s="491">
        <v>1.137</v>
      </c>
      <c r="TE30" s="334">
        <v>1.1167</v>
      </c>
      <c r="TF30" s="488">
        <v>190.1</v>
      </c>
      <c r="TG30" s="240">
        <v>185</v>
      </c>
      <c r="TI30" s="270">
        <v>190</v>
      </c>
      <c r="TJ30" s="340">
        <v>2.0660000000000001E-2</v>
      </c>
      <c r="TK30" s="396">
        <v>576</v>
      </c>
      <c r="TL30" s="334">
        <v>2.0815999999999999</v>
      </c>
      <c r="TM30" s="491">
        <v>1.145</v>
      </c>
      <c r="TN30" s="491">
        <v>1.117</v>
      </c>
      <c r="TO30" s="489">
        <v>190.9</v>
      </c>
      <c r="TP30" s="731"/>
      <c r="TQ30" s="340">
        <v>1.9429999999999999E-2</v>
      </c>
      <c r="TR30" s="397">
        <v>575.4</v>
      </c>
      <c r="TS30" s="334">
        <v>2.0758999999999999</v>
      </c>
      <c r="TT30" s="491">
        <v>1.1487000000000001</v>
      </c>
      <c r="TU30" s="334">
        <v>1.1195999999999999</v>
      </c>
      <c r="TV30" s="489">
        <v>190.3</v>
      </c>
      <c r="TW30" s="260">
        <v>190</v>
      </c>
      <c r="TY30" s="185">
        <v>195</v>
      </c>
      <c r="TZ30" s="490">
        <v>1.8589999999999999E-2</v>
      </c>
      <c r="UA30" s="467">
        <v>580.5</v>
      </c>
      <c r="UB30" s="473">
        <v>2.0829</v>
      </c>
      <c r="UC30" s="473">
        <v>1.1563000000000001</v>
      </c>
      <c r="UD30" s="473">
        <v>1.1196999999999999</v>
      </c>
      <c r="UE30" s="478">
        <v>191.2</v>
      </c>
      <c r="UF30" s="749"/>
      <c r="UG30" s="474">
        <v>1.7579999999999998E-2</v>
      </c>
      <c r="UH30" s="478">
        <v>579.9</v>
      </c>
      <c r="UI30" s="473">
        <v>2.0777000000000001</v>
      </c>
      <c r="UJ30" s="473">
        <v>1.1598999999999999</v>
      </c>
      <c r="UK30" s="473">
        <v>1.1222000000000001</v>
      </c>
      <c r="UL30" s="478">
        <v>190.5</v>
      </c>
      <c r="UM30" s="310">
        <v>195</v>
      </c>
      <c r="UO30" s="247">
        <v>200</v>
      </c>
      <c r="UP30" s="464">
        <v>1.6080000000000001E-2</v>
      </c>
      <c r="UQ30" s="467">
        <v>584.5</v>
      </c>
      <c r="UR30" s="471">
        <v>2.0802999999999998</v>
      </c>
      <c r="US30" s="499">
        <v>1.1708000000000001</v>
      </c>
      <c r="UT30" s="610">
        <v>1.1246</v>
      </c>
      <c r="UU30" s="489">
        <v>190.8</v>
      </c>
      <c r="UV30" s="749"/>
      <c r="UW30" s="464">
        <v>1.4829999999999999E-2</v>
      </c>
      <c r="UX30" s="478">
        <v>589.20000000000005</v>
      </c>
      <c r="UY30" s="471">
        <v>2.0836999999999999</v>
      </c>
      <c r="UZ30" s="622">
        <v>1.1812</v>
      </c>
      <c r="VA30" s="471">
        <v>1.1268</v>
      </c>
      <c r="VB30" s="489">
        <v>191.2</v>
      </c>
      <c r="VC30" s="248">
        <v>205</v>
      </c>
      <c r="VE30" s="254">
        <v>205</v>
      </c>
      <c r="VF30" s="512">
        <v>1.358E-2</v>
      </c>
      <c r="VG30" s="514">
        <v>588</v>
      </c>
      <c r="VH30" s="522">
        <v>2.0752999999999999</v>
      </c>
      <c r="VI30" s="523">
        <v>1.1882999999999999</v>
      </c>
      <c r="VJ30" s="391">
        <v>1.1316999999999999</v>
      </c>
      <c r="VK30" s="527">
        <v>190.1</v>
      </c>
      <c r="VL30" s="749"/>
      <c r="VM30" s="512">
        <v>1.2699999999999999E-2</v>
      </c>
      <c r="VN30" s="532">
        <v>592.79999999999995</v>
      </c>
      <c r="VO30" s="522">
        <v>2.0798000000000001</v>
      </c>
      <c r="VP30" s="391">
        <v>1.1980999999999999</v>
      </c>
      <c r="VQ30" s="522">
        <v>1.1335</v>
      </c>
      <c r="VR30" s="526">
        <v>190.6</v>
      </c>
      <c r="VS30" s="257">
        <v>210</v>
      </c>
      <c r="VU30" s="193">
        <v>215</v>
      </c>
      <c r="VV30" s="509">
        <v>1.1939999999999999E-2</v>
      </c>
      <c r="VW30" s="514">
        <v>597.6</v>
      </c>
      <c r="VX30" s="536">
        <v>2.0847000000000002</v>
      </c>
      <c r="VY30" s="508">
        <v>1.2075</v>
      </c>
      <c r="VZ30" s="628">
        <v>1.1351</v>
      </c>
      <c r="WA30" s="526">
        <v>191.3</v>
      </c>
      <c r="WB30" s="749"/>
      <c r="WC30" s="509">
        <v>1.111E-2</v>
      </c>
      <c r="WD30" s="528">
        <v>596.5</v>
      </c>
      <c r="WE30" s="536">
        <v>2.0775999999999999</v>
      </c>
      <c r="WF30" s="391">
        <v>1.2142999999999999</v>
      </c>
      <c r="WG30" s="536">
        <v>1.1397999999999999</v>
      </c>
      <c r="WH30" s="526">
        <v>190.2</v>
      </c>
      <c r="WI30" s="194">
        <v>215</v>
      </c>
      <c r="WK30" s="193">
        <v>220</v>
      </c>
      <c r="WL30" s="509">
        <v>1.055E-2</v>
      </c>
      <c r="WM30" s="514">
        <v>601.5</v>
      </c>
      <c r="WN30" s="536">
        <v>2.0834000000000001</v>
      </c>
      <c r="WO30" s="536">
        <v>1.2231000000000001</v>
      </c>
      <c r="WP30" s="536">
        <v>1.141</v>
      </c>
      <c r="WQ30" s="530">
        <v>191</v>
      </c>
      <c r="WR30" s="749"/>
      <c r="WS30" s="509">
        <v>1.005E-2</v>
      </c>
      <c r="WT30" s="528">
        <v>606.5</v>
      </c>
      <c r="WU30" s="536">
        <v>2.0893999999999999</v>
      </c>
      <c r="WV30" s="492">
        <v>1.2316</v>
      </c>
      <c r="WW30" s="536">
        <v>1.1419999999999999</v>
      </c>
      <c r="WX30" s="530">
        <v>191.8</v>
      </c>
      <c r="WY30" s="194">
        <v>225</v>
      </c>
      <c r="WZ30" s="400"/>
      <c r="XA30" s="254">
        <v>225</v>
      </c>
      <c r="XB30" s="512">
        <v>9.4500000000000001E-3</v>
      </c>
      <c r="XC30" s="514">
        <v>605.4</v>
      </c>
      <c r="XD30" s="522">
        <v>2.0832999999999999</v>
      </c>
      <c r="XE30" s="523">
        <v>1.238</v>
      </c>
      <c r="XF30" s="492">
        <v>1.1465000000000001</v>
      </c>
      <c r="XG30" s="526">
        <v>190.9</v>
      </c>
      <c r="XH30" s="749"/>
      <c r="XI30" s="512">
        <v>9.0600000000000003E-3</v>
      </c>
      <c r="XJ30" s="528">
        <v>610.5</v>
      </c>
      <c r="XK30" s="522">
        <v>2.0897999999999999</v>
      </c>
      <c r="XL30" s="500">
        <v>1.2458</v>
      </c>
      <c r="XM30" s="523">
        <v>1.1471</v>
      </c>
      <c r="XN30" s="526">
        <v>191.9</v>
      </c>
      <c r="XO30" s="257">
        <v>230</v>
      </c>
      <c r="XP30" s="194"/>
    </row>
    <row r="31" spans="1:640" ht="15.75" thickBot="1" x14ac:dyDescent="0.3">
      <c r="A31" s="282">
        <v>65</v>
      </c>
      <c r="B31" s="365">
        <v>2.75482</v>
      </c>
      <c r="C31" s="368">
        <v>461.2</v>
      </c>
      <c r="D31" s="360">
        <v>2.2037</v>
      </c>
      <c r="E31" s="360">
        <v>0.90269999999999995</v>
      </c>
      <c r="F31" s="360">
        <v>1.1000000000000001</v>
      </c>
      <c r="G31" s="172">
        <v>173.9</v>
      </c>
      <c r="H31" s="266"/>
      <c r="I31" s="365">
        <v>1.4144300000000001</v>
      </c>
      <c r="J31" s="374">
        <v>470.2</v>
      </c>
      <c r="K31" s="360">
        <v>2.1735000000000002</v>
      </c>
      <c r="L31" s="358">
        <v>0.92010000000000003</v>
      </c>
      <c r="M31" s="360">
        <v>1.0984</v>
      </c>
      <c r="N31" s="368">
        <v>176.1</v>
      </c>
      <c r="O31" s="382">
        <v>75</v>
      </c>
      <c r="P31" s="238"/>
      <c r="Q31" s="282">
        <v>85</v>
      </c>
      <c r="R31" s="363">
        <v>0.96992999999999996</v>
      </c>
      <c r="S31" s="368">
        <v>479.4</v>
      </c>
      <c r="T31" s="358">
        <v>2.1665000000000001</v>
      </c>
      <c r="U31" s="358">
        <v>0.93700000000000006</v>
      </c>
      <c r="V31" s="358">
        <v>1.0969</v>
      </c>
      <c r="W31" s="368">
        <v>178.4</v>
      </c>
      <c r="X31" s="266"/>
      <c r="Y31" s="363">
        <v>0.73692000000000002</v>
      </c>
      <c r="Z31" s="374">
        <v>484</v>
      </c>
      <c r="AA31" s="358">
        <v>2.1558999999999999</v>
      </c>
      <c r="AB31" s="358">
        <v>0.94569999999999999</v>
      </c>
      <c r="AC31" s="358">
        <v>1.0964</v>
      </c>
      <c r="AD31" s="368">
        <v>179.4</v>
      </c>
      <c r="AE31" s="283">
        <v>90</v>
      </c>
      <c r="AF31" s="37"/>
      <c r="AG31" s="243">
        <v>90</v>
      </c>
      <c r="AH31" s="340">
        <v>0.58892999999999995</v>
      </c>
      <c r="AI31" s="396">
        <v>483.9</v>
      </c>
      <c r="AJ31" s="334">
        <v>2.1375000000000002</v>
      </c>
      <c r="AK31" s="334">
        <v>0.94640000000000002</v>
      </c>
      <c r="AL31" s="401">
        <v>1.0969</v>
      </c>
      <c r="AM31" s="406">
        <v>179.3</v>
      </c>
      <c r="AN31" s="731"/>
      <c r="AO31" s="340">
        <v>0.49726999999999999</v>
      </c>
      <c r="AP31" s="397">
        <v>488.5</v>
      </c>
      <c r="AQ31" s="334">
        <v>2.1355</v>
      </c>
      <c r="AR31" s="334">
        <v>0.95499999999999996</v>
      </c>
      <c r="AS31" s="334">
        <v>1.0963000000000001</v>
      </c>
      <c r="AT31" s="397">
        <v>180.3</v>
      </c>
      <c r="AU31" s="240">
        <v>95</v>
      </c>
      <c r="AV31" s="37"/>
      <c r="AW31" s="281">
        <v>100</v>
      </c>
      <c r="AX31" s="409">
        <v>0.43178</v>
      </c>
      <c r="AY31" s="396">
        <v>493.2</v>
      </c>
      <c r="AZ31" s="415">
        <v>2.1356999999999999</v>
      </c>
      <c r="BA31" s="415">
        <v>0.96330000000000005</v>
      </c>
      <c r="BB31" s="419">
        <v>1.0956999999999999</v>
      </c>
      <c r="BC31" s="394">
        <v>181.4</v>
      </c>
      <c r="BD31" s="731"/>
      <c r="BE31" s="409">
        <v>0.37735999999999997</v>
      </c>
      <c r="BF31" s="397">
        <v>493.1</v>
      </c>
      <c r="BG31" s="415">
        <v>2.1246</v>
      </c>
      <c r="BH31" s="334">
        <v>0.96399999999999997</v>
      </c>
      <c r="BI31" s="415">
        <v>1.0961000000000001</v>
      </c>
      <c r="BJ31" s="394">
        <v>181.3</v>
      </c>
      <c r="BK31" s="242">
        <v>100</v>
      </c>
      <c r="BL31" s="37"/>
      <c r="BM31" s="243">
        <v>105</v>
      </c>
      <c r="BN31" s="409">
        <v>0.33978999999999998</v>
      </c>
      <c r="BO31" s="396">
        <v>497.9</v>
      </c>
      <c r="BP31" s="415">
        <v>2.1276999999999999</v>
      </c>
      <c r="BQ31" s="415">
        <v>0.97219999999999995</v>
      </c>
      <c r="BR31" s="426">
        <v>1.0954999999999999</v>
      </c>
      <c r="BS31" s="396">
        <v>182.3</v>
      </c>
      <c r="BT31" s="731"/>
      <c r="BU31" s="409">
        <v>0.30553000000000002</v>
      </c>
      <c r="BV31" s="397">
        <v>497.8</v>
      </c>
      <c r="BW31" s="415">
        <v>2.1189</v>
      </c>
      <c r="BX31" s="334">
        <v>0.97289999999999999</v>
      </c>
      <c r="BY31" s="415">
        <v>1.0959000000000001</v>
      </c>
      <c r="BZ31" s="397">
        <v>182.2</v>
      </c>
      <c r="CA31" s="240">
        <v>105</v>
      </c>
      <c r="CB31" s="37"/>
      <c r="CC31" s="243">
        <v>105</v>
      </c>
      <c r="CD31" s="340">
        <v>0.30157</v>
      </c>
      <c r="CE31" s="396">
        <v>497.8</v>
      </c>
      <c r="CF31" s="334">
        <v>2.1177999999999999</v>
      </c>
      <c r="CG31" s="334">
        <v>0.97299999999999998</v>
      </c>
      <c r="CH31" s="339">
        <v>1.0960000000000001</v>
      </c>
      <c r="CI31" s="396">
        <v>182.2</v>
      </c>
      <c r="CJ31" s="731"/>
      <c r="CK31" s="340">
        <v>0.28128999999999998</v>
      </c>
      <c r="CL31" s="397">
        <v>502.6</v>
      </c>
      <c r="CM31" s="334">
        <v>2.1238000000000001</v>
      </c>
      <c r="CN31" s="334">
        <v>0.98099999999999998</v>
      </c>
      <c r="CO31" s="334">
        <v>1.0952999999999999</v>
      </c>
      <c r="CP31" s="396">
        <v>183.3</v>
      </c>
      <c r="CQ31" s="240">
        <v>110</v>
      </c>
      <c r="CR31" s="37"/>
      <c r="CS31" s="278">
        <v>110</v>
      </c>
      <c r="CT31" s="340">
        <v>0.25767000000000001</v>
      </c>
      <c r="CU31" s="396">
        <v>502.5</v>
      </c>
      <c r="CV31" s="334">
        <v>2.1164999999999998</v>
      </c>
      <c r="CW31" s="334">
        <v>0.98160000000000003</v>
      </c>
      <c r="CX31" s="444">
        <v>1.0956999999999999</v>
      </c>
      <c r="CY31" s="442">
        <v>183.2</v>
      </c>
      <c r="CZ31" s="731"/>
      <c r="DA31" s="440">
        <v>0.23763999999999999</v>
      </c>
      <c r="DB31" s="397">
        <v>502.4</v>
      </c>
      <c r="DC31" s="334">
        <v>2.1097999999999999</v>
      </c>
      <c r="DD31" s="334">
        <v>0.98219999999999996</v>
      </c>
      <c r="DE31" s="334">
        <v>1.0961000000000001</v>
      </c>
      <c r="DF31" s="449">
        <v>183</v>
      </c>
      <c r="DG31" s="240">
        <v>110</v>
      </c>
      <c r="DH31" s="37"/>
      <c r="DI31" s="243">
        <v>115</v>
      </c>
      <c r="DJ31" s="409">
        <v>0.22350999999999999</v>
      </c>
      <c r="DK31" s="396">
        <v>507.2</v>
      </c>
      <c r="DL31" s="415">
        <v>2.1164000000000001</v>
      </c>
      <c r="DM31" s="415">
        <v>0.99009999999999998</v>
      </c>
      <c r="DN31" s="339">
        <v>1.0953999999999999</v>
      </c>
      <c r="DO31" s="442">
        <v>184.1</v>
      </c>
      <c r="DP31" s="731"/>
      <c r="DQ31" s="409">
        <v>0.20846000000000001</v>
      </c>
      <c r="DR31" s="397">
        <v>507.1</v>
      </c>
      <c r="DS31" s="415">
        <v>2.1105999999999998</v>
      </c>
      <c r="DT31" s="415">
        <v>0.99070000000000003</v>
      </c>
      <c r="DU31" s="415">
        <v>1.0958000000000001</v>
      </c>
      <c r="DV31" s="442">
        <v>184</v>
      </c>
      <c r="DW31" s="240">
        <v>115</v>
      </c>
      <c r="DX31" s="37"/>
      <c r="DY31" s="262">
        <v>115</v>
      </c>
      <c r="DZ31" s="464">
        <v>0.19524</v>
      </c>
      <c r="EA31" s="467">
        <v>507</v>
      </c>
      <c r="EB31" s="471">
        <v>2.1052</v>
      </c>
      <c r="EC31" s="470">
        <v>0.99129999999999996</v>
      </c>
      <c r="ED31" s="419">
        <v>1.0961000000000001</v>
      </c>
      <c r="EE31" s="465">
        <v>183.9</v>
      </c>
      <c r="EF31" s="731"/>
      <c r="EG31" s="463">
        <v>0.18612000000000001</v>
      </c>
      <c r="EH31" s="478">
        <v>511.9</v>
      </c>
      <c r="EI31" s="480">
        <v>2.1128</v>
      </c>
      <c r="EJ31" s="473">
        <v>0.999</v>
      </c>
      <c r="EK31" s="459">
        <v>1.0953999999999999</v>
      </c>
      <c r="EL31" s="478">
        <v>185</v>
      </c>
      <c r="EM31" s="263">
        <v>120</v>
      </c>
      <c r="EN31" s="37"/>
      <c r="EO31" s="247">
        <v>120</v>
      </c>
      <c r="EP31" s="460">
        <v>0.17562</v>
      </c>
      <c r="EQ31" s="467">
        <v>511.8</v>
      </c>
      <c r="ER31" s="473">
        <v>2.1080000000000001</v>
      </c>
      <c r="ES31" s="459">
        <v>0.99960000000000004</v>
      </c>
      <c r="ET31" s="473">
        <v>1.0958000000000001</v>
      </c>
      <c r="EU31" s="467">
        <v>184.9</v>
      </c>
      <c r="EV31" s="731"/>
      <c r="EW31" s="460">
        <v>0.16625000000000001</v>
      </c>
      <c r="EX31" s="483">
        <v>511.8</v>
      </c>
      <c r="EY31" s="485">
        <v>2.1034000000000002</v>
      </c>
      <c r="EZ31" s="459">
        <v>1.0001</v>
      </c>
      <c r="FA31" s="459">
        <v>1.0961000000000001</v>
      </c>
      <c r="FB31" s="467">
        <v>184.8</v>
      </c>
      <c r="FC31" s="263">
        <v>120</v>
      </c>
      <c r="FD31" s="37"/>
      <c r="FE31" s="243">
        <v>120</v>
      </c>
      <c r="FF31" s="340">
        <v>0.15783</v>
      </c>
      <c r="FG31" s="487">
        <v>511.7</v>
      </c>
      <c r="FH31" s="334">
        <v>2.0991</v>
      </c>
      <c r="FI31" s="334">
        <v>1.0006999999999999</v>
      </c>
      <c r="FJ31" s="334">
        <v>1.0965</v>
      </c>
      <c r="FK31" s="488">
        <v>184.7</v>
      </c>
      <c r="FL31" s="731"/>
      <c r="FM31" s="490">
        <v>0.15223</v>
      </c>
      <c r="FN31" s="397">
        <v>516.6</v>
      </c>
      <c r="FO31" s="334">
        <v>2.1076999999999999</v>
      </c>
      <c r="FP31" s="492">
        <v>1.0083</v>
      </c>
      <c r="FQ31" s="334">
        <v>1.0956999999999999</v>
      </c>
      <c r="FR31" s="488">
        <v>185.8</v>
      </c>
      <c r="FS31" s="240">
        <v>120</v>
      </c>
      <c r="FT31" s="37"/>
      <c r="FU31" s="268">
        <v>125</v>
      </c>
      <c r="FV31" s="409">
        <v>0.1452</v>
      </c>
      <c r="FW31" s="396">
        <v>516.5</v>
      </c>
      <c r="FX31" s="415">
        <v>2.1036999999999999</v>
      </c>
      <c r="FY31" s="499">
        <v>1.0087999999999999</v>
      </c>
      <c r="FZ31" s="492">
        <v>1.0961000000000001</v>
      </c>
      <c r="GA31" s="489">
        <v>185.7</v>
      </c>
      <c r="GB31" s="731"/>
      <c r="GC31" s="409">
        <v>0.13879</v>
      </c>
      <c r="GD31" s="397">
        <v>516.4</v>
      </c>
      <c r="GE31" s="415">
        <v>2.1</v>
      </c>
      <c r="GF31" s="499">
        <v>1.0094000000000001</v>
      </c>
      <c r="GG31" s="415">
        <v>1.0964</v>
      </c>
      <c r="GH31" s="489">
        <v>185.5</v>
      </c>
      <c r="GI31" s="237">
        <v>125</v>
      </c>
      <c r="GJ31" s="37"/>
      <c r="GK31" s="243">
        <v>125</v>
      </c>
      <c r="GL31" s="409">
        <v>0.13291</v>
      </c>
      <c r="GM31" s="404">
        <v>516.4</v>
      </c>
      <c r="GN31" s="415">
        <v>2.0962999999999998</v>
      </c>
      <c r="GO31" s="415">
        <v>1.0099</v>
      </c>
      <c r="GP31" s="333">
        <v>1.0967</v>
      </c>
      <c r="GQ31" s="396">
        <v>185.4</v>
      </c>
      <c r="GR31" s="731"/>
      <c r="GS31" s="409">
        <v>0.12920000000000001</v>
      </c>
      <c r="GT31" s="397">
        <v>521.29999999999995</v>
      </c>
      <c r="GU31" s="241">
        <v>2.1055000000000001</v>
      </c>
      <c r="GV31" s="170">
        <v>1.0173000000000001</v>
      </c>
      <c r="GW31" s="241">
        <v>1.0960000000000001</v>
      </c>
      <c r="GX31" s="397">
        <v>186.5</v>
      </c>
      <c r="GY31" s="240">
        <v>130</v>
      </c>
      <c r="GZ31" s="37"/>
      <c r="HA31" s="243">
        <v>130</v>
      </c>
      <c r="HB31" s="340">
        <v>0.12416000000000001</v>
      </c>
      <c r="HC31" s="396">
        <v>521.29999999999995</v>
      </c>
      <c r="HD31" s="334">
        <v>2.1021999999999998</v>
      </c>
      <c r="HE31" s="334">
        <v>1.0178</v>
      </c>
      <c r="HF31" s="333">
        <v>1.0963000000000001</v>
      </c>
      <c r="HG31" s="396">
        <v>186.4</v>
      </c>
      <c r="HH31" s="731"/>
      <c r="HI31" s="340">
        <v>0.11946</v>
      </c>
      <c r="HJ31" s="397">
        <v>521.20000000000005</v>
      </c>
      <c r="HK31" s="334">
        <v>2.0989</v>
      </c>
      <c r="HL31" s="333">
        <v>1.0183</v>
      </c>
      <c r="HM31" s="334">
        <v>1.0966</v>
      </c>
      <c r="HN31" s="396">
        <v>186.3</v>
      </c>
      <c r="HO31" s="240">
        <v>130</v>
      </c>
      <c r="HP31" s="37"/>
      <c r="HQ31" s="268">
        <v>130</v>
      </c>
      <c r="HR31" s="340">
        <v>0.11511</v>
      </c>
      <c r="HS31" s="396">
        <v>521.1</v>
      </c>
      <c r="HT31" s="334">
        <v>2.0958000000000001</v>
      </c>
      <c r="HU31" s="491">
        <v>1.0188999999999999</v>
      </c>
      <c r="HV31" s="492">
        <v>1.0969</v>
      </c>
      <c r="HW31" s="489">
        <v>186.2</v>
      </c>
      <c r="HX31" s="731"/>
      <c r="HY31" s="490">
        <v>0.11107</v>
      </c>
      <c r="HZ31" s="397">
        <v>521</v>
      </c>
      <c r="IA31" s="334">
        <v>2.0928</v>
      </c>
      <c r="IB31" s="492">
        <v>1.0194000000000001</v>
      </c>
      <c r="IC31" s="334">
        <v>1.0972999999999999</v>
      </c>
      <c r="ID31" s="488">
        <v>186.1</v>
      </c>
      <c r="IE31" s="240">
        <v>130</v>
      </c>
      <c r="IG31" s="268">
        <v>135</v>
      </c>
      <c r="IH31" s="409">
        <v>0.10872999999999999</v>
      </c>
      <c r="II31" s="396">
        <v>526.1</v>
      </c>
      <c r="IJ31" s="415">
        <v>2.1025</v>
      </c>
      <c r="IK31" s="499">
        <v>1.0266</v>
      </c>
      <c r="IL31" s="492">
        <v>1.0964</v>
      </c>
      <c r="IM31" s="489">
        <v>187.3</v>
      </c>
      <c r="IN31" s="731"/>
      <c r="IO31" s="409">
        <v>0.10514</v>
      </c>
      <c r="IP31" s="397">
        <v>526</v>
      </c>
      <c r="IQ31" s="415">
        <v>2.0996999999999999</v>
      </c>
      <c r="IR31" s="500">
        <v>1.0270999999999999</v>
      </c>
      <c r="IS31" s="415">
        <v>1.0967</v>
      </c>
      <c r="IT31" s="489">
        <v>187.2</v>
      </c>
      <c r="IU31" s="240">
        <v>135</v>
      </c>
      <c r="IW31" s="264">
        <v>135</v>
      </c>
      <c r="IX31" s="512">
        <v>0.1018</v>
      </c>
      <c r="IY31" s="514">
        <v>525.9</v>
      </c>
      <c r="IZ31" s="522">
        <v>2.097</v>
      </c>
      <c r="JA31" s="523">
        <v>1.0276000000000001</v>
      </c>
      <c r="JB31" s="388">
        <v>1.0971</v>
      </c>
      <c r="JC31" s="526">
        <v>187.1</v>
      </c>
      <c r="JD31" s="731"/>
      <c r="JE31" s="511">
        <v>9.8640000000000005E-2</v>
      </c>
      <c r="JF31" s="528">
        <v>525.79999999999995</v>
      </c>
      <c r="JG31" s="522">
        <v>2.0943000000000001</v>
      </c>
      <c r="JH31" s="391">
        <v>1.0281</v>
      </c>
      <c r="JI31" s="522">
        <v>1.0973999999999999</v>
      </c>
      <c r="JJ31" s="530">
        <v>187</v>
      </c>
      <c r="JK31" s="257">
        <v>135</v>
      </c>
      <c r="JM31" s="264">
        <v>135</v>
      </c>
      <c r="JN31" s="509">
        <v>9.5680000000000001E-2</v>
      </c>
      <c r="JO31" s="514">
        <v>525.70000000000005</v>
      </c>
      <c r="JP31" s="536">
        <v>2.0916999999999999</v>
      </c>
      <c r="JQ31" s="508">
        <v>1.0286</v>
      </c>
      <c r="JR31" s="387">
        <v>1.0976999999999999</v>
      </c>
      <c r="JS31" s="377">
        <v>186.9</v>
      </c>
      <c r="JT31" s="731"/>
      <c r="JU31" s="509">
        <v>9.4130000000000005E-2</v>
      </c>
      <c r="JV31" s="528">
        <v>530.79999999999995</v>
      </c>
      <c r="JW31" s="536">
        <v>2.1017999999999999</v>
      </c>
      <c r="JX31" s="391">
        <v>1.0357000000000001</v>
      </c>
      <c r="JY31" s="536">
        <v>1.0968</v>
      </c>
      <c r="JZ31" s="526">
        <v>188</v>
      </c>
      <c r="KA31" s="194">
        <v>140</v>
      </c>
      <c r="KC31" s="267">
        <v>140</v>
      </c>
      <c r="KD31" s="340">
        <v>9.146E-2</v>
      </c>
      <c r="KE31" s="396">
        <v>530.70000000000005</v>
      </c>
      <c r="KF31" s="170">
        <v>2.0994000000000002</v>
      </c>
      <c r="KG31" s="170">
        <v>1.0362</v>
      </c>
      <c r="KH31" s="196">
        <v>1.0971</v>
      </c>
      <c r="KI31" s="540">
        <v>187.9</v>
      </c>
      <c r="KJ31" s="731"/>
      <c r="KK31" s="340">
        <v>8.8910000000000003E-2</v>
      </c>
      <c r="KL31" s="397">
        <v>530.70000000000005</v>
      </c>
      <c r="KM31" s="334">
        <v>2.097</v>
      </c>
      <c r="KN31" s="334">
        <v>1.0366</v>
      </c>
      <c r="KO31" s="541">
        <v>1.0973999999999999</v>
      </c>
      <c r="KP31" s="540">
        <v>187.8</v>
      </c>
      <c r="KQ31" s="177">
        <v>140</v>
      </c>
      <c r="KS31" s="288">
        <v>140</v>
      </c>
      <c r="KT31" s="409">
        <v>8.6529999999999996E-2</v>
      </c>
      <c r="KU31" s="404">
        <v>530.6</v>
      </c>
      <c r="KV31" s="415">
        <v>2.0947</v>
      </c>
      <c r="KW31" s="415">
        <v>1.0370999999999999</v>
      </c>
      <c r="KX31" s="541">
        <v>1.0976999999999999</v>
      </c>
      <c r="KY31" s="404">
        <v>187.7</v>
      </c>
      <c r="KZ31" s="731"/>
      <c r="LA31" s="340">
        <v>8.4250000000000005E-2</v>
      </c>
      <c r="LB31" s="397">
        <v>530.5</v>
      </c>
      <c r="LC31" s="415">
        <v>2.0924</v>
      </c>
      <c r="LD31" s="415">
        <v>1.0376000000000001</v>
      </c>
      <c r="LE31" s="546">
        <v>1.0980000000000001</v>
      </c>
      <c r="LF31" s="540">
        <v>187.6</v>
      </c>
      <c r="LG31" s="240">
        <v>140</v>
      </c>
      <c r="LI31" s="264">
        <v>140</v>
      </c>
      <c r="LJ31" s="512">
        <v>8.2100000000000006E-2</v>
      </c>
      <c r="LK31" s="514">
        <v>530.4</v>
      </c>
      <c r="LL31" s="522">
        <v>2.0901999999999998</v>
      </c>
      <c r="LM31" s="523">
        <v>1.0381</v>
      </c>
      <c r="LN31" s="557">
        <v>1.0983000000000001</v>
      </c>
      <c r="LO31" s="526">
        <v>187.5</v>
      </c>
      <c r="LP31" s="731"/>
      <c r="LQ31" s="512">
        <v>7.8170000000000003E-2</v>
      </c>
      <c r="LR31" s="528">
        <v>535.4</v>
      </c>
      <c r="LS31" s="522">
        <v>2.0975000000000001</v>
      </c>
      <c r="LT31" s="508">
        <v>1.0457000000000001</v>
      </c>
      <c r="LU31" s="508">
        <v>1.0979000000000001</v>
      </c>
      <c r="LV31" s="514">
        <v>188.5</v>
      </c>
      <c r="LW31" s="265">
        <v>145</v>
      </c>
      <c r="LY31" s="193">
        <v>145</v>
      </c>
      <c r="LZ31" s="509">
        <v>7.3709999999999998E-2</v>
      </c>
      <c r="MA31" s="514">
        <v>535.20000000000005</v>
      </c>
      <c r="MB31" s="536">
        <v>2.0924999999999998</v>
      </c>
      <c r="MC31" s="508">
        <v>1.0468</v>
      </c>
      <c r="MD31" s="332">
        <v>1.0986</v>
      </c>
      <c r="ME31" s="514">
        <v>188.3</v>
      </c>
      <c r="MF31" s="731"/>
      <c r="MG31" s="509">
        <v>6.9720000000000004E-2</v>
      </c>
      <c r="MH31" s="528">
        <v>535.1</v>
      </c>
      <c r="MI31" s="192">
        <v>2.0876999999999999</v>
      </c>
      <c r="MJ31" s="191">
        <v>1.048</v>
      </c>
      <c r="MK31" s="191">
        <v>1.0993999999999999</v>
      </c>
      <c r="ML31" s="514">
        <v>188.1</v>
      </c>
      <c r="MM31" s="279">
        <v>145</v>
      </c>
      <c r="MO31" s="176">
        <v>150</v>
      </c>
      <c r="MP31" s="340">
        <v>6.7019999999999996E-2</v>
      </c>
      <c r="MQ31" s="396">
        <v>540.1</v>
      </c>
      <c r="MR31" s="334">
        <v>2.0956999999999999</v>
      </c>
      <c r="MS31" s="334">
        <v>1.0553999999999999</v>
      </c>
      <c r="MT31" s="335">
        <v>1.0988</v>
      </c>
      <c r="MU31" s="565">
        <v>189.1</v>
      </c>
      <c r="MV31" s="731"/>
      <c r="MW31" s="340">
        <v>6.3729999999999995E-2</v>
      </c>
      <c r="MX31" s="397">
        <v>539.9</v>
      </c>
      <c r="MY31" s="334">
        <v>2.0914000000000001</v>
      </c>
      <c r="MZ31" s="335">
        <v>1.0565</v>
      </c>
      <c r="NA31" s="334">
        <v>1.0994999999999999</v>
      </c>
      <c r="NB31" s="566">
        <v>188.9</v>
      </c>
      <c r="NC31" s="260">
        <v>150</v>
      </c>
      <c r="NE31" s="291">
        <v>150</v>
      </c>
      <c r="NF31" s="409">
        <v>6.0740000000000002E-2</v>
      </c>
      <c r="NG31" s="396">
        <v>539.79999999999995</v>
      </c>
      <c r="NH31" s="415">
        <v>2.0872999999999999</v>
      </c>
      <c r="NI31" s="415">
        <v>1.0576000000000001</v>
      </c>
      <c r="NJ31" s="335">
        <v>1.1002000000000001</v>
      </c>
      <c r="NK31" s="565">
        <v>188.7</v>
      </c>
      <c r="NL31" s="731"/>
      <c r="NM31" s="409">
        <v>5.8790000000000002E-2</v>
      </c>
      <c r="NN31" s="397">
        <v>544.9</v>
      </c>
      <c r="NO31" s="415">
        <v>2.0958000000000001</v>
      </c>
      <c r="NP31" s="335">
        <v>1.0648</v>
      </c>
      <c r="NQ31" s="415">
        <v>1.0995999999999999</v>
      </c>
      <c r="NR31" s="396">
        <v>189.7</v>
      </c>
      <c r="NS31" s="240">
        <v>155</v>
      </c>
      <c r="NU31" s="288">
        <v>155</v>
      </c>
      <c r="NV31" s="511">
        <v>5.6259999999999998E-2</v>
      </c>
      <c r="NW31" s="528">
        <v>544.70000000000005</v>
      </c>
      <c r="NX31" s="522">
        <v>2.0920999999999998</v>
      </c>
      <c r="NY31" s="470">
        <v>1.0658000000000001</v>
      </c>
      <c r="NZ31" s="459">
        <v>1.1003000000000001</v>
      </c>
      <c r="OA31" s="528">
        <v>189.5</v>
      </c>
      <c r="OB31" s="731"/>
      <c r="OC31" s="511">
        <v>5.3929999999999999E-2</v>
      </c>
      <c r="OD31" s="528">
        <v>544.5</v>
      </c>
      <c r="OE31" s="574">
        <v>2.0884</v>
      </c>
      <c r="OF31" s="536">
        <v>1.0669</v>
      </c>
      <c r="OG31" s="574">
        <v>1.101</v>
      </c>
      <c r="OH31" s="476">
        <v>189.3</v>
      </c>
      <c r="OI31" s="263">
        <v>155</v>
      </c>
      <c r="OK31" s="267">
        <v>155</v>
      </c>
      <c r="OL31" s="537">
        <v>5.178E-2</v>
      </c>
      <c r="OM31" s="517">
        <v>544.29999999999995</v>
      </c>
      <c r="ON31" s="536">
        <v>2.0849000000000002</v>
      </c>
      <c r="OO31" s="459">
        <v>1.0680000000000001</v>
      </c>
      <c r="OP31" s="459">
        <v>1.1016999999999999</v>
      </c>
      <c r="OQ31" s="528">
        <v>189.1</v>
      </c>
      <c r="OR31" s="731"/>
      <c r="OS31" s="537">
        <v>5.0459999999999998E-2</v>
      </c>
      <c r="OT31" s="528">
        <v>549.5</v>
      </c>
      <c r="OU31" s="536">
        <v>2.0939999999999999</v>
      </c>
      <c r="OV31" s="536">
        <v>1.0749</v>
      </c>
      <c r="OW31" s="536">
        <v>1.101</v>
      </c>
      <c r="OX31" s="476">
        <v>190.2</v>
      </c>
      <c r="OY31" s="289">
        <v>160</v>
      </c>
      <c r="PA31" s="259">
        <v>160</v>
      </c>
      <c r="PB31" s="340">
        <v>4.8590000000000001E-2</v>
      </c>
      <c r="PC31" s="396">
        <v>549.29999999999995</v>
      </c>
      <c r="PD31" s="334">
        <v>2.0907</v>
      </c>
      <c r="PE31" s="541">
        <v>1.0760000000000001</v>
      </c>
      <c r="PF31" s="492">
        <v>1.1016999999999999</v>
      </c>
      <c r="PG31" s="540">
        <v>190</v>
      </c>
      <c r="PH31" s="731"/>
      <c r="PI31" s="340">
        <v>4.6850000000000003E-2</v>
      </c>
      <c r="PJ31" s="397">
        <v>549.20000000000005</v>
      </c>
      <c r="PK31" s="334">
        <v>2.0874999999999999</v>
      </c>
      <c r="PL31" s="492">
        <v>1.077</v>
      </c>
      <c r="PM31" s="334">
        <v>1.1024</v>
      </c>
      <c r="PN31" s="542">
        <v>189.8</v>
      </c>
      <c r="PO31" s="260">
        <v>160</v>
      </c>
      <c r="PQ31" s="261">
        <v>160</v>
      </c>
      <c r="PR31" s="409">
        <v>4.5229999999999999E-2</v>
      </c>
      <c r="PS31" s="396">
        <v>549</v>
      </c>
      <c r="PT31" s="415">
        <v>2.0844999999999998</v>
      </c>
      <c r="PU31" s="415">
        <v>1.0780000000000001</v>
      </c>
      <c r="PV31" s="492">
        <v>1.1031</v>
      </c>
      <c r="PW31" s="540">
        <v>189.5</v>
      </c>
      <c r="PX31" s="731"/>
      <c r="PY31" s="409">
        <v>4.2849999999999999E-2</v>
      </c>
      <c r="PZ31" s="397">
        <v>554</v>
      </c>
      <c r="QA31" s="415">
        <v>2.0910000000000002</v>
      </c>
      <c r="QB31" s="546">
        <v>1.0858000000000001</v>
      </c>
      <c r="QC31" s="415">
        <v>1.1029</v>
      </c>
      <c r="QD31" s="540">
        <v>190.5</v>
      </c>
      <c r="QE31" s="240">
        <v>165</v>
      </c>
      <c r="QG31" s="264">
        <v>165</v>
      </c>
      <c r="QH31" s="512">
        <v>4.0230000000000002E-2</v>
      </c>
      <c r="QI31" s="514">
        <v>553.70000000000005</v>
      </c>
      <c r="QJ31" s="522">
        <v>2.0855000000000001</v>
      </c>
      <c r="QK31" s="523">
        <v>1.0878000000000001</v>
      </c>
      <c r="QL31" s="387">
        <v>1.1043000000000001</v>
      </c>
      <c r="QM31" s="526">
        <v>190.1</v>
      </c>
      <c r="QN31" s="731"/>
      <c r="QO31" s="512">
        <v>3.8399999999999997E-2</v>
      </c>
      <c r="QP31" s="532">
        <v>558.79999999999995</v>
      </c>
      <c r="QQ31" s="255">
        <v>2.0926999999999998</v>
      </c>
      <c r="QR31" s="191">
        <v>1.0952999999999999</v>
      </c>
      <c r="QS31" s="256">
        <v>1.1040000000000001</v>
      </c>
      <c r="QT31" s="527">
        <v>191</v>
      </c>
      <c r="QU31" s="265">
        <v>170</v>
      </c>
      <c r="QW31" s="193">
        <v>170</v>
      </c>
      <c r="QX31" s="537">
        <v>3.6290000000000003E-2</v>
      </c>
      <c r="QY31" s="517">
        <v>558.5</v>
      </c>
      <c r="QZ31" s="536">
        <v>2.0876999999999999</v>
      </c>
      <c r="RA31" s="508">
        <v>1.0972999999999999</v>
      </c>
      <c r="RB31" s="329">
        <v>1.1053999999999999</v>
      </c>
      <c r="RC31" s="526">
        <v>190.6</v>
      </c>
      <c r="RD31" s="731"/>
      <c r="RE31" s="509">
        <v>3.4380000000000001E-2</v>
      </c>
      <c r="RF31" s="597">
        <v>558.1</v>
      </c>
      <c r="RG31" s="536">
        <v>2.0829</v>
      </c>
      <c r="RH31" s="508">
        <v>1.0992999999999999</v>
      </c>
      <c r="RI31" s="508">
        <v>1.1067</v>
      </c>
      <c r="RJ31" s="526">
        <v>190.2</v>
      </c>
      <c r="RK31" s="279">
        <v>170</v>
      </c>
      <c r="RM31" s="270">
        <v>175</v>
      </c>
      <c r="RN31" s="340">
        <v>3.1519999999999999E-2</v>
      </c>
      <c r="RO31" s="396">
        <v>563</v>
      </c>
      <c r="RP31" s="334">
        <v>2.0863999999999998</v>
      </c>
      <c r="RQ31" s="334">
        <v>1.1084000000000001</v>
      </c>
      <c r="RR31" s="492">
        <v>1.1075999999999999</v>
      </c>
      <c r="RS31" s="489">
        <v>190.8</v>
      </c>
      <c r="RT31" s="731"/>
      <c r="RU31" s="490">
        <v>2.9149999999999999E-2</v>
      </c>
      <c r="RV31" s="397">
        <v>567.9</v>
      </c>
      <c r="RW31" s="334">
        <v>2.0905999999999998</v>
      </c>
      <c r="RX31" s="491">
        <v>1.1173</v>
      </c>
      <c r="RY31" s="334">
        <v>1.1084000000000001</v>
      </c>
      <c r="RZ31" s="488">
        <v>191.5</v>
      </c>
      <c r="SA31" s="260">
        <v>180</v>
      </c>
      <c r="SC31" s="268">
        <v>180</v>
      </c>
      <c r="SD31" s="409">
        <v>2.6769999999999999E-2</v>
      </c>
      <c r="SE31" s="396">
        <v>567.20000000000005</v>
      </c>
      <c r="SF31" s="415">
        <v>2.0830000000000002</v>
      </c>
      <c r="SG31" s="499">
        <v>1.121</v>
      </c>
      <c r="SH31" s="500">
        <v>1.111</v>
      </c>
      <c r="SI31" s="489">
        <v>190.8</v>
      </c>
      <c r="SJ31" s="731"/>
      <c r="SK31" s="409">
        <v>2.5090000000000001E-2</v>
      </c>
      <c r="SL31" s="176">
        <v>572.20000000000005</v>
      </c>
      <c r="SM31" s="415">
        <v>2.0882000000000001</v>
      </c>
      <c r="SN31" s="499">
        <v>1.1294999999999999</v>
      </c>
      <c r="SO31" s="415">
        <v>1.1115999999999999</v>
      </c>
      <c r="SP31" s="190">
        <v>191.5</v>
      </c>
      <c r="SQ31" s="245">
        <v>185</v>
      </c>
      <c r="SS31" s="268">
        <v>190</v>
      </c>
      <c r="ST31" s="409">
        <v>2.3630000000000002E-2</v>
      </c>
      <c r="SU31" s="170">
        <v>577.20000000000005</v>
      </c>
      <c r="SV31" s="415">
        <v>2.0939000000000001</v>
      </c>
      <c r="SW31" s="499">
        <v>1.1377999999999999</v>
      </c>
      <c r="SX31" s="499">
        <v>1.1121000000000001</v>
      </c>
      <c r="SY31" s="190">
        <v>192.3</v>
      </c>
      <c r="SZ31" s="731"/>
      <c r="TA31" s="409">
        <v>2.206E-2</v>
      </c>
      <c r="TB31" s="397">
        <v>576.6</v>
      </c>
      <c r="TC31" s="415">
        <v>2.0876000000000001</v>
      </c>
      <c r="TD31" s="491">
        <v>1.1414</v>
      </c>
      <c r="TE31" s="334">
        <v>1.1145</v>
      </c>
      <c r="TF31" s="488">
        <v>191.6</v>
      </c>
      <c r="TG31" s="240">
        <v>190</v>
      </c>
      <c r="TI31" s="176">
        <v>195</v>
      </c>
      <c r="TJ31" s="340">
        <v>2.0959999999999999E-2</v>
      </c>
      <c r="TK31" s="398">
        <v>581.70000000000005</v>
      </c>
      <c r="TL31" s="334">
        <v>2.0939000000000001</v>
      </c>
      <c r="TM31" s="491">
        <v>1.1493</v>
      </c>
      <c r="TN31" s="491">
        <v>1.1149</v>
      </c>
      <c r="TO31" s="489">
        <v>192.4</v>
      </c>
      <c r="TP31" s="731"/>
      <c r="TQ31" s="490">
        <v>1.9709999999999998E-2</v>
      </c>
      <c r="TR31" s="451">
        <v>581.1</v>
      </c>
      <c r="TS31" s="334">
        <v>2.0882999999999998</v>
      </c>
      <c r="TT31" s="491">
        <v>1.1528</v>
      </c>
      <c r="TU31" s="602">
        <v>1.1173</v>
      </c>
      <c r="TV31" s="489">
        <v>191.8</v>
      </c>
      <c r="TW31" s="271">
        <v>195</v>
      </c>
      <c r="TY31" s="185">
        <v>200</v>
      </c>
      <c r="TZ31" s="474">
        <v>1.8849999999999999E-2</v>
      </c>
      <c r="UA31" s="467">
        <v>586.29999999999995</v>
      </c>
      <c r="UB31" s="473">
        <v>2.0952000000000002</v>
      </c>
      <c r="UC31" s="491">
        <v>1.1604000000000001</v>
      </c>
      <c r="UD31" s="610">
        <v>1.1173999999999999</v>
      </c>
      <c r="UE31" s="489">
        <v>192.7</v>
      </c>
      <c r="UF31" s="749"/>
      <c r="UG31" s="474">
        <v>1.7840000000000002E-2</v>
      </c>
      <c r="UH31" s="478">
        <v>585.70000000000005</v>
      </c>
      <c r="UI31" s="473">
        <v>2.09</v>
      </c>
      <c r="UJ31" s="610">
        <v>1.1637999999999999</v>
      </c>
      <c r="UK31" s="473">
        <v>1.1197999999999999</v>
      </c>
      <c r="UL31" s="488">
        <v>192.1</v>
      </c>
      <c r="UM31" s="310">
        <v>200</v>
      </c>
      <c r="UO31" s="247">
        <v>205</v>
      </c>
      <c r="UP31" s="464">
        <v>1.6310000000000002E-2</v>
      </c>
      <c r="UQ31" s="467">
        <v>590.29999999999995</v>
      </c>
      <c r="UR31" s="471">
        <v>2.0926999999999998</v>
      </c>
      <c r="US31" s="499">
        <v>1.1744000000000001</v>
      </c>
      <c r="UT31" s="610">
        <v>1.1221000000000001</v>
      </c>
      <c r="UU31" s="489">
        <v>192.4</v>
      </c>
      <c r="UV31" s="749"/>
      <c r="UW31" s="497">
        <v>1.5049999999999999E-2</v>
      </c>
      <c r="UX31" s="478">
        <v>595.1</v>
      </c>
      <c r="UY31" s="471">
        <v>2.0960000000000001</v>
      </c>
      <c r="UZ31" s="622">
        <v>1.1846000000000001</v>
      </c>
      <c r="VA31" s="471">
        <v>1.1241000000000001</v>
      </c>
      <c r="VB31" s="489">
        <v>192.8</v>
      </c>
      <c r="VC31" s="248">
        <v>210</v>
      </c>
      <c r="VE31" s="254">
        <v>210</v>
      </c>
      <c r="VF31" s="512">
        <v>1.379E-2</v>
      </c>
      <c r="VG31" s="514">
        <v>593.9</v>
      </c>
      <c r="VH31" s="522">
        <v>2.0876000000000001</v>
      </c>
      <c r="VI31" s="523">
        <v>1.1912</v>
      </c>
      <c r="VJ31" s="339">
        <v>1.1288</v>
      </c>
      <c r="VK31" s="527">
        <v>191.7</v>
      </c>
      <c r="VL31" s="749"/>
      <c r="VM31" s="512">
        <v>1.289E-2</v>
      </c>
      <c r="VN31" s="532">
        <v>598.79999999999995</v>
      </c>
      <c r="VO31" s="522">
        <v>2.0920999999999998</v>
      </c>
      <c r="VP31" s="508">
        <v>1.2009000000000001</v>
      </c>
      <c r="VQ31" s="522">
        <v>1.1305000000000001</v>
      </c>
      <c r="VR31" s="526">
        <v>192.3</v>
      </c>
      <c r="VS31" s="257">
        <v>215</v>
      </c>
      <c r="VU31" s="193">
        <v>220</v>
      </c>
      <c r="VV31" s="537">
        <v>1.2120000000000001E-2</v>
      </c>
      <c r="VW31" s="514">
        <v>603.70000000000005</v>
      </c>
      <c r="VX31" s="536">
        <v>2.097</v>
      </c>
      <c r="VY31" s="508">
        <v>1.2101999999999999</v>
      </c>
      <c r="VZ31" s="629">
        <v>1.1319999999999999</v>
      </c>
      <c r="WA31" s="526">
        <v>192.9</v>
      </c>
      <c r="WB31" s="749"/>
      <c r="WC31" s="509">
        <v>1.129E-2</v>
      </c>
      <c r="WD31" s="528">
        <v>602.6</v>
      </c>
      <c r="WE31" s="536">
        <v>2.09</v>
      </c>
      <c r="WF31" s="508">
        <v>1.2165999999999999</v>
      </c>
      <c r="WG31" s="508">
        <v>1.1365000000000001</v>
      </c>
      <c r="WH31" s="526">
        <v>191.9</v>
      </c>
      <c r="WI31" s="194">
        <v>220</v>
      </c>
      <c r="WK31" s="193">
        <v>225</v>
      </c>
      <c r="WL31" s="509">
        <v>1.0710000000000001E-2</v>
      </c>
      <c r="WM31" s="514">
        <v>607.6</v>
      </c>
      <c r="WN31" s="536">
        <v>2.0956999999999999</v>
      </c>
      <c r="WO31" s="508">
        <v>1.2253000000000001</v>
      </c>
      <c r="WP31" s="492">
        <v>1.1375999999999999</v>
      </c>
      <c r="WQ31" s="526">
        <v>192.7</v>
      </c>
      <c r="WR31" s="749"/>
      <c r="WS31" s="509">
        <v>1.0200000000000001E-2</v>
      </c>
      <c r="WT31" s="528">
        <v>612.70000000000005</v>
      </c>
      <c r="WU31" s="536">
        <v>2.1017000000000001</v>
      </c>
      <c r="WV31" s="508">
        <v>1.2336</v>
      </c>
      <c r="WW31" s="536">
        <v>1.1386000000000001</v>
      </c>
      <c r="WX31" s="530">
        <v>193.5</v>
      </c>
      <c r="WY31" s="194">
        <v>230</v>
      </c>
      <c r="WZ31" s="400"/>
      <c r="XA31" s="254">
        <v>230</v>
      </c>
      <c r="XB31" s="512">
        <v>9.5999999999999992E-3</v>
      </c>
      <c r="XC31" s="514">
        <v>611.6</v>
      </c>
      <c r="XD31" s="522">
        <v>2.0956999999999999</v>
      </c>
      <c r="XE31" s="523">
        <v>1.2397</v>
      </c>
      <c r="XF31" s="492">
        <v>1.1428</v>
      </c>
      <c r="XG31" s="526">
        <v>192.7</v>
      </c>
      <c r="XH31" s="749"/>
      <c r="XI31" s="512">
        <v>9.1999999999999998E-3</v>
      </c>
      <c r="XJ31" s="528">
        <v>616.79999999999995</v>
      </c>
      <c r="XK31" s="523">
        <v>2.1021999999999998</v>
      </c>
      <c r="XL31" s="523">
        <v>1.2475000000000001</v>
      </c>
      <c r="XM31" s="522">
        <v>1.1434</v>
      </c>
      <c r="XN31" s="526">
        <v>193.6</v>
      </c>
      <c r="XO31" s="257">
        <v>235</v>
      </c>
      <c r="XP31" s="226"/>
    </row>
    <row r="32" spans="1:640" ht="15.75" thickBot="1" x14ac:dyDescent="0.3">
      <c r="A32" s="282">
        <v>70</v>
      </c>
      <c r="B32" s="365">
        <v>2.7932999999999999</v>
      </c>
      <c r="C32" s="368">
        <v>465.8</v>
      </c>
      <c r="D32" s="372">
        <v>2.2170000000000001</v>
      </c>
      <c r="E32" s="360">
        <v>0.91100000000000003</v>
      </c>
      <c r="F32" s="360">
        <v>1.0989</v>
      </c>
      <c r="G32" s="172">
        <v>175.1</v>
      </c>
      <c r="H32" s="266"/>
      <c r="I32" s="365">
        <v>1.4367799999999999</v>
      </c>
      <c r="J32" s="374">
        <v>474.8</v>
      </c>
      <c r="K32" s="360">
        <v>2.1867000000000001</v>
      </c>
      <c r="L32" s="358">
        <v>0.92820000000000003</v>
      </c>
      <c r="M32" s="360">
        <v>1.0973999999999999</v>
      </c>
      <c r="N32" s="368">
        <v>177.3</v>
      </c>
      <c r="O32" s="382">
        <v>80</v>
      </c>
      <c r="P32" s="238"/>
      <c r="Q32" s="282">
        <v>90</v>
      </c>
      <c r="R32" s="363">
        <v>0.98328000000000004</v>
      </c>
      <c r="S32" s="368">
        <v>484.1</v>
      </c>
      <c r="T32" s="358">
        <v>2.1796000000000002</v>
      </c>
      <c r="U32" s="358">
        <v>0.94489999999999996</v>
      </c>
      <c r="V32" s="358">
        <v>1.0960000000000001</v>
      </c>
      <c r="W32" s="368">
        <v>179.6</v>
      </c>
      <c r="X32" s="266"/>
      <c r="Y32" s="363">
        <v>0.74738000000000004</v>
      </c>
      <c r="Z32" s="374">
        <v>488.7</v>
      </c>
      <c r="AA32" s="358">
        <v>2.1688999999999998</v>
      </c>
      <c r="AB32" s="358">
        <v>0.95350000000000001</v>
      </c>
      <c r="AC32" s="358">
        <v>1.0953999999999999</v>
      </c>
      <c r="AD32" s="368">
        <v>180.6</v>
      </c>
      <c r="AE32" s="283">
        <v>95</v>
      </c>
      <c r="AF32" s="37"/>
      <c r="AG32" s="243">
        <v>95</v>
      </c>
      <c r="AH32" s="340">
        <v>0.59736999999999996</v>
      </c>
      <c r="AI32" s="396">
        <v>488.6</v>
      </c>
      <c r="AJ32" s="334">
        <v>2.1505000000000001</v>
      </c>
      <c r="AK32" s="334">
        <v>0.95430000000000004</v>
      </c>
      <c r="AL32" s="334">
        <v>1.0959000000000001</v>
      </c>
      <c r="AM32" s="404">
        <v>180.5</v>
      </c>
      <c r="AN32" s="731"/>
      <c r="AO32" s="393">
        <v>0.50402999999999998</v>
      </c>
      <c r="AP32" s="397">
        <v>493.3</v>
      </c>
      <c r="AQ32" s="334">
        <v>2.1484000000000001</v>
      </c>
      <c r="AR32" s="334">
        <v>0.9627</v>
      </c>
      <c r="AS32" s="334">
        <v>1.0952999999999999</v>
      </c>
      <c r="AT32" s="407">
        <v>181.5</v>
      </c>
      <c r="AU32" s="240">
        <v>100</v>
      </c>
      <c r="AV32" s="37"/>
      <c r="AW32" s="281">
        <v>105</v>
      </c>
      <c r="AX32" s="409">
        <v>0.43763999999999997</v>
      </c>
      <c r="AY32" s="396">
        <v>498.1</v>
      </c>
      <c r="AZ32" s="415">
        <v>2.1484999999999999</v>
      </c>
      <c r="BA32" s="415">
        <v>0.97099999999999997</v>
      </c>
      <c r="BB32" s="419">
        <v>1.0948</v>
      </c>
      <c r="BC32" s="394">
        <v>182.6</v>
      </c>
      <c r="BD32" s="731"/>
      <c r="BE32" s="409">
        <v>0.38256000000000001</v>
      </c>
      <c r="BF32" s="397">
        <v>498</v>
      </c>
      <c r="BG32" s="415">
        <v>2.1375000000000002</v>
      </c>
      <c r="BH32" s="334">
        <v>0.97160000000000002</v>
      </c>
      <c r="BI32" s="415">
        <v>1.0951</v>
      </c>
      <c r="BJ32" s="394">
        <v>182.5</v>
      </c>
      <c r="BK32" s="240">
        <v>105</v>
      </c>
      <c r="BL32" s="37"/>
      <c r="BM32" s="243">
        <v>110</v>
      </c>
      <c r="BN32" s="409">
        <v>0.34447</v>
      </c>
      <c r="BO32" s="396">
        <v>502.8</v>
      </c>
      <c r="BP32" s="415">
        <v>2.1404999999999998</v>
      </c>
      <c r="BQ32" s="415">
        <v>0.9798</v>
      </c>
      <c r="BR32" s="426">
        <v>1.0946</v>
      </c>
      <c r="BS32" s="425">
        <v>183.5</v>
      </c>
      <c r="BT32" s="731"/>
      <c r="BU32" s="409">
        <v>0.30969000000000002</v>
      </c>
      <c r="BV32" s="397">
        <v>502.7</v>
      </c>
      <c r="BW32" s="415">
        <v>2.1318000000000001</v>
      </c>
      <c r="BX32" s="334">
        <v>0.98040000000000005</v>
      </c>
      <c r="BY32" s="415">
        <v>1.0949</v>
      </c>
      <c r="BZ32" s="397">
        <v>183.4</v>
      </c>
      <c r="CA32" s="240">
        <v>110</v>
      </c>
      <c r="CB32" s="37"/>
      <c r="CC32" s="297">
        <v>110</v>
      </c>
      <c r="CD32" s="340">
        <v>0.30562</v>
      </c>
      <c r="CE32" s="396">
        <v>502.6</v>
      </c>
      <c r="CF32" s="334">
        <v>2.1305999999999998</v>
      </c>
      <c r="CG32" s="334">
        <v>0.98040000000000005</v>
      </c>
      <c r="CH32" s="426">
        <v>1.095</v>
      </c>
      <c r="CI32" s="425">
        <v>183.4</v>
      </c>
      <c r="CJ32" s="731"/>
      <c r="CK32" s="340">
        <v>0.28514</v>
      </c>
      <c r="CL32" s="427">
        <v>507.5</v>
      </c>
      <c r="CM32" s="436">
        <v>2.1366000000000001</v>
      </c>
      <c r="CN32" s="334">
        <v>0.98839999999999995</v>
      </c>
      <c r="CO32" s="334">
        <v>1.0943000000000001</v>
      </c>
      <c r="CP32" s="396">
        <v>184.5</v>
      </c>
      <c r="CQ32" s="300">
        <v>115</v>
      </c>
      <c r="CR32" s="37"/>
      <c r="CS32" s="243">
        <v>115</v>
      </c>
      <c r="CT32" s="340">
        <v>0.26116</v>
      </c>
      <c r="CU32" s="396">
        <v>507.4</v>
      </c>
      <c r="CV32" s="334">
        <v>2.1293000000000002</v>
      </c>
      <c r="CW32" s="334">
        <v>0.98899999999999999</v>
      </c>
      <c r="CX32" s="339">
        <v>1.0947</v>
      </c>
      <c r="CY32" s="442">
        <v>184.4</v>
      </c>
      <c r="CZ32" s="731"/>
      <c r="DA32" s="340">
        <v>0.24091000000000001</v>
      </c>
      <c r="DB32" s="397">
        <v>507.3</v>
      </c>
      <c r="DC32" s="334">
        <v>2.1225999999999998</v>
      </c>
      <c r="DD32" s="334">
        <v>0.98950000000000005</v>
      </c>
      <c r="DE32" s="334">
        <v>1.095</v>
      </c>
      <c r="DF32" s="449">
        <v>184.2</v>
      </c>
      <c r="DG32" s="240">
        <v>115</v>
      </c>
      <c r="DH32" s="37"/>
      <c r="DI32" s="243">
        <v>120</v>
      </c>
      <c r="DJ32" s="409">
        <v>0.22650000000000001</v>
      </c>
      <c r="DK32" s="398">
        <v>512.20000000000005</v>
      </c>
      <c r="DL32" s="415">
        <v>2.1291000000000002</v>
      </c>
      <c r="DM32" s="415">
        <v>0.99739999999999995</v>
      </c>
      <c r="DN32" s="334">
        <v>1.0944</v>
      </c>
      <c r="DO32" s="442">
        <v>185.3</v>
      </c>
      <c r="DP32" s="731"/>
      <c r="DQ32" s="409">
        <v>0.21124000000000001</v>
      </c>
      <c r="DR32" s="451">
        <v>512.1</v>
      </c>
      <c r="DS32" s="415">
        <v>2.1234000000000002</v>
      </c>
      <c r="DT32" s="415">
        <v>0.99790000000000001</v>
      </c>
      <c r="DU32" s="415">
        <v>1.0947</v>
      </c>
      <c r="DV32" s="396">
        <v>185.2</v>
      </c>
      <c r="DW32" s="240">
        <v>120</v>
      </c>
      <c r="DX32" s="37"/>
      <c r="DY32" s="247">
        <v>120</v>
      </c>
      <c r="DZ32" s="464">
        <v>0.19789999999999999</v>
      </c>
      <c r="EA32" s="467">
        <v>512</v>
      </c>
      <c r="EB32" s="471">
        <v>2.1179000000000001</v>
      </c>
      <c r="EC32" s="470">
        <v>0.99850000000000005</v>
      </c>
      <c r="ED32" s="471">
        <v>1.0951</v>
      </c>
      <c r="EE32" s="467">
        <v>185.1</v>
      </c>
      <c r="EF32" s="731"/>
      <c r="EG32" s="463">
        <v>0.18856999999999999</v>
      </c>
      <c r="EH32" s="478">
        <v>516.9</v>
      </c>
      <c r="EI32" s="471">
        <v>2.1255000000000002</v>
      </c>
      <c r="EJ32" s="403">
        <v>1.0062</v>
      </c>
      <c r="EK32" s="473">
        <v>1.0944</v>
      </c>
      <c r="EL32" s="476">
        <v>186.2</v>
      </c>
      <c r="EM32" s="248">
        <v>125</v>
      </c>
      <c r="EN32" s="37"/>
      <c r="EO32" s="262">
        <v>125</v>
      </c>
      <c r="EP32" s="474">
        <v>0.17796999999999999</v>
      </c>
      <c r="EQ32" s="467">
        <v>516.9</v>
      </c>
      <c r="ER32" s="473">
        <v>2.1206999999999998</v>
      </c>
      <c r="ES32" s="459">
        <v>1.0066999999999999</v>
      </c>
      <c r="ET32" s="403">
        <v>1.0947</v>
      </c>
      <c r="EU32" s="465">
        <v>186.1</v>
      </c>
      <c r="EV32" s="731"/>
      <c r="EW32" s="474">
        <v>0.16849</v>
      </c>
      <c r="EX32" s="478">
        <v>516.79999999999995</v>
      </c>
      <c r="EY32" s="473">
        <v>2.1160999999999999</v>
      </c>
      <c r="EZ32" s="403">
        <v>1.0072000000000001</v>
      </c>
      <c r="FA32" s="473">
        <v>1.0951</v>
      </c>
      <c r="FB32" s="465">
        <v>186</v>
      </c>
      <c r="FC32" s="248">
        <v>125</v>
      </c>
      <c r="FD32" s="37"/>
      <c r="FE32" s="268">
        <v>125</v>
      </c>
      <c r="FF32" s="340">
        <v>0.15995000000000001</v>
      </c>
      <c r="FG32" s="396">
        <v>516.70000000000005</v>
      </c>
      <c r="FH32" s="334">
        <v>2.1118000000000001</v>
      </c>
      <c r="FI32" s="334">
        <v>1.0078</v>
      </c>
      <c r="FJ32" s="492">
        <v>1.0953999999999999</v>
      </c>
      <c r="FK32" s="489">
        <v>185.9</v>
      </c>
      <c r="FL32" s="731"/>
      <c r="FM32" s="490">
        <v>0.15423000000000001</v>
      </c>
      <c r="FN32" s="397">
        <v>521.70000000000005</v>
      </c>
      <c r="FO32" s="334">
        <v>2.1202999999999999</v>
      </c>
      <c r="FP32" s="492">
        <v>1.0153000000000001</v>
      </c>
      <c r="FQ32" s="334">
        <v>1.0947</v>
      </c>
      <c r="FR32" s="488">
        <v>187</v>
      </c>
      <c r="FS32" s="240">
        <v>125</v>
      </c>
      <c r="FT32" s="37"/>
      <c r="FU32" s="268">
        <v>130</v>
      </c>
      <c r="FV32" s="409">
        <v>0.14712</v>
      </c>
      <c r="FW32" s="396">
        <v>521.6</v>
      </c>
      <c r="FX32" s="415">
        <v>2.1164000000000001</v>
      </c>
      <c r="FY32" s="415">
        <v>1.0158</v>
      </c>
      <c r="FZ32" s="492">
        <v>1.095</v>
      </c>
      <c r="GA32" s="489">
        <v>186.9</v>
      </c>
      <c r="GB32" s="731"/>
      <c r="GC32" s="409">
        <v>0.14063000000000001</v>
      </c>
      <c r="GD32" s="397">
        <v>521.5</v>
      </c>
      <c r="GE32" s="415">
        <v>2.1126</v>
      </c>
      <c r="GF32" s="500">
        <v>1.0163</v>
      </c>
      <c r="GG32" s="372">
        <v>1.0952999999999999</v>
      </c>
      <c r="GH32" s="489">
        <v>186.8</v>
      </c>
      <c r="GI32" s="240">
        <v>130</v>
      </c>
      <c r="GJ32" s="37"/>
      <c r="GK32" s="243">
        <v>130</v>
      </c>
      <c r="GL32" s="409">
        <v>0.13466</v>
      </c>
      <c r="GM32" s="404">
        <v>521.4</v>
      </c>
      <c r="GN32" s="415">
        <v>2.109</v>
      </c>
      <c r="GO32" s="415">
        <v>1.0167999999999999</v>
      </c>
      <c r="GP32" s="339">
        <v>1.0955999999999999</v>
      </c>
      <c r="GQ32" s="396">
        <v>186.7</v>
      </c>
      <c r="GR32" s="731"/>
      <c r="GS32" s="409">
        <v>0.13092000000000001</v>
      </c>
      <c r="GT32" s="397">
        <v>526.4</v>
      </c>
      <c r="GU32" s="241">
        <v>2.1181000000000001</v>
      </c>
      <c r="GV32" s="253">
        <v>1.0242</v>
      </c>
      <c r="GW32" s="241">
        <v>1.0949</v>
      </c>
      <c r="GX32" s="397">
        <v>187.8</v>
      </c>
      <c r="GY32" s="240">
        <v>135</v>
      </c>
      <c r="GZ32" s="37"/>
      <c r="HA32" s="243">
        <v>135</v>
      </c>
      <c r="HB32" s="340">
        <v>0.12579000000000001</v>
      </c>
      <c r="HC32" s="396">
        <v>526.4</v>
      </c>
      <c r="HD32" s="334">
        <v>2.1147</v>
      </c>
      <c r="HE32" s="334">
        <v>1.0246999999999999</v>
      </c>
      <c r="HF32" s="339">
        <v>1.0952</v>
      </c>
      <c r="HG32" s="396">
        <v>187.7</v>
      </c>
      <c r="HH32" s="731"/>
      <c r="HI32" s="340">
        <v>0.12105</v>
      </c>
      <c r="HJ32" s="397">
        <v>526.29999999999995</v>
      </c>
      <c r="HK32" s="334">
        <v>2.1114999999999999</v>
      </c>
      <c r="HL32" s="333">
        <v>1.0251999999999999</v>
      </c>
      <c r="HM32" s="334">
        <v>1.0954999999999999</v>
      </c>
      <c r="HN32" s="396">
        <v>187.6</v>
      </c>
      <c r="HO32" s="240">
        <v>135</v>
      </c>
      <c r="HP32" s="37"/>
      <c r="HQ32" s="268">
        <v>135</v>
      </c>
      <c r="HR32" s="340">
        <v>0.11665</v>
      </c>
      <c r="HS32" s="396">
        <v>526.20000000000005</v>
      </c>
      <c r="HT32" s="334">
        <v>2.1084000000000001</v>
      </c>
      <c r="HU32" s="491">
        <v>1.0257000000000001</v>
      </c>
      <c r="HV32" s="492">
        <v>1.0958000000000001</v>
      </c>
      <c r="HW32" s="489">
        <v>187.5</v>
      </c>
      <c r="HX32" s="731"/>
      <c r="HY32" s="340">
        <v>0.11255999999999999</v>
      </c>
      <c r="HZ32" s="397">
        <v>526.1</v>
      </c>
      <c r="IA32" s="334">
        <v>2.1053999999999999</v>
      </c>
      <c r="IB32" s="492">
        <v>1.0262</v>
      </c>
      <c r="IC32" s="334">
        <v>1.0961000000000001</v>
      </c>
      <c r="ID32" s="488">
        <v>187.4</v>
      </c>
      <c r="IE32" s="240">
        <v>135</v>
      </c>
      <c r="IG32" s="268">
        <v>140</v>
      </c>
      <c r="IH32" s="409">
        <v>0.11017</v>
      </c>
      <c r="II32" s="396">
        <v>531.20000000000005</v>
      </c>
      <c r="IJ32" s="415">
        <v>2.1151</v>
      </c>
      <c r="IK32" s="415">
        <v>1.0334000000000001</v>
      </c>
      <c r="IL32" s="492">
        <v>1.0952999999999999</v>
      </c>
      <c r="IM32" s="489">
        <v>188.5</v>
      </c>
      <c r="IN32" s="731"/>
      <c r="IO32" s="409">
        <v>0.10654</v>
      </c>
      <c r="IP32" s="397">
        <v>531.1</v>
      </c>
      <c r="IQ32" s="415">
        <v>2.1122000000000001</v>
      </c>
      <c r="IR32" s="500">
        <v>1.0338000000000001</v>
      </c>
      <c r="IS32" s="415">
        <v>1.0955999999999999</v>
      </c>
      <c r="IT32" s="489">
        <v>188.4</v>
      </c>
      <c r="IU32" s="240">
        <v>140</v>
      </c>
      <c r="IW32" s="264">
        <v>140</v>
      </c>
      <c r="IX32" s="512">
        <v>0.10316</v>
      </c>
      <c r="IY32" s="514">
        <v>531</v>
      </c>
      <c r="IZ32" s="522">
        <v>2.1095000000000002</v>
      </c>
      <c r="JA32" s="523">
        <v>1.0343</v>
      </c>
      <c r="JB32" s="388">
        <v>1.0959000000000001</v>
      </c>
      <c r="JC32" s="526">
        <v>188.3</v>
      </c>
      <c r="JD32" s="731"/>
      <c r="JE32" s="512">
        <v>9.9949999999999997E-2</v>
      </c>
      <c r="JF32" s="528">
        <v>531</v>
      </c>
      <c r="JG32" s="522">
        <v>2.1069</v>
      </c>
      <c r="JH32" s="391">
        <v>1.0347999999999999</v>
      </c>
      <c r="JI32" s="522">
        <v>1.0962000000000001</v>
      </c>
      <c r="JJ32" s="530">
        <v>188.2</v>
      </c>
      <c r="JK32" s="257">
        <v>140</v>
      </c>
      <c r="JM32" s="264">
        <v>140</v>
      </c>
      <c r="JN32" s="509">
        <v>9.6960000000000005E-2</v>
      </c>
      <c r="JO32" s="514">
        <v>530.9</v>
      </c>
      <c r="JP32" s="536">
        <v>2.1042999999999998</v>
      </c>
      <c r="JQ32" s="508">
        <v>1.0351999999999999</v>
      </c>
      <c r="JR32" s="387">
        <v>1.0965</v>
      </c>
      <c r="JS32" s="526">
        <v>188.1</v>
      </c>
      <c r="JT32" s="731"/>
      <c r="JU32" s="509">
        <v>9.536E-2</v>
      </c>
      <c r="JV32" s="528">
        <v>536</v>
      </c>
      <c r="JW32" s="536">
        <v>2.1143000000000001</v>
      </c>
      <c r="JX32" s="508">
        <v>1.0423</v>
      </c>
      <c r="JY32" s="508">
        <v>1.0956999999999999</v>
      </c>
      <c r="JZ32" s="514">
        <v>189.2</v>
      </c>
      <c r="KA32" s="279">
        <v>145</v>
      </c>
      <c r="KC32" s="176">
        <v>145</v>
      </c>
      <c r="KD32" s="340">
        <v>9.264E-2</v>
      </c>
      <c r="KE32" s="396">
        <v>535.9</v>
      </c>
      <c r="KF32" s="170">
        <v>2.1118999999999999</v>
      </c>
      <c r="KG32" s="202">
        <v>1.0427999999999999</v>
      </c>
      <c r="KH32" s="170">
        <v>1.0960000000000001</v>
      </c>
      <c r="KI32" s="396">
        <v>189.1</v>
      </c>
      <c r="KJ32" s="731"/>
      <c r="KK32" s="340">
        <v>9.0090000000000003E-2</v>
      </c>
      <c r="KL32" s="397">
        <v>535.9</v>
      </c>
      <c r="KM32" s="334">
        <v>2.1095000000000002</v>
      </c>
      <c r="KN32" s="339">
        <v>1.0431999999999999</v>
      </c>
      <c r="KO32" s="334">
        <v>1.0963000000000001</v>
      </c>
      <c r="KP32" s="396">
        <v>189</v>
      </c>
      <c r="KQ32" s="260">
        <v>145</v>
      </c>
      <c r="KS32" s="243">
        <v>145</v>
      </c>
      <c r="KT32" s="409">
        <v>8.7669999999999998E-2</v>
      </c>
      <c r="KU32" s="544">
        <v>535.79999999999995</v>
      </c>
      <c r="KV32" s="415">
        <v>2.1072000000000002</v>
      </c>
      <c r="KW32" s="417">
        <v>1.0437000000000001</v>
      </c>
      <c r="KX32" s="334">
        <v>1.0966</v>
      </c>
      <c r="KY32" s="543">
        <v>189</v>
      </c>
      <c r="KZ32" s="731"/>
      <c r="LA32" s="340">
        <v>8.5360000000000005E-2</v>
      </c>
      <c r="LB32" s="397">
        <v>535.70000000000005</v>
      </c>
      <c r="LC32" s="415">
        <v>2.1049000000000002</v>
      </c>
      <c r="LD32" s="387">
        <v>1.0441</v>
      </c>
      <c r="LE32" s="415">
        <v>1.0968</v>
      </c>
      <c r="LF32" s="396">
        <v>188.9</v>
      </c>
      <c r="LG32" s="240">
        <v>145</v>
      </c>
      <c r="LI32" s="254">
        <v>145</v>
      </c>
      <c r="LJ32" s="512">
        <v>8.3180000000000004E-2</v>
      </c>
      <c r="LK32" s="514">
        <v>535.6</v>
      </c>
      <c r="LL32" s="522">
        <v>2.1027999999999998</v>
      </c>
      <c r="LM32" s="523">
        <v>1.0445</v>
      </c>
      <c r="LN32" s="522">
        <v>1.0971</v>
      </c>
      <c r="LO32" s="514">
        <v>188.8</v>
      </c>
      <c r="LP32" s="731"/>
      <c r="LQ32" s="512">
        <v>7.9200000000000007E-2</v>
      </c>
      <c r="LR32" s="528">
        <v>540.70000000000005</v>
      </c>
      <c r="LS32" s="522">
        <v>2.1099000000000001</v>
      </c>
      <c r="LT32" s="508">
        <v>1.0521</v>
      </c>
      <c r="LU32" s="536">
        <v>1.0967</v>
      </c>
      <c r="LV32" s="526">
        <v>189.8</v>
      </c>
      <c r="LW32" s="257">
        <v>150</v>
      </c>
      <c r="LY32" s="199">
        <v>150</v>
      </c>
      <c r="LZ32" s="509">
        <v>7.4679999999999996E-2</v>
      </c>
      <c r="MA32" s="514">
        <v>540.5</v>
      </c>
      <c r="MB32" s="536">
        <v>2.105</v>
      </c>
      <c r="MC32" s="508">
        <v>1.0531999999999999</v>
      </c>
      <c r="MD32" s="339">
        <v>1.0973999999999999</v>
      </c>
      <c r="ME32" s="526">
        <v>189.6</v>
      </c>
      <c r="MF32" s="731"/>
      <c r="MG32" s="509">
        <v>7.0650000000000004E-2</v>
      </c>
      <c r="MH32" s="528">
        <v>540.29999999999995</v>
      </c>
      <c r="MI32" s="192">
        <v>2.1002000000000001</v>
      </c>
      <c r="MJ32" s="253">
        <v>1.0543</v>
      </c>
      <c r="MK32" s="192">
        <v>1.0981000000000001</v>
      </c>
      <c r="ML32" s="526">
        <v>189.3</v>
      </c>
      <c r="MM32" s="194">
        <v>150</v>
      </c>
      <c r="MO32" s="176">
        <v>155</v>
      </c>
      <c r="MP32" s="340">
        <v>6.7900000000000002E-2</v>
      </c>
      <c r="MQ32" s="396">
        <v>545.4</v>
      </c>
      <c r="MR32" s="334">
        <v>2.1082000000000001</v>
      </c>
      <c r="MS32" s="334">
        <v>1.0616000000000001</v>
      </c>
      <c r="MT32" s="339">
        <v>1.0974999999999999</v>
      </c>
      <c r="MU32" s="396">
        <v>190.4</v>
      </c>
      <c r="MV32" s="731"/>
      <c r="MW32" s="340">
        <v>6.4570000000000002E-2</v>
      </c>
      <c r="MX32" s="397">
        <v>545.20000000000005</v>
      </c>
      <c r="MY32" s="334">
        <v>2.1038999999999999</v>
      </c>
      <c r="MZ32" s="339">
        <v>1.0627</v>
      </c>
      <c r="NA32" s="334">
        <v>1.0982000000000001</v>
      </c>
      <c r="NB32" s="397">
        <v>190.2</v>
      </c>
      <c r="NC32" s="260">
        <v>155</v>
      </c>
      <c r="NE32" s="291">
        <v>155</v>
      </c>
      <c r="NF32" s="409">
        <v>6.1550000000000001E-2</v>
      </c>
      <c r="NG32" s="396">
        <v>545.1</v>
      </c>
      <c r="NH32" s="415">
        <v>2.0998000000000001</v>
      </c>
      <c r="NI32" s="415">
        <v>1.0637000000000001</v>
      </c>
      <c r="NJ32" s="339">
        <v>1.0989</v>
      </c>
      <c r="NK32" s="565">
        <v>189.9</v>
      </c>
      <c r="NL32" s="731"/>
      <c r="NM32" s="409">
        <v>5.9560000000000002E-2</v>
      </c>
      <c r="NN32" s="397">
        <v>550.20000000000005</v>
      </c>
      <c r="NO32" s="415">
        <v>2.1082000000000001</v>
      </c>
      <c r="NP32" s="335">
        <v>1.0709</v>
      </c>
      <c r="NQ32" s="415">
        <v>1.0983000000000001</v>
      </c>
      <c r="NR32" s="565">
        <v>191</v>
      </c>
      <c r="NS32" s="240">
        <v>160</v>
      </c>
      <c r="NU32" s="288">
        <v>160</v>
      </c>
      <c r="NV32" s="511">
        <v>5.7000000000000002E-2</v>
      </c>
      <c r="NW32" s="528">
        <v>550</v>
      </c>
      <c r="NX32" s="522">
        <v>2.1044999999999998</v>
      </c>
      <c r="NY32" s="470">
        <v>1.0719000000000001</v>
      </c>
      <c r="NZ32" s="459">
        <v>1.099</v>
      </c>
      <c r="OA32" s="528">
        <v>190.8</v>
      </c>
      <c r="OB32" s="731"/>
      <c r="OC32" s="511">
        <v>5.4649999999999997E-2</v>
      </c>
      <c r="OD32" s="528">
        <v>549.9</v>
      </c>
      <c r="OE32" s="574">
        <v>2.1008</v>
      </c>
      <c r="OF32" s="536">
        <v>1.0729</v>
      </c>
      <c r="OG32" s="574">
        <v>1.0996999999999999</v>
      </c>
      <c r="OH32" s="476">
        <v>190.6</v>
      </c>
      <c r="OI32" s="263">
        <v>160</v>
      </c>
      <c r="OK32" s="267">
        <v>160</v>
      </c>
      <c r="OL32" s="537">
        <v>5.2470000000000003E-2</v>
      </c>
      <c r="OM32" s="517">
        <v>549.70000000000005</v>
      </c>
      <c r="ON32" s="536">
        <v>2.0973000000000002</v>
      </c>
      <c r="OO32" s="459">
        <v>1.0739000000000001</v>
      </c>
      <c r="OP32" s="459">
        <v>1.1003000000000001</v>
      </c>
      <c r="OQ32" s="528">
        <v>190.4</v>
      </c>
      <c r="OR32" s="731"/>
      <c r="OS32" s="537">
        <v>5.1119999999999999E-2</v>
      </c>
      <c r="OT32" s="528">
        <v>554.9</v>
      </c>
      <c r="OU32" s="536">
        <v>2.1063000000000001</v>
      </c>
      <c r="OV32" s="536">
        <v>1.0809</v>
      </c>
      <c r="OW32" s="536">
        <v>1.0995999999999999</v>
      </c>
      <c r="OX32" s="476">
        <v>191.5</v>
      </c>
      <c r="OY32" s="289">
        <v>165</v>
      </c>
      <c r="PA32" s="259">
        <v>165</v>
      </c>
      <c r="PB32" s="340">
        <v>4.9230000000000003E-2</v>
      </c>
      <c r="PC32" s="396">
        <v>554.70000000000005</v>
      </c>
      <c r="PD32" s="334">
        <v>2.1031</v>
      </c>
      <c r="PE32" s="334">
        <v>1.0818000000000001</v>
      </c>
      <c r="PF32" s="492">
        <v>1.1003000000000001</v>
      </c>
      <c r="PG32" s="540">
        <v>191.3</v>
      </c>
      <c r="PH32" s="731"/>
      <c r="PI32" s="340">
        <v>4.7469999999999998E-2</v>
      </c>
      <c r="PJ32" s="397">
        <v>554.6</v>
      </c>
      <c r="PK32" s="334">
        <v>2.0998999999999999</v>
      </c>
      <c r="PL32" s="541">
        <v>1.0828</v>
      </c>
      <c r="PM32" s="334">
        <v>1.1009</v>
      </c>
      <c r="PN32" s="542">
        <v>191.1</v>
      </c>
      <c r="PO32" s="260">
        <v>165</v>
      </c>
      <c r="PQ32" s="261">
        <v>165</v>
      </c>
      <c r="PR32" s="409">
        <v>4.5830000000000003E-2</v>
      </c>
      <c r="PS32" s="396">
        <v>554.4</v>
      </c>
      <c r="PT32" s="415">
        <v>2.0969000000000002</v>
      </c>
      <c r="PU32" s="415">
        <v>1.0838000000000001</v>
      </c>
      <c r="PV32" s="492">
        <v>1.1015999999999999</v>
      </c>
      <c r="PW32" s="540">
        <v>190.9</v>
      </c>
      <c r="PX32" s="731"/>
      <c r="PY32" s="431">
        <v>4.342E-2</v>
      </c>
      <c r="PZ32" s="397">
        <v>559.5</v>
      </c>
      <c r="QA32" s="415">
        <v>2.1034000000000002</v>
      </c>
      <c r="QB32" s="415">
        <v>1.0914999999999999</v>
      </c>
      <c r="QC32" s="415">
        <v>1.1014999999999999</v>
      </c>
      <c r="QD32" s="396">
        <v>191.8</v>
      </c>
      <c r="QE32" s="240">
        <v>170</v>
      </c>
      <c r="QG32" s="254">
        <v>170</v>
      </c>
      <c r="QH32" s="512">
        <v>4.0759999999999998E-2</v>
      </c>
      <c r="QI32" s="514">
        <v>559.1</v>
      </c>
      <c r="QJ32" s="522">
        <v>2.0979000000000001</v>
      </c>
      <c r="QK32" s="523">
        <v>1.0933999999999999</v>
      </c>
      <c r="QL32" s="523">
        <v>1.1028</v>
      </c>
      <c r="QM32" s="526">
        <v>191.4</v>
      </c>
      <c r="QN32" s="731"/>
      <c r="QO32" s="512">
        <v>3.8899999999999997E-2</v>
      </c>
      <c r="QP32" s="532">
        <v>564.29999999999995</v>
      </c>
      <c r="QQ32" s="255">
        <v>2.105</v>
      </c>
      <c r="QR32" s="198">
        <v>1.1009</v>
      </c>
      <c r="QS32" s="255">
        <v>1.1025</v>
      </c>
      <c r="QT32" s="527">
        <v>192.3</v>
      </c>
      <c r="QU32" s="257">
        <v>175</v>
      </c>
      <c r="QW32" s="199">
        <v>175</v>
      </c>
      <c r="QX32" s="509">
        <v>3.6769999999999997E-2</v>
      </c>
      <c r="QY32" s="517">
        <v>564</v>
      </c>
      <c r="QZ32" s="536">
        <v>2.1</v>
      </c>
      <c r="RA32" s="508">
        <v>1.1027</v>
      </c>
      <c r="RB32" s="593">
        <v>1.1037999999999999</v>
      </c>
      <c r="RC32" s="526">
        <v>192</v>
      </c>
      <c r="RD32" s="731"/>
      <c r="RE32" s="509">
        <v>3.4849999999999999E-2</v>
      </c>
      <c r="RF32" s="528">
        <v>563.6</v>
      </c>
      <c r="RG32" s="536">
        <v>2.0952999999999999</v>
      </c>
      <c r="RH32" s="590">
        <v>1.1046</v>
      </c>
      <c r="RI32" s="536">
        <v>1.105</v>
      </c>
      <c r="RJ32" s="526">
        <v>191.6</v>
      </c>
      <c r="RK32" s="194">
        <v>175</v>
      </c>
      <c r="RM32" s="270">
        <v>180</v>
      </c>
      <c r="RN32" s="340">
        <v>3.1940000000000003E-2</v>
      </c>
      <c r="RO32" s="396">
        <v>568.5</v>
      </c>
      <c r="RP32" s="334">
        <v>2.0987</v>
      </c>
      <c r="RQ32" s="334">
        <v>1.1135999999999999</v>
      </c>
      <c r="RR32" s="492">
        <v>1.1059000000000001</v>
      </c>
      <c r="RS32" s="489">
        <v>192.2</v>
      </c>
      <c r="RT32" s="731"/>
      <c r="RU32" s="490">
        <v>2.954E-2</v>
      </c>
      <c r="RV32" s="397">
        <v>573.5</v>
      </c>
      <c r="RW32" s="334">
        <v>2.1029</v>
      </c>
      <c r="RX32" s="491">
        <v>1.1223000000000001</v>
      </c>
      <c r="RY32" s="334">
        <v>1.1067</v>
      </c>
      <c r="RZ32" s="488">
        <v>192.9</v>
      </c>
      <c r="SA32" s="260">
        <v>185</v>
      </c>
      <c r="SC32" s="268">
        <v>185</v>
      </c>
      <c r="SD32" s="409">
        <v>2.7140000000000001E-2</v>
      </c>
      <c r="SE32" s="396">
        <v>572.79999999999995</v>
      </c>
      <c r="SF32" s="415">
        <v>2.0952999999999999</v>
      </c>
      <c r="SG32" s="499">
        <v>1.1258999999999999</v>
      </c>
      <c r="SH32" s="500">
        <v>1.1091</v>
      </c>
      <c r="SI32" s="489">
        <v>192.2</v>
      </c>
      <c r="SJ32" s="731"/>
      <c r="SK32" s="409">
        <v>2.5430000000000001E-2</v>
      </c>
      <c r="SL32" s="176">
        <v>577.9</v>
      </c>
      <c r="SM32" s="415">
        <v>2.1004999999999998</v>
      </c>
      <c r="SN32" s="499">
        <v>1.1343000000000001</v>
      </c>
      <c r="SO32" s="415">
        <v>1.1096999999999999</v>
      </c>
      <c r="SP32" s="170">
        <v>192.9</v>
      </c>
      <c r="SQ32" s="240">
        <v>190</v>
      </c>
      <c r="SS32" s="243">
        <v>195</v>
      </c>
      <c r="ST32" s="409">
        <v>2.3949999999999999E-2</v>
      </c>
      <c r="SU32" s="170">
        <v>582.9</v>
      </c>
      <c r="SV32" s="415">
        <v>2.1061000000000001</v>
      </c>
      <c r="SW32" s="499">
        <v>1.1425000000000001</v>
      </c>
      <c r="SX32" s="415">
        <v>1.1102000000000001</v>
      </c>
      <c r="SY32" s="190">
        <v>193.7</v>
      </c>
      <c r="SZ32" s="731"/>
      <c r="TA32" s="497">
        <v>2.2360000000000001E-2</v>
      </c>
      <c r="TB32" s="451">
        <v>582.29999999999995</v>
      </c>
      <c r="TC32" s="417">
        <v>2.0998000000000001</v>
      </c>
      <c r="TD32" s="491">
        <v>1.1457999999999999</v>
      </c>
      <c r="TE32" s="491">
        <v>1.1125</v>
      </c>
      <c r="TF32" s="488">
        <v>193.1</v>
      </c>
      <c r="TG32" s="287">
        <v>195</v>
      </c>
      <c r="TI32" s="176">
        <v>200</v>
      </c>
      <c r="TJ32" s="340">
        <v>2.1239999999999998E-2</v>
      </c>
      <c r="TK32" s="396">
        <v>587.5</v>
      </c>
      <c r="TL32" s="334">
        <v>2.1061999999999999</v>
      </c>
      <c r="TM32" s="491">
        <v>1.1536999999999999</v>
      </c>
      <c r="TN32" s="491">
        <v>1.1128</v>
      </c>
      <c r="TO32" s="489">
        <v>193.9</v>
      </c>
      <c r="TP32" s="731"/>
      <c r="TQ32" s="340">
        <v>1.9980000000000001E-2</v>
      </c>
      <c r="TR32" s="397">
        <v>586.9</v>
      </c>
      <c r="TS32" s="334">
        <v>2.1004999999999998</v>
      </c>
      <c r="TT32" s="491">
        <v>1.157</v>
      </c>
      <c r="TU32" s="334">
        <v>1.1151</v>
      </c>
      <c r="TV32" s="489">
        <v>193.3</v>
      </c>
      <c r="TW32" s="260">
        <v>200</v>
      </c>
      <c r="TY32" s="185">
        <v>205</v>
      </c>
      <c r="TZ32" s="474">
        <v>1.9109999999999999E-2</v>
      </c>
      <c r="UA32" s="467">
        <v>592.1</v>
      </c>
      <c r="UB32" s="473">
        <v>2.1074000000000002</v>
      </c>
      <c r="UC32" s="491">
        <v>1.1645000000000001</v>
      </c>
      <c r="UD32" s="610">
        <v>1.1152</v>
      </c>
      <c r="UE32" s="489">
        <v>194.1</v>
      </c>
      <c r="UF32" s="749"/>
      <c r="UG32" s="474">
        <v>1.8089999999999998E-2</v>
      </c>
      <c r="UH32" s="478">
        <v>591.5</v>
      </c>
      <c r="UI32" s="473">
        <v>2.1023000000000001</v>
      </c>
      <c r="UJ32" s="610">
        <v>1.1677999999999999</v>
      </c>
      <c r="UK32" s="473">
        <v>1.1174999999999999</v>
      </c>
      <c r="UL32" s="488">
        <v>193.6</v>
      </c>
      <c r="UM32" s="310">
        <v>205</v>
      </c>
      <c r="UO32" s="247">
        <v>210</v>
      </c>
      <c r="UP32" s="464">
        <v>1.6539999999999999E-2</v>
      </c>
      <c r="UQ32" s="467">
        <v>596.20000000000005</v>
      </c>
      <c r="UR32" s="471">
        <v>2.1049000000000002</v>
      </c>
      <c r="US32" s="471">
        <v>1.1780999999999999</v>
      </c>
      <c r="UT32" s="610">
        <v>1.1196999999999999</v>
      </c>
      <c r="UU32" s="489">
        <v>193.9</v>
      </c>
      <c r="UV32" s="749"/>
      <c r="UW32" s="497">
        <v>1.5259999999999999E-2</v>
      </c>
      <c r="UX32" s="478">
        <v>601</v>
      </c>
      <c r="UY32" s="471">
        <v>2.1082000000000001</v>
      </c>
      <c r="UZ32" s="622">
        <v>1.1881999999999999</v>
      </c>
      <c r="VA32" s="471">
        <v>1.1215999999999999</v>
      </c>
      <c r="VB32" s="489">
        <v>194.4</v>
      </c>
      <c r="VC32" s="248">
        <v>215</v>
      </c>
      <c r="VE32" s="254">
        <v>215</v>
      </c>
      <c r="VF32" s="512">
        <v>1.3990000000000001E-2</v>
      </c>
      <c r="VG32" s="514">
        <v>599.9</v>
      </c>
      <c r="VH32" s="522">
        <v>2.0998999999999999</v>
      </c>
      <c r="VI32" s="523">
        <v>1.1943999999999999</v>
      </c>
      <c r="VJ32" s="339">
        <v>1.1259999999999999</v>
      </c>
      <c r="VK32" s="527">
        <v>193.3</v>
      </c>
      <c r="VL32" s="749"/>
      <c r="VM32" s="512">
        <v>1.308E-2</v>
      </c>
      <c r="VN32" s="532">
        <v>604.79999999999995</v>
      </c>
      <c r="VO32" s="522">
        <v>2.1044</v>
      </c>
      <c r="VP32" s="508">
        <v>1.2039</v>
      </c>
      <c r="VQ32" s="523">
        <v>1.1276999999999999</v>
      </c>
      <c r="VR32" s="526">
        <v>193.9</v>
      </c>
      <c r="VS32" s="257">
        <v>220</v>
      </c>
      <c r="VU32" s="193">
        <v>225</v>
      </c>
      <c r="VV32" s="509">
        <v>1.23E-2</v>
      </c>
      <c r="VW32" s="514">
        <v>609.70000000000005</v>
      </c>
      <c r="VX32" s="536">
        <v>2.1092</v>
      </c>
      <c r="VY32" s="508">
        <v>1.2130000000000001</v>
      </c>
      <c r="VZ32" s="391">
        <v>1.1291</v>
      </c>
      <c r="WA32" s="526">
        <v>194.5</v>
      </c>
      <c r="WB32" s="749"/>
      <c r="WC32" s="509">
        <v>1.146E-2</v>
      </c>
      <c r="WD32" s="528">
        <v>608.6</v>
      </c>
      <c r="WE32" s="536">
        <v>2.1023000000000001</v>
      </c>
      <c r="WF32" s="391">
        <v>1.2191000000000001</v>
      </c>
      <c r="WG32" s="536">
        <v>1.1333</v>
      </c>
      <c r="WH32" s="526">
        <v>193.6</v>
      </c>
      <c r="WI32" s="194">
        <v>225</v>
      </c>
      <c r="WK32" s="193">
        <v>230</v>
      </c>
      <c r="WL32" s="509">
        <v>1.0869999999999999E-2</v>
      </c>
      <c r="WM32" s="514">
        <v>613.70000000000005</v>
      </c>
      <c r="WN32" s="536">
        <v>2.1080000000000001</v>
      </c>
      <c r="WO32" s="508">
        <v>1.2277</v>
      </c>
      <c r="WP32" s="492">
        <v>1.1345000000000001</v>
      </c>
      <c r="WQ32" s="526">
        <v>194.4</v>
      </c>
      <c r="WR32" s="749"/>
      <c r="WS32" s="509">
        <v>1.035E-2</v>
      </c>
      <c r="WT32" s="528">
        <v>618.79999999999995</v>
      </c>
      <c r="WU32" s="536">
        <v>2.1139000000000001</v>
      </c>
      <c r="WV32" s="492">
        <v>1.2359</v>
      </c>
      <c r="WW32" s="536">
        <v>1.1354</v>
      </c>
      <c r="WX32" s="530">
        <v>195.2</v>
      </c>
      <c r="WY32" s="194">
        <v>235</v>
      </c>
      <c r="WZ32" s="507"/>
      <c r="XA32" s="254">
        <v>235</v>
      </c>
      <c r="XB32" s="512">
        <v>9.75E-3</v>
      </c>
      <c r="XC32" s="514">
        <v>617.79999999999995</v>
      </c>
      <c r="XD32" s="522">
        <v>2.1078999999999999</v>
      </c>
      <c r="XE32" s="523">
        <v>1.2416</v>
      </c>
      <c r="XF32" s="492">
        <v>1.1394</v>
      </c>
      <c r="XG32" s="526">
        <v>194.4</v>
      </c>
      <c r="XH32" s="749"/>
      <c r="XI32" s="512">
        <v>9.3399999999999993E-3</v>
      </c>
      <c r="XJ32" s="528">
        <v>623</v>
      </c>
      <c r="XK32" s="522">
        <v>2.1143999999999998</v>
      </c>
      <c r="XL32" s="500">
        <v>1.2494000000000001</v>
      </c>
      <c r="XM32" s="522">
        <v>1.1399999999999999</v>
      </c>
      <c r="XN32" s="526">
        <v>195.3</v>
      </c>
      <c r="XO32" s="257">
        <v>240</v>
      </c>
      <c r="XP32" s="229"/>
    </row>
    <row r="33" spans="1:640" ht="15.75" thickBot="1" x14ac:dyDescent="0.3">
      <c r="A33" s="282">
        <v>75</v>
      </c>
      <c r="B33" s="365">
        <v>2.8328600000000002</v>
      </c>
      <c r="C33" s="368">
        <v>470.3</v>
      </c>
      <c r="D33" s="360">
        <v>2.2302</v>
      </c>
      <c r="E33" s="360">
        <v>0.91920000000000002</v>
      </c>
      <c r="F33" s="360">
        <v>1.0979000000000001</v>
      </c>
      <c r="G33" s="172">
        <v>176.3</v>
      </c>
      <c r="H33" s="266"/>
      <c r="I33" s="371">
        <v>1.4556</v>
      </c>
      <c r="J33" s="375">
        <v>479.5</v>
      </c>
      <c r="K33" s="362">
        <v>2.1998000000000002</v>
      </c>
      <c r="L33" s="376">
        <v>0.93620000000000003</v>
      </c>
      <c r="M33" s="362">
        <v>1.0965</v>
      </c>
      <c r="N33" s="369">
        <v>178.5</v>
      </c>
      <c r="O33" s="383">
        <v>85</v>
      </c>
      <c r="P33" s="238"/>
      <c r="Q33" s="282">
        <v>95</v>
      </c>
      <c r="R33" s="363">
        <v>0.99700999999999995</v>
      </c>
      <c r="S33" s="368">
        <v>488.8</v>
      </c>
      <c r="T33" s="358">
        <v>2.1924999999999999</v>
      </c>
      <c r="U33" s="358">
        <v>0.95279999999999998</v>
      </c>
      <c r="V33" s="358">
        <v>1.095</v>
      </c>
      <c r="W33" s="368">
        <v>180.7</v>
      </c>
      <c r="X33" s="266"/>
      <c r="Y33" s="363">
        <v>0.75758000000000003</v>
      </c>
      <c r="Z33" s="374">
        <v>493.5</v>
      </c>
      <c r="AA33" s="358">
        <v>2.1818</v>
      </c>
      <c r="AB33" s="358">
        <v>0.96130000000000004</v>
      </c>
      <c r="AC33" s="358">
        <v>1.0945</v>
      </c>
      <c r="AD33" s="368">
        <v>181.8</v>
      </c>
      <c r="AE33" s="283">
        <v>100</v>
      </c>
      <c r="AF33" s="37"/>
      <c r="AG33" s="281">
        <v>100</v>
      </c>
      <c r="AH33" s="340">
        <v>0.60533000000000003</v>
      </c>
      <c r="AI33" s="398">
        <v>493.4</v>
      </c>
      <c r="AJ33" s="334">
        <v>2.1635</v>
      </c>
      <c r="AK33" s="334">
        <v>0.96199999999999997</v>
      </c>
      <c r="AL33" s="403">
        <v>1.0949</v>
      </c>
      <c r="AM33" s="406">
        <v>181.7</v>
      </c>
      <c r="AN33" s="731"/>
      <c r="AO33" s="393">
        <v>0.51099000000000006</v>
      </c>
      <c r="AP33" s="397">
        <v>498.2</v>
      </c>
      <c r="AQ33" s="334">
        <v>2.1613000000000002</v>
      </c>
      <c r="AR33" s="334">
        <v>0.97030000000000005</v>
      </c>
      <c r="AS33" s="334">
        <v>1.0944</v>
      </c>
      <c r="AT33" s="407">
        <v>182.7</v>
      </c>
      <c r="AU33" s="240">
        <v>105</v>
      </c>
      <c r="AV33" s="37"/>
      <c r="AW33" s="281">
        <v>110</v>
      </c>
      <c r="AX33" s="409">
        <v>0.44346000000000002</v>
      </c>
      <c r="AY33" s="396">
        <v>502.9</v>
      </c>
      <c r="AZ33" s="415">
        <v>2.1613000000000002</v>
      </c>
      <c r="BA33" s="415">
        <v>0.97860000000000003</v>
      </c>
      <c r="BB33" s="419">
        <v>1.0938000000000001</v>
      </c>
      <c r="BC33" s="394">
        <v>183.8</v>
      </c>
      <c r="BD33" s="731"/>
      <c r="BE33" s="409">
        <v>0.38774999999999998</v>
      </c>
      <c r="BF33" s="397">
        <v>502.8</v>
      </c>
      <c r="BG33" s="415">
        <v>2.1503000000000001</v>
      </c>
      <c r="BH33" s="334">
        <v>0.97919999999999996</v>
      </c>
      <c r="BI33" s="415">
        <v>1.0942000000000001</v>
      </c>
      <c r="BJ33" s="394">
        <v>183.6</v>
      </c>
      <c r="BK33" s="240">
        <v>110</v>
      </c>
      <c r="BL33" s="37"/>
      <c r="BM33" s="298">
        <v>115</v>
      </c>
      <c r="BN33" s="409">
        <v>0.34904000000000002</v>
      </c>
      <c r="BO33" s="396">
        <v>507.7</v>
      </c>
      <c r="BP33" s="415">
        <v>2.1533000000000002</v>
      </c>
      <c r="BQ33" s="415">
        <v>0.98719999999999997</v>
      </c>
      <c r="BR33" s="426">
        <v>1.0935999999999999</v>
      </c>
      <c r="BS33" s="425">
        <v>184.7</v>
      </c>
      <c r="BT33" s="731"/>
      <c r="BU33" s="409">
        <v>0.37386999999999998</v>
      </c>
      <c r="BV33" s="397">
        <v>507.6</v>
      </c>
      <c r="BW33" s="415">
        <v>2.1444999999999999</v>
      </c>
      <c r="BX33" s="334">
        <v>0.98780000000000001</v>
      </c>
      <c r="BY33" s="415">
        <v>1.0940000000000001</v>
      </c>
      <c r="BZ33" s="397">
        <v>184.6</v>
      </c>
      <c r="CA33" s="299">
        <v>115</v>
      </c>
      <c r="CB33" s="37"/>
      <c r="CC33" s="243">
        <v>115</v>
      </c>
      <c r="CD33" s="340">
        <v>0.30969000000000002</v>
      </c>
      <c r="CE33" s="396">
        <v>507.6</v>
      </c>
      <c r="CF33" s="334">
        <v>2.1434000000000002</v>
      </c>
      <c r="CG33" s="334">
        <v>0.9879</v>
      </c>
      <c r="CH33" s="334">
        <v>1.0940000000000001</v>
      </c>
      <c r="CI33" s="396">
        <v>184.6</v>
      </c>
      <c r="CJ33" s="731"/>
      <c r="CK33" s="340">
        <v>0.28893000000000002</v>
      </c>
      <c r="CL33" s="397">
        <v>512.5</v>
      </c>
      <c r="CM33" s="334">
        <v>2.1493000000000002</v>
      </c>
      <c r="CN33" s="334">
        <v>0.99580000000000002</v>
      </c>
      <c r="CO33" s="334">
        <v>1.0933999999999999</v>
      </c>
      <c r="CP33" s="396">
        <v>185.6</v>
      </c>
      <c r="CQ33" s="240">
        <v>120</v>
      </c>
      <c r="CR33" s="37"/>
      <c r="CS33" s="243">
        <v>120</v>
      </c>
      <c r="CT33" s="340">
        <v>0.26462000000000002</v>
      </c>
      <c r="CU33" s="398">
        <v>512.4</v>
      </c>
      <c r="CV33" s="334">
        <v>2.1419999999999999</v>
      </c>
      <c r="CW33" s="334">
        <v>0.99629999999999996</v>
      </c>
      <c r="CX33" s="334">
        <v>1.0936999999999999</v>
      </c>
      <c r="CY33" s="449">
        <v>185.5</v>
      </c>
      <c r="CZ33" s="731"/>
      <c r="DA33" s="340">
        <v>0.24414</v>
      </c>
      <c r="DB33" s="451">
        <v>512.29999999999995</v>
      </c>
      <c r="DC33" s="334">
        <v>2.1353</v>
      </c>
      <c r="DD33" s="334">
        <v>0.99680000000000002</v>
      </c>
      <c r="DE33" s="334">
        <v>1.0940000000000001</v>
      </c>
      <c r="DF33" s="449">
        <v>185.4</v>
      </c>
      <c r="DG33" s="240">
        <v>120</v>
      </c>
      <c r="DH33" s="37"/>
      <c r="DI33" s="278">
        <v>125</v>
      </c>
      <c r="DJ33" s="409">
        <v>0.22946</v>
      </c>
      <c r="DK33" s="396">
        <v>517.20000000000005</v>
      </c>
      <c r="DL33" s="415">
        <v>2.1417999999999999</v>
      </c>
      <c r="DM33" s="415">
        <v>1.0045999999999999</v>
      </c>
      <c r="DN33" s="339">
        <v>1.0933999999999999</v>
      </c>
      <c r="DO33" s="442">
        <v>186.5</v>
      </c>
      <c r="DP33" s="731"/>
      <c r="DQ33" s="453">
        <v>0.21404000000000001</v>
      </c>
      <c r="DR33" s="397">
        <v>517.1</v>
      </c>
      <c r="DS33" s="415">
        <v>2.1360000000000001</v>
      </c>
      <c r="DT33" s="455">
        <v>1.0052000000000001</v>
      </c>
      <c r="DU33" s="415">
        <v>1.0936999999999999</v>
      </c>
      <c r="DV33" s="442">
        <v>186.4</v>
      </c>
      <c r="DW33" s="240">
        <v>125</v>
      </c>
      <c r="DX33" s="37"/>
      <c r="DY33" s="262">
        <v>125</v>
      </c>
      <c r="DZ33" s="464">
        <v>0.20052</v>
      </c>
      <c r="EA33" s="467">
        <v>517</v>
      </c>
      <c r="EB33" s="471">
        <v>2.1305999999999998</v>
      </c>
      <c r="EC33" s="470">
        <v>1.0057</v>
      </c>
      <c r="ED33" s="419">
        <v>1.0941000000000001</v>
      </c>
      <c r="EE33" s="465">
        <v>186.3</v>
      </c>
      <c r="EF33" s="731"/>
      <c r="EG33" s="463">
        <v>0.19106000000000001</v>
      </c>
      <c r="EH33" s="478">
        <v>522</v>
      </c>
      <c r="EI33" s="471">
        <v>2.1381000000000001</v>
      </c>
      <c r="EJ33" s="403">
        <v>1.0133000000000001</v>
      </c>
      <c r="EK33" s="473">
        <v>1.0933999999999999</v>
      </c>
      <c r="EL33" s="476">
        <v>187.4</v>
      </c>
      <c r="EM33" s="248">
        <v>130</v>
      </c>
      <c r="EN33" s="37"/>
      <c r="EO33" s="262">
        <v>130</v>
      </c>
      <c r="EP33" s="474">
        <v>0.18031</v>
      </c>
      <c r="EQ33" s="467">
        <v>521.9</v>
      </c>
      <c r="ER33" s="473">
        <v>2.1333000000000002</v>
      </c>
      <c r="ES33" s="459">
        <v>1.0138</v>
      </c>
      <c r="ET33" s="403">
        <v>1.0936999999999999</v>
      </c>
      <c r="EU33" s="465">
        <v>187.3</v>
      </c>
      <c r="EV33" s="731"/>
      <c r="EW33" s="474">
        <v>0.17071</v>
      </c>
      <c r="EX33" s="478">
        <v>521.79999999999995</v>
      </c>
      <c r="EY33" s="473">
        <v>2.1288</v>
      </c>
      <c r="EZ33" s="403">
        <v>1.0143</v>
      </c>
      <c r="FA33" s="473">
        <v>1.0940000000000001</v>
      </c>
      <c r="FB33" s="465">
        <v>187.2</v>
      </c>
      <c r="FC33" s="248">
        <v>130</v>
      </c>
      <c r="FD33" s="37"/>
      <c r="FE33" s="268">
        <v>130</v>
      </c>
      <c r="FF33" s="340">
        <v>0.16206999999999999</v>
      </c>
      <c r="FG33" s="396">
        <v>521.79999999999995</v>
      </c>
      <c r="FH33" s="334">
        <v>2.1244000000000001</v>
      </c>
      <c r="FI33" s="334">
        <v>1.0147999999999999</v>
      </c>
      <c r="FJ33" s="492">
        <v>1.0944</v>
      </c>
      <c r="FK33" s="489">
        <v>187.1</v>
      </c>
      <c r="FL33" s="731"/>
      <c r="FM33" s="490">
        <v>0.15623000000000001</v>
      </c>
      <c r="FN33" s="397">
        <v>526.79999999999995</v>
      </c>
      <c r="FO33" s="334">
        <v>2.1328999999999998</v>
      </c>
      <c r="FP33" s="491">
        <v>1.0223</v>
      </c>
      <c r="FQ33" s="334">
        <v>1.0936999999999999</v>
      </c>
      <c r="FR33" s="488">
        <v>188.1</v>
      </c>
      <c r="FS33" s="240">
        <v>130</v>
      </c>
      <c r="FT33" s="37"/>
      <c r="FU33" s="268">
        <v>135</v>
      </c>
      <c r="FV33" s="409">
        <v>0.14904999999999999</v>
      </c>
      <c r="FW33" s="396">
        <v>526.70000000000005</v>
      </c>
      <c r="FX33" s="415">
        <v>2.1288999999999998</v>
      </c>
      <c r="FY33" s="415">
        <v>1.0227999999999999</v>
      </c>
      <c r="FZ33" s="492">
        <v>1.0940000000000001</v>
      </c>
      <c r="GA33" s="489">
        <v>188</v>
      </c>
      <c r="GB33" s="731"/>
      <c r="GC33" s="409">
        <v>0.14247000000000001</v>
      </c>
      <c r="GD33" s="397">
        <v>526.6</v>
      </c>
      <c r="GE33" s="415">
        <v>2.1252</v>
      </c>
      <c r="GF33" s="500">
        <v>1.0233000000000001</v>
      </c>
      <c r="GG33" s="415">
        <v>1.0943000000000001</v>
      </c>
      <c r="GH33" s="489">
        <v>188</v>
      </c>
      <c r="GI33" s="240">
        <v>135</v>
      </c>
      <c r="GJ33" s="37"/>
      <c r="GK33" s="243">
        <v>135</v>
      </c>
      <c r="GL33" s="409">
        <v>0.13646</v>
      </c>
      <c r="GM33" s="404">
        <v>526.5</v>
      </c>
      <c r="GN33" s="415">
        <v>2.1215999999999999</v>
      </c>
      <c r="GO33" s="415">
        <v>1.0237000000000001</v>
      </c>
      <c r="GP33" s="333">
        <v>1.0946</v>
      </c>
      <c r="GQ33" s="396">
        <v>187.9</v>
      </c>
      <c r="GR33" s="731"/>
      <c r="GS33" s="409">
        <v>0.13261000000000001</v>
      </c>
      <c r="GT33" s="397">
        <v>531.6</v>
      </c>
      <c r="GU33" s="241">
        <v>2.1305999999999998</v>
      </c>
      <c r="GV33" s="170">
        <v>1.0310999999999999</v>
      </c>
      <c r="GW33" s="241">
        <v>1.0938000000000001</v>
      </c>
      <c r="GX33" s="397">
        <v>189</v>
      </c>
      <c r="GY33" s="240">
        <v>140</v>
      </c>
      <c r="GZ33" s="37"/>
      <c r="HA33" s="243">
        <v>140</v>
      </c>
      <c r="HB33" s="340">
        <v>0.12744</v>
      </c>
      <c r="HC33" s="396">
        <v>531.5</v>
      </c>
      <c r="HD33" s="334">
        <v>2.1273</v>
      </c>
      <c r="HE33" s="334">
        <v>1.0315000000000001</v>
      </c>
      <c r="HF33" s="334">
        <v>1.0941000000000001</v>
      </c>
      <c r="HG33" s="396">
        <v>188.9</v>
      </c>
      <c r="HH33" s="731"/>
      <c r="HI33" s="340">
        <v>0.12264</v>
      </c>
      <c r="HJ33" s="397">
        <v>531.4</v>
      </c>
      <c r="HK33" s="334">
        <v>2.1240999999999999</v>
      </c>
      <c r="HL33" s="333">
        <v>1.032</v>
      </c>
      <c r="HM33" s="334">
        <v>1.0944</v>
      </c>
      <c r="HN33" s="396">
        <v>188.8</v>
      </c>
      <c r="HO33" s="240">
        <v>140</v>
      </c>
      <c r="HP33" s="37"/>
      <c r="HQ33" s="268">
        <v>140</v>
      </c>
      <c r="HR33" s="340">
        <v>0.11817999999999999</v>
      </c>
      <c r="HS33" s="396">
        <v>531.4</v>
      </c>
      <c r="HT33" s="334">
        <v>2.1208999999999998</v>
      </c>
      <c r="HU33" s="334">
        <v>1.0325</v>
      </c>
      <c r="HV33" s="492">
        <v>1.0947</v>
      </c>
      <c r="HW33" s="489">
        <v>188.7</v>
      </c>
      <c r="HX33" s="731"/>
      <c r="HY33" s="490">
        <v>0.11404</v>
      </c>
      <c r="HZ33" s="397">
        <v>531.29999999999995</v>
      </c>
      <c r="IA33" s="334">
        <v>2.1179999999999999</v>
      </c>
      <c r="IB33" s="492">
        <v>1.0328999999999999</v>
      </c>
      <c r="IC33" s="334">
        <v>1.095</v>
      </c>
      <c r="ID33" s="488">
        <v>188.6</v>
      </c>
      <c r="IE33" s="240">
        <v>140</v>
      </c>
      <c r="IF33" s="37"/>
      <c r="IG33" s="243">
        <v>145</v>
      </c>
      <c r="IH33" s="409">
        <v>0.11158</v>
      </c>
      <c r="II33" s="505">
        <v>536.4</v>
      </c>
      <c r="IJ33" s="415">
        <v>2.1274999999999999</v>
      </c>
      <c r="IK33" s="415">
        <v>1.0401</v>
      </c>
      <c r="IL33" s="334">
        <v>1.0943000000000001</v>
      </c>
      <c r="IM33" s="489">
        <v>189.7</v>
      </c>
      <c r="IN33" s="731"/>
      <c r="IO33" s="409">
        <v>0.10791000000000001</v>
      </c>
      <c r="IP33" s="427">
        <v>536.29999999999995</v>
      </c>
      <c r="IQ33" s="415">
        <v>2.1246999999999998</v>
      </c>
      <c r="IR33" s="429">
        <v>1.0406</v>
      </c>
      <c r="IS33" s="415">
        <v>1.0945</v>
      </c>
      <c r="IT33" s="396">
        <v>189.6</v>
      </c>
      <c r="IU33" s="240">
        <v>145</v>
      </c>
      <c r="IW33" s="264">
        <v>145</v>
      </c>
      <c r="IX33" s="512">
        <v>0.10448</v>
      </c>
      <c r="IY33" s="514">
        <v>536.20000000000005</v>
      </c>
      <c r="IZ33" s="522">
        <v>2.1219999999999999</v>
      </c>
      <c r="JA33" s="523">
        <v>1.0409999999999999</v>
      </c>
      <c r="JB33" s="523">
        <v>1.0948</v>
      </c>
      <c r="JC33" s="514">
        <v>189.5</v>
      </c>
      <c r="JD33" s="731"/>
      <c r="JE33" s="512">
        <v>0.10126</v>
      </c>
      <c r="JF33" s="528">
        <v>536.20000000000005</v>
      </c>
      <c r="JG33" s="522">
        <v>2.1194000000000002</v>
      </c>
      <c r="JH33" s="508">
        <v>1.0414000000000001</v>
      </c>
      <c r="JI33" s="523">
        <v>1.0951</v>
      </c>
      <c r="JJ33" s="528">
        <v>189.4</v>
      </c>
      <c r="JK33" s="265">
        <v>145</v>
      </c>
      <c r="JM33" s="264">
        <v>145</v>
      </c>
      <c r="JN33" s="509">
        <v>9.8220000000000002E-2</v>
      </c>
      <c r="JO33" s="514">
        <v>536.1</v>
      </c>
      <c r="JP33" s="536">
        <v>2.1168</v>
      </c>
      <c r="JQ33" s="508">
        <v>1.0419</v>
      </c>
      <c r="JR33" s="387">
        <v>1.0953999999999999</v>
      </c>
      <c r="JS33" s="514">
        <v>189.3</v>
      </c>
      <c r="JT33" s="731"/>
      <c r="JU33" s="509">
        <v>9.6579999999999999E-2</v>
      </c>
      <c r="JV33" s="528">
        <v>541.20000000000005</v>
      </c>
      <c r="JW33" s="536">
        <v>2.1267</v>
      </c>
      <c r="JX33" s="391">
        <v>1.0488999999999999</v>
      </c>
      <c r="JY33" s="536">
        <v>1.0946</v>
      </c>
      <c r="JZ33" s="526">
        <v>190.4</v>
      </c>
      <c r="KA33" s="194">
        <v>150</v>
      </c>
      <c r="KC33" s="267">
        <v>150</v>
      </c>
      <c r="KD33" s="340">
        <v>9.3850000000000003E-2</v>
      </c>
      <c r="KE33" s="396">
        <v>541.20000000000005</v>
      </c>
      <c r="KF33" s="170">
        <v>2.1242999999999999</v>
      </c>
      <c r="KG33" s="170">
        <v>1.0492999999999999</v>
      </c>
      <c r="KH33" s="196">
        <v>1.0949</v>
      </c>
      <c r="KI33" s="396">
        <v>190.3</v>
      </c>
      <c r="KJ33" s="731"/>
      <c r="KK33" s="340">
        <v>9.1259999999999994E-2</v>
      </c>
      <c r="KL33" s="397">
        <v>541.1</v>
      </c>
      <c r="KM33" s="334">
        <v>2.1219000000000001</v>
      </c>
      <c r="KN33" s="334">
        <v>1.0498000000000001</v>
      </c>
      <c r="KO33" s="334">
        <v>1.0951</v>
      </c>
      <c r="KP33" s="540">
        <v>190.3</v>
      </c>
      <c r="KQ33" s="177">
        <v>150</v>
      </c>
      <c r="KS33" s="288">
        <v>150</v>
      </c>
      <c r="KT33" s="409">
        <v>8.881E-2</v>
      </c>
      <c r="KU33" s="404">
        <v>541</v>
      </c>
      <c r="KV33" s="415">
        <v>2.1196000000000002</v>
      </c>
      <c r="KW33" s="415">
        <v>1.0502</v>
      </c>
      <c r="KX33" s="541">
        <v>1.0953999999999999</v>
      </c>
      <c r="KY33" s="543">
        <v>190.2</v>
      </c>
      <c r="KZ33" s="731"/>
      <c r="LA33" s="340">
        <v>8.6480000000000001E-2</v>
      </c>
      <c r="LB33" s="397">
        <v>540.9</v>
      </c>
      <c r="LC33" s="415">
        <v>2.1173999999999999</v>
      </c>
      <c r="LD33" s="415">
        <v>1.0506</v>
      </c>
      <c r="LE33" s="546">
        <v>1.0956999999999999</v>
      </c>
      <c r="LF33" s="540">
        <v>190.1</v>
      </c>
      <c r="LG33" s="240">
        <v>150</v>
      </c>
      <c r="LI33" s="264">
        <v>150</v>
      </c>
      <c r="LJ33" s="512">
        <v>8.4260000000000002E-2</v>
      </c>
      <c r="LK33" s="514">
        <v>540.9</v>
      </c>
      <c r="LL33" s="522">
        <v>2.1152000000000002</v>
      </c>
      <c r="LM33" s="523">
        <v>1.0509999999999999</v>
      </c>
      <c r="LN33" s="387">
        <v>1.0960000000000001</v>
      </c>
      <c r="LO33" s="526">
        <v>190</v>
      </c>
      <c r="LP33" s="731"/>
      <c r="LQ33" s="512">
        <v>8.0210000000000004E-2</v>
      </c>
      <c r="LR33" s="528">
        <v>546</v>
      </c>
      <c r="LS33" s="522">
        <v>2.1223000000000001</v>
      </c>
      <c r="LT33" s="333">
        <v>1.0585</v>
      </c>
      <c r="LU33" s="536">
        <v>1.0954999999999999</v>
      </c>
      <c r="LV33" s="526">
        <v>191</v>
      </c>
      <c r="LW33" s="257">
        <v>155</v>
      </c>
      <c r="LY33" s="199">
        <v>155</v>
      </c>
      <c r="LZ33" s="509">
        <v>7.5649999999999995E-2</v>
      </c>
      <c r="MA33" s="514">
        <v>545.79999999999995</v>
      </c>
      <c r="MB33" s="536">
        <v>2.1173999999999999</v>
      </c>
      <c r="MC33" s="508">
        <v>1.0596000000000001</v>
      </c>
      <c r="MD33" s="508">
        <v>1.0962000000000001</v>
      </c>
      <c r="ME33" s="526">
        <v>190.8</v>
      </c>
      <c r="MF33" s="731"/>
      <c r="MG33" s="509">
        <v>7.1569999999999995E-2</v>
      </c>
      <c r="MH33" s="528">
        <v>545.6</v>
      </c>
      <c r="MI33" s="192">
        <v>2.1126999999999998</v>
      </c>
      <c r="MJ33" s="253">
        <v>1.0606</v>
      </c>
      <c r="MK33" s="192">
        <v>1.0969</v>
      </c>
      <c r="ML33" s="526">
        <v>190.6</v>
      </c>
      <c r="MM33" s="194">
        <v>155</v>
      </c>
      <c r="MO33" s="290">
        <v>160</v>
      </c>
      <c r="MP33" s="340">
        <v>6.8769999999999998E-2</v>
      </c>
      <c r="MQ33" s="396">
        <v>550.70000000000005</v>
      </c>
      <c r="MR33" s="334">
        <v>2.1204999999999998</v>
      </c>
      <c r="MS33" s="334">
        <v>1.0679000000000001</v>
      </c>
      <c r="MT33" s="335">
        <v>1.0964</v>
      </c>
      <c r="MU33" s="566">
        <v>191.6</v>
      </c>
      <c r="MV33" s="731"/>
      <c r="MW33" s="340">
        <v>6.5409999999999996E-2</v>
      </c>
      <c r="MX33" s="397">
        <v>550.6</v>
      </c>
      <c r="MY33" s="334">
        <v>2.1162999999999998</v>
      </c>
      <c r="MZ33" s="335">
        <v>1.0689</v>
      </c>
      <c r="NA33" s="334">
        <v>1.097</v>
      </c>
      <c r="NB33" s="566">
        <v>191.4</v>
      </c>
      <c r="NC33" s="260">
        <v>160</v>
      </c>
      <c r="NE33" s="291">
        <v>160</v>
      </c>
      <c r="NF33" s="409">
        <v>6.2350000000000003E-2</v>
      </c>
      <c r="NG33" s="396">
        <v>550.4</v>
      </c>
      <c r="NH33" s="415">
        <v>2.1122000000000001</v>
      </c>
      <c r="NI33" s="415">
        <v>1.0699000000000001</v>
      </c>
      <c r="NJ33" s="335">
        <v>1.0976999999999999</v>
      </c>
      <c r="NK33" s="565">
        <v>191.2</v>
      </c>
      <c r="NL33" s="731"/>
      <c r="NM33" s="409">
        <v>6.0319999999999999E-2</v>
      </c>
      <c r="NN33" s="397">
        <v>555.6</v>
      </c>
      <c r="NO33" s="415">
        <v>2.1206</v>
      </c>
      <c r="NP33" s="335">
        <v>1.077</v>
      </c>
      <c r="NQ33" s="415">
        <v>1.0971</v>
      </c>
      <c r="NR33" s="396">
        <v>192.2</v>
      </c>
      <c r="NS33" s="240">
        <v>165</v>
      </c>
      <c r="NU33" s="288">
        <v>165</v>
      </c>
      <c r="NV33" s="511">
        <v>5.774E-2</v>
      </c>
      <c r="NW33" s="528">
        <v>555.4</v>
      </c>
      <c r="NX33" s="522">
        <v>2.1168</v>
      </c>
      <c r="NY33" s="470">
        <v>1.0780000000000001</v>
      </c>
      <c r="NZ33" s="459">
        <v>1.0976999999999999</v>
      </c>
      <c r="OA33" s="528">
        <v>192</v>
      </c>
      <c r="OB33" s="731"/>
      <c r="OC33" s="511">
        <v>5.5359999999999999E-2</v>
      </c>
      <c r="OD33" s="528">
        <v>555.20000000000005</v>
      </c>
      <c r="OE33" s="574">
        <v>2.1132</v>
      </c>
      <c r="OF33" s="536">
        <v>1.0789</v>
      </c>
      <c r="OG33" s="574">
        <v>1.0984</v>
      </c>
      <c r="OH33" s="476">
        <v>191.8</v>
      </c>
      <c r="OI33" s="263">
        <v>165</v>
      </c>
      <c r="OK33" s="267">
        <v>165</v>
      </c>
      <c r="OL33" s="537">
        <v>5.3159999999999999E-2</v>
      </c>
      <c r="OM33" s="517">
        <v>555.1</v>
      </c>
      <c r="ON33" s="536">
        <v>2.1097000000000001</v>
      </c>
      <c r="OO33" s="459">
        <v>1.0799000000000001</v>
      </c>
      <c r="OP33" s="459">
        <v>1.099</v>
      </c>
      <c r="OQ33" s="528">
        <v>191.6</v>
      </c>
      <c r="OR33" s="731"/>
      <c r="OS33" s="460">
        <v>5.178E-2</v>
      </c>
      <c r="OT33" s="528">
        <v>560.29999999999995</v>
      </c>
      <c r="OU33" s="536">
        <v>2.1185999999999998</v>
      </c>
      <c r="OV33" s="459">
        <v>1.0868</v>
      </c>
      <c r="OW33" s="459">
        <v>1.0983000000000001</v>
      </c>
      <c r="OX33" s="528">
        <v>192.7</v>
      </c>
      <c r="OY33" s="289">
        <v>170</v>
      </c>
      <c r="PA33" s="176">
        <v>170</v>
      </c>
      <c r="PB33" s="340">
        <v>4.9869999999999998E-2</v>
      </c>
      <c r="PC33" s="505">
        <v>560.20000000000005</v>
      </c>
      <c r="PD33" s="334">
        <v>2.1154000000000002</v>
      </c>
      <c r="PE33" s="334">
        <v>1.0876999999999999</v>
      </c>
      <c r="PF33" s="334">
        <v>1.099</v>
      </c>
      <c r="PG33" s="542">
        <v>192.5</v>
      </c>
      <c r="PH33" s="731"/>
      <c r="PI33" s="340">
        <v>4.8090000000000001E-2</v>
      </c>
      <c r="PJ33" s="427">
        <v>560</v>
      </c>
      <c r="PK33" s="334">
        <v>2.1122000000000001</v>
      </c>
      <c r="PL33" s="334">
        <v>1.0887</v>
      </c>
      <c r="PM33" s="334">
        <v>1.0995999999999999</v>
      </c>
      <c r="PN33" s="397">
        <v>192.3</v>
      </c>
      <c r="PO33" s="260">
        <v>170</v>
      </c>
      <c r="PQ33" s="243">
        <v>170</v>
      </c>
      <c r="PR33" s="409">
        <v>4.6429999999999999E-2</v>
      </c>
      <c r="PS33" s="396">
        <v>559.79999999999995</v>
      </c>
      <c r="PT33" s="415">
        <v>2.1092</v>
      </c>
      <c r="PU33" s="415">
        <v>1.0895999999999999</v>
      </c>
      <c r="PV33" s="334">
        <v>1.1002000000000001</v>
      </c>
      <c r="PW33" s="396">
        <v>192.1</v>
      </c>
      <c r="PX33" s="731"/>
      <c r="PY33" s="409">
        <v>4.3979999999999998E-2</v>
      </c>
      <c r="PZ33" s="397">
        <v>565</v>
      </c>
      <c r="QA33" s="415">
        <v>2.1156999999999999</v>
      </c>
      <c r="QB33" s="546">
        <v>1.0972</v>
      </c>
      <c r="QC33" s="415">
        <v>1.1001000000000001</v>
      </c>
      <c r="QD33" s="540">
        <v>193.1</v>
      </c>
      <c r="QE33" s="245">
        <v>175</v>
      </c>
      <c r="QG33" s="264">
        <v>175</v>
      </c>
      <c r="QH33" s="512">
        <v>4.1300000000000003E-2</v>
      </c>
      <c r="QI33" s="514">
        <v>564.6</v>
      </c>
      <c r="QJ33" s="522">
        <v>2.1101999999999999</v>
      </c>
      <c r="QK33" s="523">
        <v>1.099</v>
      </c>
      <c r="QL33" s="387">
        <v>1.1012999999999999</v>
      </c>
      <c r="QM33" s="526">
        <v>192.7</v>
      </c>
      <c r="QN33" s="731"/>
      <c r="QO33" s="512">
        <v>3.9410000000000001E-2</v>
      </c>
      <c r="QP33" s="532">
        <v>569.79999999999995</v>
      </c>
      <c r="QQ33" s="255">
        <v>2.1172</v>
      </c>
      <c r="QR33" s="198">
        <v>1.1064000000000001</v>
      </c>
      <c r="QS33" s="255">
        <v>1.1011</v>
      </c>
      <c r="QT33" s="527">
        <v>193.6</v>
      </c>
      <c r="QU33" s="257">
        <v>180</v>
      </c>
      <c r="QW33" s="199">
        <v>180</v>
      </c>
      <c r="QX33" s="509">
        <v>3.7249999999999998E-2</v>
      </c>
      <c r="QY33" s="517">
        <v>569.5</v>
      </c>
      <c r="QZ33" s="536">
        <v>2.1122999999999998</v>
      </c>
      <c r="RA33" s="508">
        <v>1.1082000000000001</v>
      </c>
      <c r="RB33" s="329">
        <v>1.1023000000000001</v>
      </c>
      <c r="RC33" s="526">
        <v>193.3</v>
      </c>
      <c r="RD33" s="731"/>
      <c r="RE33" s="509">
        <v>3.5310000000000001E-2</v>
      </c>
      <c r="RF33" s="528">
        <v>569.20000000000005</v>
      </c>
      <c r="RG33" s="536">
        <v>2.1076000000000001</v>
      </c>
      <c r="RH33" s="590">
        <v>1.1100000000000001</v>
      </c>
      <c r="RI33" s="536">
        <v>1.1034999999999999</v>
      </c>
      <c r="RJ33" s="526">
        <v>192.9</v>
      </c>
      <c r="RK33" s="194">
        <v>180</v>
      </c>
      <c r="RM33" s="270">
        <v>185</v>
      </c>
      <c r="RN33" s="340">
        <v>3.2370000000000003E-2</v>
      </c>
      <c r="RO33" s="396">
        <v>574.1</v>
      </c>
      <c r="RP33" s="334">
        <v>2.1110000000000002</v>
      </c>
      <c r="RQ33" s="334">
        <v>1.1188</v>
      </c>
      <c r="RR33" s="492">
        <v>1.1043000000000001</v>
      </c>
      <c r="RS33" s="489">
        <v>193.6</v>
      </c>
      <c r="RT33" s="731"/>
      <c r="RU33" s="340">
        <v>2.9929999999999998E-2</v>
      </c>
      <c r="RV33" s="397">
        <v>579.1</v>
      </c>
      <c r="RW33" s="334">
        <v>2.1151</v>
      </c>
      <c r="RX33" s="492">
        <v>1.1274999999999999</v>
      </c>
      <c r="RY33" s="334">
        <v>1.105</v>
      </c>
      <c r="RZ33" s="488">
        <v>194.2</v>
      </c>
      <c r="SA33" s="260">
        <v>190</v>
      </c>
      <c r="SC33" s="268">
        <v>190</v>
      </c>
      <c r="SD33" s="409">
        <v>2.751E-2</v>
      </c>
      <c r="SE33" s="396">
        <v>578.5</v>
      </c>
      <c r="SF33" s="415">
        <v>2.1074999999999999</v>
      </c>
      <c r="SG33" s="415">
        <v>1.1308</v>
      </c>
      <c r="SH33" s="500">
        <v>1.1073</v>
      </c>
      <c r="SI33" s="489">
        <v>193.6</v>
      </c>
      <c r="SJ33" s="731"/>
      <c r="SK33" s="431">
        <v>2.5770000000000001E-2</v>
      </c>
      <c r="SL33" s="176">
        <v>583.5</v>
      </c>
      <c r="SM33" s="415">
        <v>2.1126999999999998</v>
      </c>
      <c r="SN33" s="415">
        <v>1.1391</v>
      </c>
      <c r="SO33" s="415">
        <v>1.1079000000000001</v>
      </c>
      <c r="SP33" s="170">
        <v>194.3</v>
      </c>
      <c r="SQ33" s="240">
        <v>195</v>
      </c>
      <c r="SS33" s="243">
        <v>200</v>
      </c>
      <c r="ST33" s="409">
        <v>2.427E-2</v>
      </c>
      <c r="SU33" s="170">
        <v>588.70000000000005</v>
      </c>
      <c r="SV33" s="415">
        <v>2.1183000000000001</v>
      </c>
      <c r="SW33" s="415">
        <v>1.1472</v>
      </c>
      <c r="SX33" s="387">
        <v>1.1084000000000001</v>
      </c>
      <c r="SY33" s="190">
        <v>195.1</v>
      </c>
      <c r="SZ33" s="731"/>
      <c r="TA33" s="497">
        <v>2.2669999999999999E-2</v>
      </c>
      <c r="TB33" s="397">
        <v>588.1</v>
      </c>
      <c r="TC33" s="415">
        <v>2.1120999999999999</v>
      </c>
      <c r="TD33" s="491">
        <v>1.1504000000000001</v>
      </c>
      <c r="TE33" s="334">
        <v>1.1106</v>
      </c>
      <c r="TF33" s="488">
        <v>194.5</v>
      </c>
      <c r="TG33" s="240">
        <v>200</v>
      </c>
      <c r="TI33" s="176">
        <v>205</v>
      </c>
      <c r="TJ33" s="340">
        <v>2.1530000000000001E-2</v>
      </c>
      <c r="TK33" s="396">
        <v>593.29999999999995</v>
      </c>
      <c r="TL33" s="334">
        <v>2.1183000000000001</v>
      </c>
      <c r="TM33" s="491">
        <v>1.1581999999999999</v>
      </c>
      <c r="TN33" s="491">
        <v>1.1109</v>
      </c>
      <c r="TO33" s="489">
        <v>195.3</v>
      </c>
      <c r="TP33" s="731"/>
      <c r="TQ33" s="340">
        <v>2.026E-2</v>
      </c>
      <c r="TR33" s="397">
        <v>592.70000000000005</v>
      </c>
      <c r="TS33" s="334">
        <v>2.1126999999999998</v>
      </c>
      <c r="TT33" s="491">
        <v>1.1613</v>
      </c>
      <c r="TU33" s="334">
        <v>1.113</v>
      </c>
      <c r="TV33" s="489">
        <v>194.7</v>
      </c>
      <c r="TW33" s="260">
        <v>205</v>
      </c>
      <c r="TY33" s="185">
        <v>210</v>
      </c>
      <c r="TZ33" s="474">
        <v>1.9369999999999998E-2</v>
      </c>
      <c r="UA33" s="467">
        <v>597.9</v>
      </c>
      <c r="UB33" s="473">
        <v>2.1194999999999999</v>
      </c>
      <c r="UC33" s="491">
        <v>1.1688000000000001</v>
      </c>
      <c r="UD33" s="610">
        <v>1.1132</v>
      </c>
      <c r="UE33" s="488">
        <v>795.6</v>
      </c>
      <c r="UF33" s="749"/>
      <c r="UG33" s="490">
        <v>1.8339999999999999E-2</v>
      </c>
      <c r="UH33" s="478">
        <v>597.4</v>
      </c>
      <c r="UI33" s="473">
        <v>2.1145</v>
      </c>
      <c r="UJ33" s="610">
        <v>1.1718999999999999</v>
      </c>
      <c r="UK33" s="473">
        <v>1.1153</v>
      </c>
      <c r="UL33" s="488">
        <v>195</v>
      </c>
      <c r="UM33" s="310">
        <v>210</v>
      </c>
      <c r="UO33" s="247">
        <v>215</v>
      </c>
      <c r="UP33" s="464">
        <v>1.677E-2</v>
      </c>
      <c r="UQ33" s="467">
        <v>602.1</v>
      </c>
      <c r="UR33" s="471">
        <v>2.117</v>
      </c>
      <c r="US33" s="471">
        <v>1.1819999999999999</v>
      </c>
      <c r="UT33" s="610">
        <v>1.1173999999999999</v>
      </c>
      <c r="UU33" s="489">
        <v>195.4</v>
      </c>
      <c r="UV33" s="749"/>
      <c r="UW33" s="464">
        <v>1.5480000000000001E-2</v>
      </c>
      <c r="UX33" s="478">
        <v>607</v>
      </c>
      <c r="UY33" s="471">
        <v>2.1202999999999999</v>
      </c>
      <c r="UZ33" s="471">
        <v>1.1919</v>
      </c>
      <c r="VA33" s="471">
        <v>1.1193</v>
      </c>
      <c r="VB33" s="467">
        <v>195.9</v>
      </c>
      <c r="VC33" s="248">
        <v>220</v>
      </c>
      <c r="VE33" s="254">
        <v>220</v>
      </c>
      <c r="VF33" s="512">
        <v>1.4189999999999999E-2</v>
      </c>
      <c r="VG33" s="514">
        <v>605.9</v>
      </c>
      <c r="VH33" s="522">
        <v>2.1120999999999999</v>
      </c>
      <c r="VI33" s="523">
        <v>1.1978</v>
      </c>
      <c r="VJ33" s="508">
        <v>1.1234</v>
      </c>
      <c r="VK33" s="527">
        <v>194.9</v>
      </c>
      <c r="VL33" s="749"/>
      <c r="VM33" s="512">
        <v>1.3270000000000001E-2</v>
      </c>
      <c r="VN33" s="532">
        <v>610.79999999999995</v>
      </c>
      <c r="VO33" s="522">
        <v>2.1164999999999998</v>
      </c>
      <c r="VP33" s="391">
        <v>1.2071000000000001</v>
      </c>
      <c r="VQ33" s="522">
        <v>1.125</v>
      </c>
      <c r="VR33" s="526">
        <v>195.5</v>
      </c>
      <c r="VS33" s="257">
        <v>225</v>
      </c>
      <c r="VU33" s="193">
        <v>230</v>
      </c>
      <c r="VV33" s="509">
        <v>1.248E-2</v>
      </c>
      <c r="VW33" s="514">
        <v>615.79999999999995</v>
      </c>
      <c r="VX33" s="536">
        <v>2.1214</v>
      </c>
      <c r="VY33" s="508">
        <v>1.2161</v>
      </c>
      <c r="VZ33" s="339">
        <v>1.1264000000000001</v>
      </c>
      <c r="WA33" s="526">
        <v>196.1</v>
      </c>
      <c r="WB33" s="749"/>
      <c r="WC33" s="509">
        <v>1.162E-2</v>
      </c>
      <c r="WD33" s="528">
        <v>614.79999999999995</v>
      </c>
      <c r="WE33" s="536">
        <v>2.1145</v>
      </c>
      <c r="WF33" s="391">
        <v>1.2218</v>
      </c>
      <c r="WG33" s="536">
        <v>1.1304000000000001</v>
      </c>
      <c r="WH33" s="526">
        <v>195.2</v>
      </c>
      <c r="WI33" s="194">
        <v>230</v>
      </c>
      <c r="WK33" s="193">
        <v>235</v>
      </c>
      <c r="WL33" s="509">
        <v>1.103E-2</v>
      </c>
      <c r="WM33" s="514">
        <v>619.79999999999995</v>
      </c>
      <c r="WN33" s="536">
        <v>2.1200999999999999</v>
      </c>
      <c r="WO33" s="508">
        <v>1.2302999999999999</v>
      </c>
      <c r="WP33" s="492">
        <v>1.1315</v>
      </c>
      <c r="WQ33" s="526">
        <v>196</v>
      </c>
      <c r="WR33" s="749"/>
      <c r="WS33" s="509">
        <v>1.0500000000000001E-2</v>
      </c>
      <c r="WT33" s="528">
        <v>625</v>
      </c>
      <c r="WU33" s="536">
        <v>2.1259999999999999</v>
      </c>
      <c r="WV33" s="492">
        <v>1.2384999999999999</v>
      </c>
      <c r="WW33" s="536">
        <v>1.1324000000000001</v>
      </c>
      <c r="WX33" s="530">
        <v>196.8</v>
      </c>
      <c r="WY33" s="194">
        <v>240</v>
      </c>
      <c r="WZ33" s="520"/>
      <c r="XA33" s="254">
        <v>240</v>
      </c>
      <c r="XB33" s="512">
        <v>9.8899999999999995E-3</v>
      </c>
      <c r="XC33" s="514">
        <v>624</v>
      </c>
      <c r="XD33" s="522">
        <v>2.1200999999999999</v>
      </c>
      <c r="XE33" s="523">
        <v>1.2439</v>
      </c>
      <c r="XF33" s="492">
        <v>1.1362000000000001</v>
      </c>
      <c r="XG33" s="526">
        <v>196.1</v>
      </c>
      <c r="XH33" s="749"/>
      <c r="XI33" s="511">
        <v>9.4800000000000006E-3</v>
      </c>
      <c r="XJ33" s="528">
        <v>629.29999999999995</v>
      </c>
      <c r="XK33" s="522">
        <v>2.1265000000000001</v>
      </c>
      <c r="XL33" s="522">
        <v>1.2515000000000001</v>
      </c>
      <c r="XM33" s="522">
        <v>1.1368</v>
      </c>
      <c r="XN33" s="514">
        <v>197</v>
      </c>
      <c r="XO33" s="257">
        <v>245</v>
      </c>
      <c r="XP33" s="170"/>
    </row>
    <row r="34" spans="1:640" ht="15.75" thickBot="1" x14ac:dyDescent="0.3">
      <c r="A34" s="282">
        <v>80</v>
      </c>
      <c r="B34" s="365">
        <v>2.8735599999999999</v>
      </c>
      <c r="C34" s="368">
        <v>474.9</v>
      </c>
      <c r="D34" s="360">
        <v>2.2433999999999998</v>
      </c>
      <c r="E34" s="360">
        <v>0.92730000000000001</v>
      </c>
      <c r="F34" s="360">
        <v>1.0969</v>
      </c>
      <c r="G34" s="172">
        <v>177.5</v>
      </c>
      <c r="H34" s="688"/>
      <c r="I34" s="689"/>
      <c r="P34" s="238"/>
      <c r="Q34" s="282">
        <v>100</v>
      </c>
      <c r="R34" s="363">
        <v>1.01112</v>
      </c>
      <c r="S34" s="368">
        <v>493.6</v>
      </c>
      <c r="T34" s="358">
        <v>2.2054</v>
      </c>
      <c r="U34" s="358">
        <v>0.9607</v>
      </c>
      <c r="V34" s="339">
        <v>1.0941000000000001</v>
      </c>
      <c r="W34" s="368">
        <v>181.9</v>
      </c>
      <c r="X34" s="266"/>
      <c r="Y34" s="363">
        <v>0.76805000000000001</v>
      </c>
      <c r="Z34" s="374">
        <v>498.3</v>
      </c>
      <c r="AA34" s="358">
        <v>2.1947000000000001</v>
      </c>
      <c r="AB34" s="358">
        <v>0.96909999999999996</v>
      </c>
      <c r="AC34" s="358">
        <v>1.0935999999999999</v>
      </c>
      <c r="AD34" s="368">
        <v>183</v>
      </c>
      <c r="AE34" s="283">
        <v>105</v>
      </c>
      <c r="AF34" s="37"/>
      <c r="AG34" s="281">
        <v>105</v>
      </c>
      <c r="AH34" s="340">
        <v>0.61387000000000003</v>
      </c>
      <c r="AI34" s="398">
        <v>498.3</v>
      </c>
      <c r="AJ34" s="334">
        <v>2.1762999999999999</v>
      </c>
      <c r="AK34" s="334">
        <v>0.96970000000000001</v>
      </c>
      <c r="AL34" s="401">
        <v>1.0940000000000001</v>
      </c>
      <c r="AM34" s="406">
        <v>182.8</v>
      </c>
      <c r="AN34" s="731"/>
      <c r="AO34" s="393">
        <v>0.51787000000000005</v>
      </c>
      <c r="AP34" s="397">
        <v>503</v>
      </c>
      <c r="AQ34" s="334">
        <v>2.1741000000000001</v>
      </c>
      <c r="AR34" s="334">
        <v>0.97799999999999998</v>
      </c>
      <c r="AS34" s="334">
        <v>1.0933999999999999</v>
      </c>
      <c r="AT34" s="407">
        <v>183.9</v>
      </c>
      <c r="AU34" s="240">
        <v>110</v>
      </c>
      <c r="AV34" s="37"/>
      <c r="AW34" s="281">
        <v>115</v>
      </c>
      <c r="AX34" s="409">
        <v>0.44944000000000001</v>
      </c>
      <c r="AY34" s="396">
        <v>507.8</v>
      </c>
      <c r="AZ34" s="415">
        <v>2.1741000000000001</v>
      </c>
      <c r="BA34" s="415">
        <v>0.98609999999999998</v>
      </c>
      <c r="BB34" s="419">
        <v>1.0929</v>
      </c>
      <c r="BC34" s="394">
        <v>184.9</v>
      </c>
      <c r="BD34" s="731"/>
      <c r="BE34" s="412">
        <v>0.39293</v>
      </c>
      <c r="BF34" s="397">
        <v>507.8</v>
      </c>
      <c r="BG34" s="415">
        <v>2.1629999999999998</v>
      </c>
      <c r="BH34" s="334">
        <v>0.98670000000000002</v>
      </c>
      <c r="BI34" s="415">
        <v>1.0931999999999999</v>
      </c>
      <c r="BJ34" s="394">
        <v>184.8</v>
      </c>
      <c r="BK34" s="240">
        <v>115</v>
      </c>
      <c r="BL34" s="37"/>
      <c r="BM34" s="243">
        <v>120</v>
      </c>
      <c r="BN34" s="409">
        <v>0.35360999999999998</v>
      </c>
      <c r="BO34" s="396">
        <v>512.6</v>
      </c>
      <c r="BP34" s="415">
        <v>2.1659000000000002</v>
      </c>
      <c r="BQ34" s="415">
        <v>0.99470000000000003</v>
      </c>
      <c r="BR34" s="334">
        <v>1.0927</v>
      </c>
      <c r="BS34" s="396">
        <v>185.9</v>
      </c>
      <c r="BT34" s="731"/>
      <c r="BU34" s="409">
        <v>0.31796999999999997</v>
      </c>
      <c r="BV34" s="427">
        <v>512.5</v>
      </c>
      <c r="BW34" s="429">
        <v>2.1572</v>
      </c>
      <c r="BX34" s="334">
        <v>0.99519999999999997</v>
      </c>
      <c r="BY34" s="415">
        <v>1.093</v>
      </c>
      <c r="BZ34" s="397">
        <v>185.8</v>
      </c>
      <c r="CA34" s="240">
        <v>120</v>
      </c>
      <c r="CB34" s="37"/>
      <c r="CC34" s="243">
        <v>120</v>
      </c>
      <c r="CD34" s="340">
        <v>0.31376999999999999</v>
      </c>
      <c r="CE34" s="396">
        <v>512.5</v>
      </c>
      <c r="CF34" s="334">
        <v>2.1560999999999999</v>
      </c>
      <c r="CG34" s="334">
        <v>0.99529999999999996</v>
      </c>
      <c r="CH34" s="426">
        <v>1.0931</v>
      </c>
      <c r="CI34" s="396">
        <v>185.7</v>
      </c>
      <c r="CJ34" s="731"/>
      <c r="CK34" s="340">
        <v>0.29265000000000002</v>
      </c>
      <c r="CL34" s="397">
        <v>517.5</v>
      </c>
      <c r="CM34" s="334">
        <v>2.1619000000000002</v>
      </c>
      <c r="CN34" s="426">
        <v>1.0031000000000001</v>
      </c>
      <c r="CO34" s="334">
        <v>1.0924</v>
      </c>
      <c r="CP34" s="425">
        <v>186.8</v>
      </c>
      <c r="CQ34" s="240">
        <v>125</v>
      </c>
      <c r="CR34" s="37"/>
      <c r="CS34" s="278">
        <v>125</v>
      </c>
      <c r="CT34" s="340">
        <v>0.2681</v>
      </c>
      <c r="CU34" s="396">
        <v>517.4</v>
      </c>
      <c r="CV34" s="334">
        <v>2.1547000000000001</v>
      </c>
      <c r="CW34" s="444">
        <v>1.0036</v>
      </c>
      <c r="CX34" s="444">
        <v>1.0928</v>
      </c>
      <c r="CY34" s="442">
        <v>186.7</v>
      </c>
      <c r="CZ34" s="731"/>
      <c r="DA34" s="440">
        <v>0.24728</v>
      </c>
      <c r="DB34" s="397">
        <v>517.29999999999995</v>
      </c>
      <c r="DC34" s="334">
        <v>2.1480000000000001</v>
      </c>
      <c r="DD34" s="444">
        <v>1.0041</v>
      </c>
      <c r="DE34" s="334">
        <v>1.0931</v>
      </c>
      <c r="DF34" s="449">
        <v>186.6</v>
      </c>
      <c r="DG34" s="240">
        <v>125</v>
      </c>
      <c r="DH34" s="37"/>
      <c r="DI34" s="278">
        <v>130</v>
      </c>
      <c r="DJ34" s="409">
        <v>0.23244999999999999</v>
      </c>
      <c r="DK34" s="396">
        <v>522.20000000000005</v>
      </c>
      <c r="DL34" s="415">
        <v>2.1543999999999999</v>
      </c>
      <c r="DM34" s="415">
        <v>1.0118</v>
      </c>
      <c r="DN34" s="444">
        <v>1.0925</v>
      </c>
      <c r="DO34" s="442">
        <v>187.7</v>
      </c>
      <c r="DP34" s="731"/>
      <c r="DQ34" s="409">
        <v>0.21682999999999999</v>
      </c>
      <c r="DR34" s="397">
        <v>522.20000000000005</v>
      </c>
      <c r="DS34" s="415">
        <v>2.1486000000000001</v>
      </c>
      <c r="DT34" s="387">
        <v>1.0123</v>
      </c>
      <c r="DU34" s="415">
        <v>1.0928</v>
      </c>
      <c r="DV34" s="442">
        <v>187.6</v>
      </c>
      <c r="DW34" s="240">
        <v>130</v>
      </c>
      <c r="DX34" s="37"/>
      <c r="DY34" s="262">
        <v>130</v>
      </c>
      <c r="DZ34" s="464">
        <v>0.20313000000000001</v>
      </c>
      <c r="EA34" s="467">
        <v>522.1</v>
      </c>
      <c r="EB34" s="471">
        <v>2.1432000000000002</v>
      </c>
      <c r="EC34" s="470">
        <v>1.0127999999999999</v>
      </c>
      <c r="ED34" s="419">
        <v>1.0931</v>
      </c>
      <c r="EE34" s="465">
        <v>187.5</v>
      </c>
      <c r="EF34" s="731"/>
      <c r="EG34" s="460">
        <v>0.19353999999999999</v>
      </c>
      <c r="EH34" s="478">
        <v>527.1</v>
      </c>
      <c r="EI34" s="473">
        <v>2.1505999999999998</v>
      </c>
      <c r="EJ34" s="403">
        <v>1.0204</v>
      </c>
      <c r="EK34" s="473">
        <v>1.0925</v>
      </c>
      <c r="EL34" s="476">
        <v>188.5</v>
      </c>
      <c r="EM34" s="310">
        <v>135</v>
      </c>
      <c r="EN34" s="37"/>
      <c r="EO34" s="262">
        <v>135</v>
      </c>
      <c r="EP34" s="474">
        <v>0.18265000000000001</v>
      </c>
      <c r="EQ34" s="467">
        <v>527</v>
      </c>
      <c r="ER34" s="473">
        <v>2.1457999999999999</v>
      </c>
      <c r="ES34" s="473">
        <v>1.0208999999999999</v>
      </c>
      <c r="ET34" s="403">
        <v>1.0928</v>
      </c>
      <c r="EU34" s="465">
        <v>188.4</v>
      </c>
      <c r="EV34" s="731"/>
      <c r="EW34" s="460">
        <v>0.17291999999999999</v>
      </c>
      <c r="EX34" s="478">
        <v>526.9</v>
      </c>
      <c r="EY34" s="473">
        <v>2.1413000000000002</v>
      </c>
      <c r="EZ34" s="459">
        <v>1.0214000000000001</v>
      </c>
      <c r="FA34" s="473">
        <v>1.0931</v>
      </c>
      <c r="FB34" s="465">
        <v>188.3</v>
      </c>
      <c r="FC34" s="248">
        <v>135</v>
      </c>
      <c r="FD34" s="37"/>
      <c r="FE34" s="268">
        <v>135</v>
      </c>
      <c r="FF34" s="340">
        <v>0.16417999999999999</v>
      </c>
      <c r="FG34" s="396">
        <v>526.79999999999995</v>
      </c>
      <c r="FH34" s="334">
        <v>2.137</v>
      </c>
      <c r="FI34" s="334">
        <v>1.0218</v>
      </c>
      <c r="FJ34" s="491">
        <v>1.0933999999999999</v>
      </c>
      <c r="FK34" s="489">
        <v>188.2</v>
      </c>
      <c r="FL34" s="731"/>
      <c r="FM34" s="340">
        <v>0.15825</v>
      </c>
      <c r="FN34" s="397">
        <v>531.9</v>
      </c>
      <c r="FO34" s="334">
        <v>2.1454</v>
      </c>
      <c r="FP34" s="492">
        <v>1.0293000000000001</v>
      </c>
      <c r="FQ34" s="334">
        <v>1.0927</v>
      </c>
      <c r="FR34" s="488">
        <v>189.3</v>
      </c>
      <c r="FS34" s="240">
        <v>135</v>
      </c>
      <c r="FT34" s="37"/>
      <c r="FU34" s="268">
        <v>140</v>
      </c>
      <c r="FV34" s="409">
        <v>0.15099000000000001</v>
      </c>
      <c r="FW34" s="396">
        <v>531.79999999999995</v>
      </c>
      <c r="FX34" s="415">
        <v>2.1414</v>
      </c>
      <c r="FY34" s="415">
        <v>1.0297000000000001</v>
      </c>
      <c r="FZ34" s="492">
        <v>1.093</v>
      </c>
      <c r="GA34" s="489">
        <v>189.2</v>
      </c>
      <c r="GB34" s="731"/>
      <c r="GC34" s="409">
        <v>0.14430000000000001</v>
      </c>
      <c r="GD34" s="397">
        <v>531.70000000000005</v>
      </c>
      <c r="GE34" s="415">
        <v>2.1377000000000002</v>
      </c>
      <c r="GF34" s="500">
        <v>1.0302</v>
      </c>
      <c r="GG34" s="415">
        <v>1.0932999999999999</v>
      </c>
      <c r="GH34" s="489">
        <v>189.1</v>
      </c>
      <c r="GI34" s="240">
        <v>140</v>
      </c>
      <c r="GJ34" s="37"/>
      <c r="GK34" s="243">
        <v>140</v>
      </c>
      <c r="GL34" s="409">
        <v>0.13824</v>
      </c>
      <c r="GM34" s="404">
        <v>531.70000000000005</v>
      </c>
      <c r="GN34" s="415">
        <v>2.1341000000000001</v>
      </c>
      <c r="GO34" s="415">
        <v>1.0306</v>
      </c>
      <c r="GP34" s="333">
        <v>1.0935999999999999</v>
      </c>
      <c r="GQ34" s="396">
        <v>189</v>
      </c>
      <c r="GR34" s="731"/>
      <c r="GS34" s="409">
        <v>0.13431999999999999</v>
      </c>
      <c r="GT34" s="397">
        <v>536.79999999999995</v>
      </c>
      <c r="GU34" s="241">
        <v>2.1429999999999998</v>
      </c>
      <c r="GV34" s="170">
        <v>1.0379</v>
      </c>
      <c r="GW34" s="241">
        <v>1.0929</v>
      </c>
      <c r="GX34" s="397">
        <v>190.1</v>
      </c>
      <c r="GY34" s="240">
        <v>145</v>
      </c>
      <c r="GZ34" s="37"/>
      <c r="HA34" s="243">
        <v>145</v>
      </c>
      <c r="HB34" s="340">
        <v>0.12906999999999999</v>
      </c>
      <c r="HC34" s="396">
        <v>536.70000000000005</v>
      </c>
      <c r="HD34" s="334">
        <v>2.1396999999999999</v>
      </c>
      <c r="HE34" s="334">
        <v>1.0384</v>
      </c>
      <c r="HF34" s="334">
        <v>1.0931</v>
      </c>
      <c r="HG34" s="396">
        <v>190</v>
      </c>
      <c r="HH34" s="731"/>
      <c r="HI34" s="340">
        <v>0.12422</v>
      </c>
      <c r="HJ34" s="397">
        <v>536.6</v>
      </c>
      <c r="HK34" s="334">
        <v>2.1364999999999998</v>
      </c>
      <c r="HL34" s="334">
        <v>1.0387999999999999</v>
      </c>
      <c r="HM34" s="334">
        <v>1.0933999999999999</v>
      </c>
      <c r="HN34" s="396">
        <v>190</v>
      </c>
      <c r="HO34" s="240">
        <v>145</v>
      </c>
      <c r="HP34" s="37"/>
      <c r="HQ34" s="243">
        <v>145</v>
      </c>
      <c r="HR34" s="340">
        <v>0.11969</v>
      </c>
      <c r="HS34" s="396">
        <v>536.5</v>
      </c>
      <c r="HT34" s="334">
        <v>2.1334</v>
      </c>
      <c r="HU34" s="334">
        <v>1.0391999999999999</v>
      </c>
      <c r="HV34" s="334">
        <v>1.0936999999999999</v>
      </c>
      <c r="HW34" s="488">
        <v>189.9</v>
      </c>
      <c r="HX34" s="731"/>
      <c r="HY34" s="340">
        <v>0.11550000000000001</v>
      </c>
      <c r="HZ34" s="427">
        <v>536.5</v>
      </c>
      <c r="IA34" s="334">
        <v>2.1303999999999998</v>
      </c>
      <c r="IB34" s="436">
        <v>1.0397000000000001</v>
      </c>
      <c r="IC34" s="334">
        <v>1.0940000000000001</v>
      </c>
      <c r="ID34" s="397">
        <v>189.8</v>
      </c>
      <c r="IE34" s="240">
        <v>145</v>
      </c>
      <c r="IF34" s="37"/>
      <c r="IG34" s="268">
        <v>150</v>
      </c>
      <c r="IH34" s="409">
        <v>0.11301</v>
      </c>
      <c r="II34" s="396">
        <v>541.6</v>
      </c>
      <c r="IJ34" s="415">
        <v>2.1398999999999999</v>
      </c>
      <c r="IK34" s="415">
        <v>1.0468</v>
      </c>
      <c r="IL34" s="492">
        <v>1.0931999999999999</v>
      </c>
      <c r="IM34" s="489">
        <v>190.9</v>
      </c>
      <c r="IN34" s="731"/>
      <c r="IO34" s="409">
        <v>0.10929</v>
      </c>
      <c r="IP34" s="397">
        <v>541.5</v>
      </c>
      <c r="IQ34" s="415">
        <v>2.1371000000000002</v>
      </c>
      <c r="IR34" s="500">
        <v>1.0471999999999999</v>
      </c>
      <c r="IS34" s="415">
        <v>1.0934999999999999</v>
      </c>
      <c r="IT34" s="396">
        <v>190.8</v>
      </c>
      <c r="IU34" s="240">
        <v>150</v>
      </c>
      <c r="IW34" s="264">
        <v>150</v>
      </c>
      <c r="IX34" s="512">
        <v>0.10582</v>
      </c>
      <c r="IY34" s="514">
        <v>541.5</v>
      </c>
      <c r="IZ34" s="522">
        <v>2.1343999999999999</v>
      </c>
      <c r="JA34" s="523">
        <v>1.0477000000000001</v>
      </c>
      <c r="JB34" s="388">
        <v>1.0938000000000001</v>
      </c>
      <c r="JC34" s="526">
        <v>190.7</v>
      </c>
      <c r="JD34" s="731"/>
      <c r="JE34" s="512">
        <v>0.10255</v>
      </c>
      <c r="JF34" s="528">
        <v>541.4</v>
      </c>
      <c r="JG34" s="523">
        <v>2.1318000000000001</v>
      </c>
      <c r="JH34" s="508">
        <v>1.0481</v>
      </c>
      <c r="JI34" s="522">
        <v>1.0940000000000001</v>
      </c>
      <c r="JJ34" s="530">
        <v>190.6</v>
      </c>
      <c r="JK34" s="257">
        <v>150</v>
      </c>
      <c r="JM34" s="264">
        <v>150</v>
      </c>
      <c r="JN34" s="509">
        <v>9.9479999999999999E-2</v>
      </c>
      <c r="JO34" s="514">
        <v>541.29999999999995</v>
      </c>
      <c r="JP34" s="536">
        <v>2.1292</v>
      </c>
      <c r="JQ34" s="508">
        <v>1.0485</v>
      </c>
      <c r="JR34" s="339">
        <v>1.0943000000000001</v>
      </c>
      <c r="JS34" s="526">
        <v>190.5</v>
      </c>
      <c r="JT34" s="731"/>
      <c r="JU34" s="509">
        <v>9.7809999999999994E-2</v>
      </c>
      <c r="JV34" s="528">
        <v>546.5</v>
      </c>
      <c r="JW34" s="536">
        <v>2.1391</v>
      </c>
      <c r="JX34" s="391">
        <v>1.0555000000000001</v>
      </c>
      <c r="JY34" s="536">
        <v>1.0934999999999999</v>
      </c>
      <c r="JZ34" s="526">
        <v>191.6</v>
      </c>
      <c r="KA34" s="194">
        <v>155</v>
      </c>
      <c r="KC34" s="267">
        <v>155</v>
      </c>
      <c r="KD34" s="340">
        <v>9.5039999999999999E-2</v>
      </c>
      <c r="KE34" s="396">
        <v>546.4</v>
      </c>
      <c r="KF34" s="170">
        <v>2.1366999999999998</v>
      </c>
      <c r="KG34" s="170">
        <v>1.0559000000000001</v>
      </c>
      <c r="KH34" s="196">
        <v>1.0938000000000001</v>
      </c>
      <c r="KI34" s="540">
        <v>191.6</v>
      </c>
      <c r="KJ34" s="731"/>
      <c r="KK34" s="340">
        <v>9.2410000000000006E-2</v>
      </c>
      <c r="KL34" s="397">
        <v>546.4</v>
      </c>
      <c r="KM34" s="334">
        <v>2.1343000000000001</v>
      </c>
      <c r="KN34" s="541">
        <v>1.0563</v>
      </c>
      <c r="KO34" s="541">
        <v>1.0941000000000001</v>
      </c>
      <c r="KP34" s="540">
        <v>191.5</v>
      </c>
      <c r="KQ34" s="177">
        <v>155</v>
      </c>
      <c r="KS34" s="288">
        <v>155</v>
      </c>
      <c r="KT34" s="409">
        <v>8.9940000000000006E-2</v>
      </c>
      <c r="KU34" s="404">
        <v>546.29999999999995</v>
      </c>
      <c r="KV34" s="415">
        <v>2.1320000000000001</v>
      </c>
      <c r="KW34" s="415">
        <v>1.0567</v>
      </c>
      <c r="KX34" s="541">
        <v>1.0943000000000001</v>
      </c>
      <c r="KY34" s="404">
        <v>191.4</v>
      </c>
      <c r="KZ34" s="731"/>
      <c r="LA34" s="340">
        <v>8.7569999999999995E-2</v>
      </c>
      <c r="LB34" s="397">
        <v>546.20000000000005</v>
      </c>
      <c r="LC34" s="415">
        <v>2.1297999999999999</v>
      </c>
      <c r="LD34" s="415">
        <v>1.0570999999999999</v>
      </c>
      <c r="LE34" s="546">
        <v>1.0946</v>
      </c>
      <c r="LF34" s="540">
        <v>191.3</v>
      </c>
      <c r="LG34" s="240">
        <v>155</v>
      </c>
      <c r="LI34" s="264">
        <v>155</v>
      </c>
      <c r="LJ34" s="512">
        <v>8.5349999999999995E-2</v>
      </c>
      <c r="LK34" s="514">
        <v>546.1</v>
      </c>
      <c r="LL34" s="522">
        <v>2.1276000000000002</v>
      </c>
      <c r="LM34" s="523">
        <v>1.0575000000000001</v>
      </c>
      <c r="LN34" s="557">
        <v>1.0949</v>
      </c>
      <c r="LO34" s="526">
        <v>191.2</v>
      </c>
      <c r="LP34" s="731"/>
      <c r="LQ34" s="537">
        <v>8.1229999999999997E-2</v>
      </c>
      <c r="LR34" s="528">
        <v>551.29999999999995</v>
      </c>
      <c r="LS34" s="536">
        <v>2.1347</v>
      </c>
      <c r="LT34" s="333">
        <v>1.0649999999999999</v>
      </c>
      <c r="LU34" s="536">
        <v>1.0944</v>
      </c>
      <c r="LV34" s="526">
        <v>192.2</v>
      </c>
      <c r="LW34" s="194">
        <v>160</v>
      </c>
      <c r="LY34" s="199">
        <v>160</v>
      </c>
      <c r="LZ34" s="509">
        <v>7.6619999999999994E-2</v>
      </c>
      <c r="MA34" s="514">
        <v>551.1</v>
      </c>
      <c r="MB34" s="536">
        <v>2.1297000000000001</v>
      </c>
      <c r="MC34" s="508">
        <v>1.0659000000000001</v>
      </c>
      <c r="MD34" s="333">
        <v>1.0951</v>
      </c>
      <c r="ME34" s="526">
        <v>192</v>
      </c>
      <c r="MF34" s="731"/>
      <c r="MG34" s="509">
        <v>7.2489999999999999E-2</v>
      </c>
      <c r="MH34" s="528">
        <v>550.9</v>
      </c>
      <c r="MI34" s="192">
        <v>2.125</v>
      </c>
      <c r="MJ34" s="253">
        <v>1.0669</v>
      </c>
      <c r="MK34" s="192">
        <v>1.0956999999999999</v>
      </c>
      <c r="ML34" s="526">
        <v>191.8</v>
      </c>
      <c r="MM34" s="194">
        <v>160</v>
      </c>
      <c r="MO34" s="290">
        <v>165</v>
      </c>
      <c r="MP34" s="340">
        <v>6.9639999999999994E-2</v>
      </c>
      <c r="MQ34" s="396">
        <v>556.1</v>
      </c>
      <c r="MR34" s="334">
        <v>2.1328</v>
      </c>
      <c r="MS34" s="334">
        <v>1.0742</v>
      </c>
      <c r="MT34" s="335">
        <v>1.0952</v>
      </c>
      <c r="MU34" s="565">
        <v>192.8</v>
      </c>
      <c r="MV34" s="731"/>
      <c r="MW34" s="340">
        <v>6.6239999999999993E-2</v>
      </c>
      <c r="MX34" s="397">
        <v>555.9</v>
      </c>
      <c r="MY34" s="334">
        <v>2.1286</v>
      </c>
      <c r="MZ34" s="335">
        <v>1.0750999999999999</v>
      </c>
      <c r="NA34" s="334">
        <v>1.0958000000000001</v>
      </c>
      <c r="NB34" s="397">
        <v>192.6</v>
      </c>
      <c r="NC34" s="260">
        <v>165</v>
      </c>
      <c r="NE34" s="291">
        <v>165</v>
      </c>
      <c r="NF34" s="409">
        <v>6.3149999999999998E-2</v>
      </c>
      <c r="NG34" s="396">
        <v>555.79999999999995</v>
      </c>
      <c r="NH34" s="415">
        <v>2.1244999999999998</v>
      </c>
      <c r="NI34" s="415">
        <v>1.0761000000000001</v>
      </c>
      <c r="NJ34" s="339">
        <v>1.0965</v>
      </c>
      <c r="NK34" s="565">
        <v>192.4</v>
      </c>
      <c r="NL34" s="731"/>
      <c r="NM34" s="409">
        <v>6.1089999999999998E-2</v>
      </c>
      <c r="NN34" s="397">
        <v>561</v>
      </c>
      <c r="NO34" s="415">
        <v>2.1328</v>
      </c>
      <c r="NP34" s="334">
        <v>1.0831</v>
      </c>
      <c r="NQ34" s="415">
        <v>1.0959000000000001</v>
      </c>
      <c r="NR34" s="396">
        <v>193.5</v>
      </c>
      <c r="NS34" s="240">
        <v>170</v>
      </c>
      <c r="NU34" s="254">
        <v>170</v>
      </c>
      <c r="NV34" s="511">
        <v>5.8479999999999997E-2</v>
      </c>
      <c r="NW34" s="528">
        <v>560.79999999999995</v>
      </c>
      <c r="NX34" s="522">
        <v>2.1291000000000002</v>
      </c>
      <c r="NY34" s="522">
        <v>1.0840000000000001</v>
      </c>
      <c r="NZ34" s="536">
        <v>1.0965</v>
      </c>
      <c r="OA34" s="528">
        <v>193.3</v>
      </c>
      <c r="OB34" s="731"/>
      <c r="OC34" s="463">
        <v>5.6070000000000002E-2</v>
      </c>
      <c r="OD34" s="528">
        <v>560.70000000000005</v>
      </c>
      <c r="OE34" s="574">
        <v>2.1255000000000002</v>
      </c>
      <c r="OF34" s="459">
        <v>1.085</v>
      </c>
      <c r="OG34" s="575">
        <v>1.0971</v>
      </c>
      <c r="OH34" s="528">
        <v>193.1</v>
      </c>
      <c r="OI34" s="263">
        <v>170</v>
      </c>
      <c r="OK34" s="193">
        <v>170</v>
      </c>
      <c r="OL34" s="537">
        <v>5.3839999999999999E-2</v>
      </c>
      <c r="OM34" s="532">
        <v>560.5</v>
      </c>
      <c r="ON34" s="536">
        <v>2.1219999999999999</v>
      </c>
      <c r="OO34" s="459">
        <v>1.0859000000000001</v>
      </c>
      <c r="OP34" s="536">
        <v>1.0976999999999999</v>
      </c>
      <c r="OQ34" s="528">
        <v>192.9</v>
      </c>
      <c r="OR34" s="731"/>
      <c r="OS34" s="537">
        <v>5.2440000000000001E-2</v>
      </c>
      <c r="OT34" s="528">
        <v>565.79999999999995</v>
      </c>
      <c r="OU34" s="536">
        <v>2.1309</v>
      </c>
      <c r="OV34" s="536">
        <v>1.0928</v>
      </c>
      <c r="OW34" s="536">
        <v>1.0971</v>
      </c>
      <c r="OX34" s="476">
        <v>194</v>
      </c>
      <c r="OY34" s="289">
        <v>175</v>
      </c>
      <c r="PA34" s="259">
        <v>175</v>
      </c>
      <c r="PB34" s="340">
        <v>5.0509999999999999E-2</v>
      </c>
      <c r="PC34" s="396">
        <v>565.6</v>
      </c>
      <c r="PD34" s="334">
        <v>2.1276000000000002</v>
      </c>
      <c r="PE34" s="541">
        <v>1.0935999999999999</v>
      </c>
      <c r="PF34" s="492">
        <v>1.0976999999999999</v>
      </c>
      <c r="PG34" s="540">
        <v>193.8</v>
      </c>
      <c r="PH34" s="731"/>
      <c r="PI34" s="340">
        <v>4.8710000000000003E-2</v>
      </c>
      <c r="PJ34" s="397">
        <v>565.4</v>
      </c>
      <c r="PK34" s="334">
        <v>2.1244999999999998</v>
      </c>
      <c r="PL34" s="541">
        <v>1.0945</v>
      </c>
      <c r="PM34" s="334">
        <v>1.0983000000000001</v>
      </c>
      <c r="PN34" s="542">
        <v>193.6</v>
      </c>
      <c r="PO34" s="260">
        <v>175</v>
      </c>
      <c r="PQ34" s="261">
        <v>175</v>
      </c>
      <c r="PR34" s="409">
        <v>4.7030000000000002E-2</v>
      </c>
      <c r="PS34" s="396">
        <v>565.29999999999995</v>
      </c>
      <c r="PT34" s="415">
        <v>2.1215000000000002</v>
      </c>
      <c r="PU34" s="415">
        <v>1.0953999999999999</v>
      </c>
      <c r="PV34" s="492">
        <v>1.0989</v>
      </c>
      <c r="PW34" s="540">
        <v>193.4</v>
      </c>
      <c r="PX34" s="731"/>
      <c r="PY34" s="340">
        <v>4.4549999999999999E-2</v>
      </c>
      <c r="PZ34" s="397">
        <v>570.5</v>
      </c>
      <c r="QA34" s="334">
        <v>2.1278999999999999</v>
      </c>
      <c r="QB34" s="541">
        <v>1.103</v>
      </c>
      <c r="QC34" s="334">
        <v>1.0988</v>
      </c>
      <c r="QD34" s="540">
        <v>194.3</v>
      </c>
      <c r="QE34" s="276">
        <v>180</v>
      </c>
      <c r="QG34" s="264">
        <v>180</v>
      </c>
      <c r="QH34" s="512">
        <v>4.1829999999999999E-2</v>
      </c>
      <c r="QI34" s="514">
        <v>570.1</v>
      </c>
      <c r="QJ34" s="522">
        <v>2.1223999999999998</v>
      </c>
      <c r="QK34" s="523">
        <v>1.1047</v>
      </c>
      <c r="QL34" s="387">
        <v>1.0999000000000001</v>
      </c>
      <c r="QM34" s="526">
        <v>194</v>
      </c>
      <c r="QN34" s="731"/>
      <c r="QO34" s="509">
        <v>3.9919999999999997E-2</v>
      </c>
      <c r="QP34" s="532">
        <v>575.4</v>
      </c>
      <c r="QQ34" s="192">
        <v>2.1294</v>
      </c>
      <c r="QR34" s="198">
        <v>1.1120000000000001</v>
      </c>
      <c r="QS34" s="192">
        <v>1.0996999999999999</v>
      </c>
      <c r="QT34" s="527">
        <v>194.9</v>
      </c>
      <c r="QU34" s="194">
        <v>185</v>
      </c>
      <c r="QW34" s="199">
        <v>185</v>
      </c>
      <c r="QX34" s="537">
        <v>3.7740000000000003E-2</v>
      </c>
      <c r="QY34" s="517">
        <v>575</v>
      </c>
      <c r="QZ34" s="536">
        <v>2.1244999999999998</v>
      </c>
      <c r="RA34" s="508">
        <v>1.1136999999999999</v>
      </c>
      <c r="RB34" s="329">
        <v>1.1009</v>
      </c>
      <c r="RC34" s="526">
        <v>194.6</v>
      </c>
      <c r="RD34" s="731"/>
      <c r="RE34" s="509">
        <v>3.5770000000000003E-2</v>
      </c>
      <c r="RF34" s="528">
        <v>574.70000000000005</v>
      </c>
      <c r="RG34" s="536">
        <v>2.1198000000000001</v>
      </c>
      <c r="RH34" s="590">
        <v>1.1153999999999999</v>
      </c>
      <c r="RI34" s="536">
        <v>1.1020000000000001</v>
      </c>
      <c r="RJ34" s="526">
        <v>194.2</v>
      </c>
      <c r="RK34" s="194">
        <v>185</v>
      </c>
      <c r="RM34" s="270">
        <v>190</v>
      </c>
      <c r="RN34" s="340">
        <v>3.279E-2</v>
      </c>
      <c r="RO34" s="396">
        <v>579.70000000000005</v>
      </c>
      <c r="RP34" s="334">
        <v>2.1231</v>
      </c>
      <c r="RQ34" s="334">
        <v>1.1241000000000001</v>
      </c>
      <c r="RR34" s="492">
        <v>1.1028</v>
      </c>
      <c r="RS34" s="489">
        <v>194.9</v>
      </c>
      <c r="RT34" s="731"/>
      <c r="RU34" s="340">
        <v>3.032E-2</v>
      </c>
      <c r="RV34" s="427">
        <v>584.70000000000005</v>
      </c>
      <c r="RW34" s="334">
        <v>2.1272000000000002</v>
      </c>
      <c r="RX34" s="436">
        <v>1.1326000000000001</v>
      </c>
      <c r="RY34" s="334">
        <v>1.1034999999999999</v>
      </c>
      <c r="RZ34" s="397">
        <v>195.6</v>
      </c>
      <c r="SA34" s="260">
        <v>195</v>
      </c>
      <c r="SC34" s="243">
        <v>195</v>
      </c>
      <c r="SD34" s="497">
        <v>2.7869999999999999E-2</v>
      </c>
      <c r="SE34" s="396">
        <v>584.1</v>
      </c>
      <c r="SF34" s="415">
        <v>2.1196999999999999</v>
      </c>
      <c r="SG34" s="415">
        <v>1.1358999999999999</v>
      </c>
      <c r="SH34" s="415">
        <v>1.1056999999999999</v>
      </c>
      <c r="SI34" s="396">
        <v>194.9</v>
      </c>
      <c r="SJ34" s="731"/>
      <c r="SK34" s="340">
        <v>2.6110000000000001E-2</v>
      </c>
      <c r="SL34" s="176">
        <v>589.29999999999995</v>
      </c>
      <c r="SM34" s="334">
        <v>2.1248</v>
      </c>
      <c r="SN34" s="492">
        <v>1.1439999999999999</v>
      </c>
      <c r="SO34" s="334">
        <v>1.1062000000000001</v>
      </c>
      <c r="SP34" s="190">
        <v>195.7</v>
      </c>
      <c r="SQ34" s="260">
        <v>200</v>
      </c>
      <c r="SS34" s="243">
        <v>205</v>
      </c>
      <c r="ST34" s="409">
        <v>2.4590000000000001E-2</v>
      </c>
      <c r="SU34" s="170">
        <v>594.4</v>
      </c>
      <c r="SV34" s="415">
        <v>2.1303000000000001</v>
      </c>
      <c r="SW34" s="499">
        <v>1.1519999999999999</v>
      </c>
      <c r="SX34" s="499">
        <v>1.1067</v>
      </c>
      <c r="SY34" s="190">
        <v>196.5</v>
      </c>
      <c r="SZ34" s="731"/>
      <c r="TA34" s="497">
        <v>2.2970000000000001E-2</v>
      </c>
      <c r="TB34" s="397">
        <v>593.79999999999995</v>
      </c>
      <c r="TC34" s="415">
        <v>2.1242000000000001</v>
      </c>
      <c r="TD34" s="491">
        <v>1.1551</v>
      </c>
      <c r="TE34" s="334">
        <v>1.1088</v>
      </c>
      <c r="TF34" s="488">
        <v>195.9</v>
      </c>
      <c r="TG34" s="240">
        <v>205</v>
      </c>
      <c r="TI34" s="176">
        <v>210</v>
      </c>
      <c r="TJ34" s="340">
        <v>2.1819999999999999E-2</v>
      </c>
      <c r="TK34" s="396">
        <v>599.1</v>
      </c>
      <c r="TL34" s="334">
        <v>2.1303999999999998</v>
      </c>
      <c r="TM34" s="491">
        <v>1.1628000000000001</v>
      </c>
      <c r="TN34" s="491">
        <v>1.1091</v>
      </c>
      <c r="TO34" s="489">
        <v>196.7</v>
      </c>
      <c r="TP34" s="731"/>
      <c r="TQ34" s="340">
        <v>2.053E-2</v>
      </c>
      <c r="TR34" s="397">
        <v>598.5</v>
      </c>
      <c r="TS34" s="334">
        <v>2.1248</v>
      </c>
      <c r="TT34" s="491">
        <v>1.1657999999999999</v>
      </c>
      <c r="TU34" s="334">
        <v>1.1111</v>
      </c>
      <c r="TV34" s="489">
        <v>196.2</v>
      </c>
      <c r="TW34" s="260">
        <v>210</v>
      </c>
      <c r="TY34" s="185">
        <v>215</v>
      </c>
      <c r="TZ34" s="474">
        <v>1.9630000000000002E-2</v>
      </c>
      <c r="UA34" s="467">
        <v>603.79999999999995</v>
      </c>
      <c r="UB34" s="473">
        <v>2.1316000000000002</v>
      </c>
      <c r="UC34" s="473">
        <v>1.1732</v>
      </c>
      <c r="UD34" s="491">
        <v>1.1113</v>
      </c>
      <c r="UE34" s="489">
        <v>197</v>
      </c>
      <c r="UF34" s="749"/>
      <c r="UG34" s="490">
        <v>1.8579999999999999E-2</v>
      </c>
      <c r="UH34" s="478">
        <v>603.20000000000005</v>
      </c>
      <c r="UI34" s="473">
        <v>2.1265000000000001</v>
      </c>
      <c r="UJ34" s="610">
        <v>1.1760999999999999</v>
      </c>
      <c r="UK34" s="473">
        <v>1.1133</v>
      </c>
      <c r="UL34" s="488">
        <v>196.5</v>
      </c>
      <c r="UM34" s="310">
        <v>215</v>
      </c>
      <c r="UO34" s="247">
        <v>220</v>
      </c>
      <c r="UP34" s="497">
        <v>1.7000000000000001E-2</v>
      </c>
      <c r="UQ34" s="467">
        <v>608</v>
      </c>
      <c r="UR34" s="471">
        <v>2.1291000000000002</v>
      </c>
      <c r="US34" s="471">
        <v>1.1860999999999999</v>
      </c>
      <c r="UT34" s="473">
        <v>1.1153</v>
      </c>
      <c r="UU34" s="478">
        <v>196.9</v>
      </c>
      <c r="UV34" s="749"/>
      <c r="UW34" s="474">
        <v>1.5689999999999999E-2</v>
      </c>
      <c r="UX34" s="478">
        <v>612.9</v>
      </c>
      <c r="UY34" s="473">
        <v>2.1324000000000001</v>
      </c>
      <c r="UZ34" s="473">
        <v>1.1957</v>
      </c>
      <c r="VA34" s="473">
        <v>1.1171</v>
      </c>
      <c r="VB34" s="467">
        <v>197.4</v>
      </c>
      <c r="VC34" s="310">
        <v>225</v>
      </c>
      <c r="VE34" s="254">
        <v>225</v>
      </c>
      <c r="VF34" s="512">
        <v>1.439E-2</v>
      </c>
      <c r="VG34" s="514">
        <v>611.9</v>
      </c>
      <c r="VH34" s="522">
        <v>2.1242000000000001</v>
      </c>
      <c r="VI34" s="523">
        <v>1.2014</v>
      </c>
      <c r="VJ34" s="339">
        <v>1.121</v>
      </c>
      <c r="VK34" s="527">
        <v>196.4</v>
      </c>
      <c r="VL34" s="749"/>
      <c r="VM34" s="509">
        <v>1.346E-2</v>
      </c>
      <c r="VN34" s="532">
        <v>616.79999999999995</v>
      </c>
      <c r="VO34" s="536">
        <v>2.1286</v>
      </c>
      <c r="VP34" s="391">
        <v>1.2104999999999999</v>
      </c>
      <c r="VQ34" s="536">
        <v>1.1225000000000001</v>
      </c>
      <c r="VR34" s="526">
        <v>197</v>
      </c>
      <c r="VS34" s="194">
        <v>230</v>
      </c>
      <c r="VU34" s="193">
        <v>235</v>
      </c>
      <c r="VV34" s="537">
        <v>1.265E-2</v>
      </c>
      <c r="VW34" s="514">
        <v>621.9</v>
      </c>
      <c r="VX34" s="536">
        <v>2.1334</v>
      </c>
      <c r="VY34" s="508">
        <v>1.2194</v>
      </c>
      <c r="VZ34" s="339">
        <v>1.1238999999999999</v>
      </c>
      <c r="WA34" s="526">
        <v>197.7</v>
      </c>
      <c r="WB34" s="749"/>
      <c r="WC34" s="509">
        <v>1.179E-2</v>
      </c>
      <c r="WD34" s="528">
        <v>620.9</v>
      </c>
      <c r="WE34" s="536">
        <v>2.1265999999999998</v>
      </c>
      <c r="WF34" s="391">
        <v>1.2248000000000001</v>
      </c>
      <c r="WG34" s="536">
        <v>1.1275999999999999</v>
      </c>
      <c r="WH34" s="526">
        <v>196.8</v>
      </c>
      <c r="WI34" s="194">
        <v>235</v>
      </c>
      <c r="WK34" s="193">
        <v>240</v>
      </c>
      <c r="WL34" s="537">
        <v>1.119E-2</v>
      </c>
      <c r="WM34" s="514">
        <v>626</v>
      </c>
      <c r="WN34" s="536">
        <v>2.1322000000000001</v>
      </c>
      <c r="WO34" s="508">
        <v>1.2331000000000001</v>
      </c>
      <c r="WP34" s="492">
        <v>1.1287</v>
      </c>
      <c r="WQ34" s="526">
        <v>197.6</v>
      </c>
      <c r="WR34" s="749"/>
      <c r="WS34" s="537">
        <v>1.065E-2</v>
      </c>
      <c r="WT34" s="530">
        <v>631.4</v>
      </c>
      <c r="WU34" s="536">
        <v>2.1379999999999999</v>
      </c>
      <c r="WV34" s="536">
        <v>1.2412000000000001</v>
      </c>
      <c r="WW34" s="536">
        <v>1.1295999999999999</v>
      </c>
      <c r="WX34" s="530">
        <v>198.4</v>
      </c>
      <c r="WY34" s="194">
        <v>245</v>
      </c>
      <c r="WZ34" s="520"/>
      <c r="XA34" s="254">
        <v>245</v>
      </c>
      <c r="XB34" s="512">
        <v>1.004E-2</v>
      </c>
      <c r="XC34" s="514">
        <v>630.20000000000005</v>
      </c>
      <c r="XD34" s="522">
        <v>2.1322000000000001</v>
      </c>
      <c r="XE34" s="522">
        <v>1.2463</v>
      </c>
      <c r="XF34" s="536">
        <v>1.1331</v>
      </c>
      <c r="XG34" s="526">
        <v>197.7</v>
      </c>
      <c r="XH34" s="749"/>
      <c r="XI34" s="513">
        <v>9.6200000000000001E-3</v>
      </c>
      <c r="XJ34" s="531">
        <v>635.5</v>
      </c>
      <c r="XK34" s="524">
        <v>2.1385999999999998</v>
      </c>
      <c r="XL34" s="525">
        <v>1.2539</v>
      </c>
      <c r="XM34" s="524">
        <v>1.1336999999999999</v>
      </c>
      <c r="XN34" s="515">
        <v>198.6</v>
      </c>
      <c r="XO34" s="321">
        <v>250</v>
      </c>
      <c r="XP34" s="177"/>
    </row>
    <row r="35" spans="1:640" ht="15.75" thickBot="1" x14ac:dyDescent="0.3">
      <c r="A35" s="301">
        <v>85</v>
      </c>
      <c r="B35" s="367">
        <v>2.9154499999999999</v>
      </c>
      <c r="C35" s="369">
        <v>479.6</v>
      </c>
      <c r="D35" s="362">
        <v>2.2565</v>
      </c>
      <c r="E35" s="362">
        <v>0.93540000000000001</v>
      </c>
      <c r="F35" s="362">
        <v>1.0960000000000001</v>
      </c>
      <c r="G35" s="205">
        <v>178.7</v>
      </c>
      <c r="H35" s="688"/>
      <c r="I35" s="689"/>
      <c r="P35" s="238"/>
      <c r="Q35" s="282">
        <v>105</v>
      </c>
      <c r="R35" s="363">
        <v>1.0245899999999999</v>
      </c>
      <c r="S35" s="368">
        <v>498.4</v>
      </c>
      <c r="T35" s="358">
        <v>2.2183000000000002</v>
      </c>
      <c r="U35" s="358">
        <v>0.96850000000000003</v>
      </c>
      <c r="V35" s="391">
        <v>1.0931999999999999</v>
      </c>
      <c r="W35" s="377">
        <v>183.1</v>
      </c>
      <c r="X35" s="266"/>
      <c r="Y35" s="364">
        <v>0.77820999999999996</v>
      </c>
      <c r="Z35" s="375">
        <v>503.2</v>
      </c>
      <c r="AA35" s="359">
        <v>2.2073999999999998</v>
      </c>
      <c r="AB35" s="359">
        <v>0.9768</v>
      </c>
      <c r="AC35" s="359">
        <v>1.0927</v>
      </c>
      <c r="AD35" s="369">
        <v>184.1</v>
      </c>
      <c r="AE35" s="302">
        <v>110</v>
      </c>
      <c r="AF35" s="37"/>
      <c r="AG35" s="281">
        <v>110</v>
      </c>
      <c r="AH35" s="340">
        <v>0.62189000000000005</v>
      </c>
      <c r="AI35" s="396">
        <v>503.1</v>
      </c>
      <c r="AJ35" s="334">
        <v>2.1890999999999998</v>
      </c>
      <c r="AK35" s="334">
        <v>0.97740000000000005</v>
      </c>
      <c r="AL35" s="401">
        <v>1.0931</v>
      </c>
      <c r="AM35" s="406">
        <v>184</v>
      </c>
      <c r="AN35" s="731"/>
      <c r="AO35" s="399">
        <v>0.52466000000000002</v>
      </c>
      <c r="AP35" s="395">
        <v>507.9</v>
      </c>
      <c r="AQ35" s="400">
        <v>2.1867999999999999</v>
      </c>
      <c r="AR35" s="400">
        <v>0.98550000000000004</v>
      </c>
      <c r="AS35" s="400">
        <v>1.0925</v>
      </c>
      <c r="AT35" s="395">
        <v>185</v>
      </c>
      <c r="AU35" s="305">
        <v>115</v>
      </c>
      <c r="AV35" s="37"/>
      <c r="AW35" s="303">
        <v>120</v>
      </c>
      <c r="AX35" s="410">
        <v>0.45537</v>
      </c>
      <c r="AY35" s="411">
        <v>512.79999999999995</v>
      </c>
      <c r="AZ35" s="418">
        <v>2.1867000000000001</v>
      </c>
      <c r="BA35" s="418">
        <v>0.99360000000000004</v>
      </c>
      <c r="BB35" s="418">
        <v>1.0920000000000001</v>
      </c>
      <c r="BC35" s="411">
        <v>186.1</v>
      </c>
      <c r="BD35" s="731"/>
      <c r="BE35" s="420">
        <v>0.39809</v>
      </c>
      <c r="BF35" s="395">
        <v>512.70000000000005</v>
      </c>
      <c r="BG35" s="418">
        <v>2.1757</v>
      </c>
      <c r="BH35" s="400">
        <v>0.99409999999999998</v>
      </c>
      <c r="BI35" s="418">
        <v>1.0923</v>
      </c>
      <c r="BJ35" s="411">
        <v>186</v>
      </c>
      <c r="BK35" s="305">
        <v>120</v>
      </c>
      <c r="BL35" s="37"/>
      <c r="BM35" s="303">
        <v>125</v>
      </c>
      <c r="BN35" s="414">
        <v>0.35816999999999999</v>
      </c>
      <c r="BO35" s="411">
        <v>517.6</v>
      </c>
      <c r="BP35" s="418">
        <v>2.1785999999999999</v>
      </c>
      <c r="BQ35" s="418">
        <v>1.0021</v>
      </c>
      <c r="BR35" s="400">
        <v>1.0918000000000001</v>
      </c>
      <c r="BS35" s="411">
        <v>187</v>
      </c>
      <c r="BT35" s="731"/>
      <c r="BU35" s="414">
        <v>0.32216</v>
      </c>
      <c r="BV35" s="428">
        <v>517.5</v>
      </c>
      <c r="BW35" s="430">
        <v>2.1698</v>
      </c>
      <c r="BX35" s="400">
        <v>1.0025999999999999</v>
      </c>
      <c r="BY35" s="418">
        <v>1.0921000000000001</v>
      </c>
      <c r="BZ35" s="395">
        <v>186.9</v>
      </c>
      <c r="CA35" s="305">
        <v>125</v>
      </c>
      <c r="CB35" s="37"/>
      <c r="CC35" s="297">
        <v>125</v>
      </c>
      <c r="CD35" s="340">
        <v>0.31796999999999997</v>
      </c>
      <c r="CE35" s="396">
        <v>517.5</v>
      </c>
      <c r="CF35" s="334">
        <v>2.1686999999999999</v>
      </c>
      <c r="CG35" s="426">
        <v>1.0025999999999999</v>
      </c>
      <c r="CH35" s="426">
        <v>1.0922000000000001</v>
      </c>
      <c r="CI35" s="425">
        <v>186.9</v>
      </c>
      <c r="CJ35" s="731"/>
      <c r="CK35" s="399">
        <v>0.29647000000000001</v>
      </c>
      <c r="CL35" s="395">
        <v>522.5</v>
      </c>
      <c r="CM35" s="437">
        <v>2.1745000000000001</v>
      </c>
      <c r="CN35" s="438">
        <v>1.0104</v>
      </c>
      <c r="CO35" s="400">
        <v>1.0914999999999999</v>
      </c>
      <c r="CP35" s="411">
        <v>188</v>
      </c>
      <c r="CQ35" s="305">
        <v>130</v>
      </c>
      <c r="CR35" s="37"/>
      <c r="CS35" s="307">
        <v>130</v>
      </c>
      <c r="CT35" s="441">
        <v>0.27151999999999998</v>
      </c>
      <c r="CU35" s="443">
        <v>522.4</v>
      </c>
      <c r="CV35" s="445">
        <v>2.1671999999999998</v>
      </c>
      <c r="CW35" s="445">
        <v>1.0108999999999999</v>
      </c>
      <c r="CX35" s="447">
        <v>1.0919000000000001</v>
      </c>
      <c r="CY35" s="450">
        <v>187.9</v>
      </c>
      <c r="CZ35" s="731"/>
      <c r="DA35" s="399">
        <v>0.2505</v>
      </c>
      <c r="DB35" s="452">
        <v>522.29999999999995</v>
      </c>
      <c r="DC35" s="400">
        <v>2.1606000000000001</v>
      </c>
      <c r="DD35" s="400">
        <v>1.0114000000000001</v>
      </c>
      <c r="DE35" s="400">
        <v>1.0922000000000001</v>
      </c>
      <c r="DF35" s="395">
        <v>187.8</v>
      </c>
      <c r="DG35" s="305">
        <v>130</v>
      </c>
      <c r="DH35" s="37"/>
      <c r="DI35" s="303">
        <v>135</v>
      </c>
      <c r="DJ35" s="414">
        <v>0.23546</v>
      </c>
      <c r="DK35" s="454">
        <v>527.29999999999995</v>
      </c>
      <c r="DL35" s="418">
        <v>2.1669</v>
      </c>
      <c r="DM35" s="418">
        <v>1.0189999999999999</v>
      </c>
      <c r="DN35" s="400">
        <v>1.0915999999999999</v>
      </c>
      <c r="DO35" s="411">
        <v>188.8</v>
      </c>
      <c r="DP35" s="731"/>
      <c r="DQ35" s="414">
        <v>0.21964</v>
      </c>
      <c r="DR35" s="452">
        <v>527.20000000000005</v>
      </c>
      <c r="DS35" s="418">
        <v>2.1610999999999998</v>
      </c>
      <c r="DT35" s="458">
        <v>1.0195000000000001</v>
      </c>
      <c r="DU35" s="418">
        <v>1.0919000000000001</v>
      </c>
      <c r="DV35" s="411">
        <v>188.7</v>
      </c>
      <c r="DW35" s="305">
        <v>135</v>
      </c>
      <c r="DX35" s="37"/>
      <c r="DY35" s="184">
        <v>135</v>
      </c>
      <c r="DZ35" s="660">
        <v>0.20576</v>
      </c>
      <c r="EA35" s="661">
        <v>527.20000000000005</v>
      </c>
      <c r="EB35" s="662">
        <v>2.1556999999999999</v>
      </c>
      <c r="EC35" s="663">
        <v>1.02</v>
      </c>
      <c r="ED35" s="663">
        <v>1.0922000000000001</v>
      </c>
      <c r="EE35" s="664">
        <v>188.6</v>
      </c>
      <c r="EF35" s="731"/>
      <c r="EG35" s="462">
        <v>0.19600000000000001</v>
      </c>
      <c r="EH35" s="477">
        <v>532.20000000000005</v>
      </c>
      <c r="EI35" s="469">
        <v>2.1631</v>
      </c>
      <c r="EJ35" s="481">
        <v>1.0275000000000001</v>
      </c>
      <c r="EK35" s="469">
        <v>1.0914999999999999</v>
      </c>
      <c r="EL35" s="477">
        <v>189.7</v>
      </c>
      <c r="EM35" s="322">
        <v>140</v>
      </c>
      <c r="EN35" s="37"/>
      <c r="EO35" s="311">
        <v>140</v>
      </c>
      <c r="EP35" s="475">
        <v>0.18498000000000001</v>
      </c>
      <c r="EQ35" s="466">
        <v>532.1</v>
      </c>
      <c r="ER35" s="469">
        <v>2.1583000000000001</v>
      </c>
      <c r="ES35" s="461">
        <v>1.0279</v>
      </c>
      <c r="ET35" s="469">
        <v>1.0918000000000001</v>
      </c>
      <c r="EU35" s="466">
        <v>189.6</v>
      </c>
      <c r="EV35" s="731"/>
      <c r="EW35" s="462">
        <v>0.17516000000000001</v>
      </c>
      <c r="EX35" s="484">
        <v>532</v>
      </c>
      <c r="EY35" s="486">
        <v>2.1537999999999999</v>
      </c>
      <c r="EZ35" s="461">
        <v>1.0284</v>
      </c>
      <c r="FA35" s="461">
        <v>1.0921000000000001</v>
      </c>
      <c r="FB35" s="466">
        <v>189.5</v>
      </c>
      <c r="FC35" s="312">
        <v>140</v>
      </c>
      <c r="FD35" s="37"/>
      <c r="FE35" s="268">
        <v>140</v>
      </c>
      <c r="FF35" s="340">
        <v>0.16628000000000001</v>
      </c>
      <c r="FG35" s="396">
        <v>532</v>
      </c>
      <c r="FH35" s="334">
        <v>2.1495000000000002</v>
      </c>
      <c r="FI35" s="334">
        <v>1.0287999999999999</v>
      </c>
      <c r="FJ35" s="492">
        <v>1.0924</v>
      </c>
      <c r="FK35" s="489">
        <v>189.4</v>
      </c>
      <c r="FL35" s="731"/>
      <c r="FM35" s="340">
        <v>0.16028000000000001</v>
      </c>
      <c r="FN35" s="397">
        <v>537.1</v>
      </c>
      <c r="FO35" s="334">
        <v>2.1577999999999999</v>
      </c>
      <c r="FP35" s="491">
        <v>1.0362</v>
      </c>
      <c r="FQ35" s="334">
        <v>1.0916999999999999</v>
      </c>
      <c r="FR35" s="397">
        <v>190.5</v>
      </c>
      <c r="FS35" s="240">
        <v>140</v>
      </c>
      <c r="FT35" s="37"/>
      <c r="FU35" s="303">
        <v>145</v>
      </c>
      <c r="FV35" s="496">
        <v>0.15287999999999999</v>
      </c>
      <c r="FW35" s="411">
        <v>537</v>
      </c>
      <c r="FX35" s="418">
        <v>2.1537999999999999</v>
      </c>
      <c r="FY35" s="418">
        <v>1.0366</v>
      </c>
      <c r="FZ35" s="400">
        <v>1.0920000000000001</v>
      </c>
      <c r="GA35" s="411">
        <v>190.4</v>
      </c>
      <c r="GB35" s="731"/>
      <c r="GC35" s="373">
        <v>0.14616000000000001</v>
      </c>
      <c r="GD35" s="395">
        <v>536.9</v>
      </c>
      <c r="GE35" s="418">
        <v>2.1501000000000001</v>
      </c>
      <c r="GF35" s="418">
        <v>1.0370999999999999</v>
      </c>
      <c r="GG35" s="418">
        <v>1.0923</v>
      </c>
      <c r="GH35" s="411">
        <v>190.3</v>
      </c>
      <c r="GI35" s="305">
        <v>145</v>
      </c>
      <c r="GJ35" s="37"/>
      <c r="GK35" s="243">
        <v>145</v>
      </c>
      <c r="GL35" s="409">
        <v>0.13997999999999999</v>
      </c>
      <c r="GM35" s="404">
        <v>536.79999999999995</v>
      </c>
      <c r="GN35" s="415">
        <v>2.1465000000000001</v>
      </c>
      <c r="GO35" s="415">
        <v>1.0375000000000001</v>
      </c>
      <c r="GP35" s="334">
        <v>1.0926</v>
      </c>
      <c r="GQ35" s="396">
        <v>190.2</v>
      </c>
      <c r="GR35" s="731"/>
      <c r="GS35" s="414">
        <v>0.13600000000000001</v>
      </c>
      <c r="GT35" s="395">
        <v>542</v>
      </c>
      <c r="GU35" s="304">
        <v>2.1554000000000002</v>
      </c>
      <c r="GV35" s="233">
        <v>1.0448</v>
      </c>
      <c r="GW35" s="304">
        <v>1.0919000000000001</v>
      </c>
      <c r="GX35" s="395">
        <v>191.3</v>
      </c>
      <c r="GY35" s="305">
        <v>150</v>
      </c>
      <c r="GZ35" s="37"/>
      <c r="HA35" s="303">
        <v>150</v>
      </c>
      <c r="HB35" s="399">
        <v>0.13067999999999999</v>
      </c>
      <c r="HC35" s="396">
        <v>541.9</v>
      </c>
      <c r="HD35" s="400">
        <v>2.1520999999999999</v>
      </c>
      <c r="HE35" s="400">
        <v>1.0451999999999999</v>
      </c>
      <c r="HF35" s="400">
        <v>1.0922000000000001</v>
      </c>
      <c r="HG35" s="411">
        <v>191.2</v>
      </c>
      <c r="HH35" s="731"/>
      <c r="HI35" s="399">
        <v>0.12576999999999999</v>
      </c>
      <c r="HJ35" s="395">
        <v>541.79999999999995</v>
      </c>
      <c r="HK35" s="400">
        <v>2.1488999999999998</v>
      </c>
      <c r="HL35" s="400">
        <v>1.0456000000000001</v>
      </c>
      <c r="HM35" s="400">
        <v>1.0924</v>
      </c>
      <c r="HN35" s="411">
        <v>191.1</v>
      </c>
      <c r="HO35" s="305">
        <v>150</v>
      </c>
      <c r="HP35" s="37"/>
      <c r="HQ35" s="307">
        <v>150</v>
      </c>
      <c r="HR35" s="502">
        <v>0.12121</v>
      </c>
      <c r="HS35" s="504">
        <v>541.70000000000005</v>
      </c>
      <c r="HT35" s="445">
        <v>2.1457999999999999</v>
      </c>
      <c r="HU35" s="445">
        <v>1.046</v>
      </c>
      <c r="HV35" s="445">
        <v>1.0927</v>
      </c>
      <c r="HW35" s="450">
        <v>191</v>
      </c>
      <c r="HX35" s="731"/>
      <c r="HY35" s="399">
        <v>0.11697</v>
      </c>
      <c r="HZ35" s="428">
        <v>541.70000000000005</v>
      </c>
      <c r="IA35" s="400">
        <v>2.1427999999999998</v>
      </c>
      <c r="IB35" s="400">
        <v>1.0464</v>
      </c>
      <c r="IC35" s="400">
        <v>1.093</v>
      </c>
      <c r="ID35" s="395">
        <v>191</v>
      </c>
      <c r="IE35" s="305">
        <v>150</v>
      </c>
      <c r="IF35" s="37"/>
      <c r="IG35" s="303">
        <v>155</v>
      </c>
      <c r="IH35" s="414">
        <v>0.11441999999999999</v>
      </c>
      <c r="II35" s="506">
        <v>546.9</v>
      </c>
      <c r="IJ35" s="418">
        <v>2.1522999999999999</v>
      </c>
      <c r="IK35" s="418">
        <v>1.0535000000000001</v>
      </c>
      <c r="IL35" s="400">
        <v>1.0922000000000001</v>
      </c>
      <c r="IM35" s="411">
        <v>192.1</v>
      </c>
      <c r="IN35" s="731"/>
      <c r="IO35" s="414">
        <v>0.11067</v>
      </c>
      <c r="IP35" s="428">
        <v>546.79999999999995</v>
      </c>
      <c r="IQ35" s="418">
        <v>2.1495000000000002</v>
      </c>
      <c r="IR35" s="430">
        <v>1.0539000000000001</v>
      </c>
      <c r="IS35" s="418">
        <v>1.0925</v>
      </c>
      <c r="IT35" s="411">
        <v>192</v>
      </c>
      <c r="IU35" s="305">
        <v>155</v>
      </c>
      <c r="IV35" s="37"/>
      <c r="IW35" s="314">
        <v>155</v>
      </c>
      <c r="IX35" s="513">
        <v>0.10717</v>
      </c>
      <c r="IY35" s="516">
        <v>546.70000000000005</v>
      </c>
      <c r="IZ35" s="524">
        <v>2.1467999999999998</v>
      </c>
      <c r="JA35" s="525">
        <v>1.0543</v>
      </c>
      <c r="JB35" s="525">
        <v>1.0928</v>
      </c>
      <c r="JC35" s="515">
        <v>191.9</v>
      </c>
      <c r="JD35" s="731"/>
      <c r="JE35" s="513">
        <v>0.10384</v>
      </c>
      <c r="JF35" s="531">
        <v>546.6</v>
      </c>
      <c r="JG35" s="524">
        <v>2.1440999999999999</v>
      </c>
      <c r="JH35" s="520">
        <v>1.0547</v>
      </c>
      <c r="JI35" s="525">
        <v>1.093</v>
      </c>
      <c r="JJ35" s="529">
        <v>191.8</v>
      </c>
      <c r="JK35" s="315">
        <v>155</v>
      </c>
      <c r="JM35" s="264">
        <v>155</v>
      </c>
      <c r="JN35" s="509">
        <v>0.10074</v>
      </c>
      <c r="JO35" s="514">
        <v>546.6</v>
      </c>
      <c r="JP35" s="536">
        <v>2.1415999999999999</v>
      </c>
      <c r="JQ35" s="508">
        <v>1.0550999999999999</v>
      </c>
      <c r="JR35" s="508">
        <v>1.0932999999999999</v>
      </c>
      <c r="JS35" s="526">
        <v>191.7</v>
      </c>
      <c r="JT35" s="731"/>
      <c r="JU35" s="539">
        <v>9.9040000000000003E-2</v>
      </c>
      <c r="JV35" s="531">
        <v>551.79999999999995</v>
      </c>
      <c r="JW35" s="521">
        <v>2.1514000000000002</v>
      </c>
      <c r="JX35" s="438">
        <v>1.0621</v>
      </c>
      <c r="JY35" s="521">
        <v>1.0925</v>
      </c>
      <c r="JZ35" s="516">
        <v>192.8</v>
      </c>
      <c r="KA35" s="317">
        <v>160</v>
      </c>
      <c r="KC35" s="309">
        <v>160</v>
      </c>
      <c r="KD35" s="446">
        <v>9.6229999999999996E-2</v>
      </c>
      <c r="KE35" s="504">
        <v>551.70000000000005</v>
      </c>
      <c r="KF35" s="308">
        <v>2.149</v>
      </c>
      <c r="KG35" s="308">
        <v>1.0625</v>
      </c>
      <c r="KH35" s="308">
        <v>1.0928</v>
      </c>
      <c r="KI35" s="504">
        <v>192.7</v>
      </c>
      <c r="KJ35" s="731"/>
      <c r="KK35" s="399">
        <v>9.3579999999999997E-2</v>
      </c>
      <c r="KL35" s="395">
        <v>551.70000000000005</v>
      </c>
      <c r="KM35" s="400">
        <v>2.1465999999999998</v>
      </c>
      <c r="KN35" s="438">
        <v>1.0628</v>
      </c>
      <c r="KO35" s="400">
        <v>1.093</v>
      </c>
      <c r="KP35" s="411">
        <v>192.7</v>
      </c>
      <c r="KQ35" s="316">
        <v>160</v>
      </c>
      <c r="KS35" s="303">
        <v>160</v>
      </c>
      <c r="KT35" s="414">
        <v>9.1069999999999998E-2</v>
      </c>
      <c r="KU35" s="545">
        <v>551.6</v>
      </c>
      <c r="KV35" s="418">
        <v>2.1442999999999999</v>
      </c>
      <c r="KW35" s="458">
        <v>1.0631999999999999</v>
      </c>
      <c r="KX35" s="400">
        <v>1.0932999999999999</v>
      </c>
      <c r="KY35" s="545">
        <v>192.6</v>
      </c>
      <c r="KZ35" s="731"/>
      <c r="LA35" s="399">
        <v>8.8679999999999995E-2</v>
      </c>
      <c r="LB35" s="395">
        <v>551.5</v>
      </c>
      <c r="LC35" s="418">
        <v>2.1421000000000001</v>
      </c>
      <c r="LD35" s="547">
        <v>1.0636000000000001</v>
      </c>
      <c r="LE35" s="418">
        <v>1.0934999999999999</v>
      </c>
      <c r="LF35" s="411">
        <v>192.5</v>
      </c>
      <c r="LG35" s="305">
        <v>160</v>
      </c>
      <c r="LI35" s="199">
        <v>160</v>
      </c>
      <c r="LJ35" s="551">
        <v>8.6419999999999997E-2</v>
      </c>
      <c r="LK35" s="553">
        <v>551.4</v>
      </c>
      <c r="LL35" s="558">
        <v>2.1398999999999999</v>
      </c>
      <c r="LM35" s="549">
        <v>1.0640000000000001</v>
      </c>
      <c r="LN35" s="559">
        <v>1.0938000000000001</v>
      </c>
      <c r="LO35" s="560">
        <v>192.4</v>
      </c>
      <c r="LP35" s="731"/>
      <c r="LQ35" s="539">
        <v>8.2239999999999994E-2</v>
      </c>
      <c r="LR35" s="531">
        <v>556.6</v>
      </c>
      <c r="LS35" s="521">
        <v>2.1469</v>
      </c>
      <c r="LT35" s="438">
        <v>1.0713999999999999</v>
      </c>
      <c r="LU35" s="521">
        <v>1.0933999999999999</v>
      </c>
      <c r="LV35" s="516">
        <v>193.4</v>
      </c>
      <c r="LW35" s="317">
        <v>165</v>
      </c>
      <c r="LY35" s="228">
        <v>165</v>
      </c>
      <c r="LZ35" s="539">
        <v>7.757E-2</v>
      </c>
      <c r="MA35" s="514">
        <v>556.4</v>
      </c>
      <c r="MB35" s="521">
        <v>2.1419999999999999</v>
      </c>
      <c r="MC35" s="520">
        <v>1.0723</v>
      </c>
      <c r="MD35" s="536">
        <v>1.0940000000000001</v>
      </c>
      <c r="ME35" s="515">
        <v>193.2</v>
      </c>
      <c r="MF35" s="731"/>
      <c r="MG35" s="539">
        <v>7.3410000000000003E-2</v>
      </c>
      <c r="MH35" s="531">
        <v>556.29999999999995</v>
      </c>
      <c r="MI35" s="226">
        <v>2.1373000000000002</v>
      </c>
      <c r="MJ35" s="227">
        <v>1.0731999999999999</v>
      </c>
      <c r="MK35" s="227">
        <v>1.0946</v>
      </c>
      <c r="ML35" s="515">
        <v>193</v>
      </c>
      <c r="MM35" s="317">
        <v>165</v>
      </c>
      <c r="MO35" s="309">
        <v>170</v>
      </c>
      <c r="MP35" s="340">
        <v>7.0519999999999999E-2</v>
      </c>
      <c r="MQ35" s="396">
        <v>561.5</v>
      </c>
      <c r="MR35" s="445">
        <v>2.145</v>
      </c>
      <c r="MS35" s="445">
        <v>1.0804</v>
      </c>
      <c r="MT35" s="334">
        <v>1.0941000000000001</v>
      </c>
      <c r="MU35" s="450">
        <v>194</v>
      </c>
      <c r="MV35" s="731"/>
      <c r="MW35" s="399">
        <v>6.7070000000000005E-2</v>
      </c>
      <c r="MX35" s="395">
        <v>561.29999999999995</v>
      </c>
      <c r="MY35" s="400">
        <v>2.1408</v>
      </c>
      <c r="MZ35" s="567">
        <v>1.0812999999999999</v>
      </c>
      <c r="NA35" s="400">
        <v>1.0947</v>
      </c>
      <c r="NB35" s="395">
        <v>193.9</v>
      </c>
      <c r="NC35" s="316">
        <v>170</v>
      </c>
      <c r="NE35" s="243">
        <v>170</v>
      </c>
      <c r="NF35" s="409">
        <v>6.3950000000000007E-2</v>
      </c>
      <c r="NG35" s="396">
        <v>561.20000000000005</v>
      </c>
      <c r="NH35" s="415">
        <v>2.1366999999999998</v>
      </c>
      <c r="NI35" s="415">
        <v>1.0822000000000001</v>
      </c>
      <c r="NJ35" s="334">
        <v>1.0952999999999999</v>
      </c>
      <c r="NK35" s="396">
        <v>193.7</v>
      </c>
      <c r="NL35" s="731"/>
      <c r="NM35" s="414">
        <v>6.1850000000000002E-2</v>
      </c>
      <c r="NN35" s="395">
        <v>566.4</v>
      </c>
      <c r="NO35" s="418">
        <v>2.145</v>
      </c>
      <c r="NP35" s="400">
        <v>1.0892999999999999</v>
      </c>
      <c r="NQ35" s="418">
        <v>1.0948</v>
      </c>
      <c r="NR35" s="411">
        <v>194.7</v>
      </c>
      <c r="NS35" s="305">
        <v>175</v>
      </c>
      <c r="NU35" s="319">
        <v>175</v>
      </c>
      <c r="NV35" s="569">
        <v>5.9209999999999999E-2</v>
      </c>
      <c r="NW35" s="531">
        <v>566.29999999999995</v>
      </c>
      <c r="NX35" s="524">
        <v>2.1413000000000002</v>
      </c>
      <c r="NY35" s="573">
        <v>1.0901000000000001</v>
      </c>
      <c r="NZ35" s="521">
        <v>1.0953999999999999</v>
      </c>
      <c r="OA35" s="531">
        <v>194.5</v>
      </c>
      <c r="OB35" s="731"/>
      <c r="OC35" s="570">
        <v>5.6779999999999997E-2</v>
      </c>
      <c r="OD35" s="531">
        <v>566.1</v>
      </c>
      <c r="OE35" s="576">
        <v>2.1377000000000002</v>
      </c>
      <c r="OF35" s="461">
        <v>1.091</v>
      </c>
      <c r="OG35" s="577">
        <v>1.0959000000000001</v>
      </c>
      <c r="OH35" s="531">
        <v>194.3</v>
      </c>
      <c r="OI35" s="320">
        <v>175</v>
      </c>
      <c r="OK35" s="267">
        <v>175</v>
      </c>
      <c r="OL35" s="537">
        <v>5.4530000000000002E-2</v>
      </c>
      <c r="OM35" s="517">
        <v>565.9</v>
      </c>
      <c r="ON35" s="536">
        <v>2.1341999999999999</v>
      </c>
      <c r="OO35" s="459">
        <v>1.0919000000000001</v>
      </c>
      <c r="OP35" s="459">
        <v>1.0965</v>
      </c>
      <c r="OQ35" s="476">
        <v>194.2</v>
      </c>
      <c r="OR35" s="731"/>
      <c r="OS35" s="462">
        <v>5.3100000000000001E-2</v>
      </c>
      <c r="OT35" s="531">
        <v>571.20000000000005</v>
      </c>
      <c r="OU35" s="521">
        <v>2.1429999999999998</v>
      </c>
      <c r="OV35" s="461">
        <v>1.0987</v>
      </c>
      <c r="OW35" s="461">
        <v>1.0959000000000001</v>
      </c>
      <c r="OX35" s="531">
        <v>195.2</v>
      </c>
      <c r="OY35" s="325">
        <v>180</v>
      </c>
      <c r="PA35" s="309">
        <v>180</v>
      </c>
      <c r="PB35" s="446">
        <v>5.1139999999999998E-2</v>
      </c>
      <c r="PC35" s="504">
        <v>571.1</v>
      </c>
      <c r="PD35" s="445">
        <v>2.1398000000000001</v>
      </c>
      <c r="PE35" s="445">
        <v>1.0995999999999999</v>
      </c>
      <c r="PF35" s="445">
        <v>1.0965</v>
      </c>
      <c r="PG35" s="450">
        <v>195</v>
      </c>
      <c r="PH35" s="731"/>
      <c r="PI35" s="435">
        <v>4.9320000000000003E-2</v>
      </c>
      <c r="PJ35" s="395">
        <v>570.9</v>
      </c>
      <c r="PK35" s="400">
        <v>2.1366999999999998</v>
      </c>
      <c r="PL35" s="400">
        <v>1.1004</v>
      </c>
      <c r="PM35" s="400">
        <v>1.097</v>
      </c>
      <c r="PN35" s="395">
        <v>194.9</v>
      </c>
      <c r="PO35" s="316">
        <v>180</v>
      </c>
      <c r="PQ35" s="259">
        <v>180</v>
      </c>
      <c r="PR35" s="581">
        <v>4.7620000000000003E-2</v>
      </c>
      <c r="PS35" s="583">
        <v>570.79999999999995</v>
      </c>
      <c r="PT35" s="585">
        <v>2.1335999999999999</v>
      </c>
      <c r="PU35" s="585">
        <v>1.1012999999999999</v>
      </c>
      <c r="PV35" s="587">
        <v>1.0975999999999999</v>
      </c>
      <c r="PW35" s="589">
        <v>194.7</v>
      </c>
      <c r="PX35" s="731"/>
      <c r="PY35" s="399">
        <v>4.5109999999999997E-2</v>
      </c>
      <c r="PZ35" s="428">
        <v>576</v>
      </c>
      <c r="QA35" s="400">
        <v>2.14</v>
      </c>
      <c r="QB35" s="400">
        <v>1.1087</v>
      </c>
      <c r="QC35" s="400">
        <v>1.0974999999999999</v>
      </c>
      <c r="QD35" s="411">
        <v>195.6</v>
      </c>
      <c r="QE35" s="316">
        <v>185</v>
      </c>
      <c r="QG35" s="191">
        <v>185</v>
      </c>
      <c r="QH35" s="551">
        <v>4.2360000000000002E-2</v>
      </c>
      <c r="QI35" s="553">
        <v>575.70000000000005</v>
      </c>
      <c r="QJ35" s="558">
        <v>2.1345999999999998</v>
      </c>
      <c r="QK35" s="549">
        <v>1.1104000000000001</v>
      </c>
      <c r="QL35" s="549">
        <v>1.0986</v>
      </c>
      <c r="QM35" s="560">
        <v>195.3</v>
      </c>
      <c r="QN35" s="731"/>
      <c r="QO35" s="539">
        <v>4.0419999999999998E-2</v>
      </c>
      <c r="QP35" s="535">
        <v>580.9</v>
      </c>
      <c r="QQ35" s="226">
        <v>2.1415000000000002</v>
      </c>
      <c r="QR35" s="227">
        <v>1.1176999999999999</v>
      </c>
      <c r="QS35" s="227">
        <v>1.0984</v>
      </c>
      <c r="QT35" s="519">
        <v>196.2</v>
      </c>
      <c r="QU35" s="317">
        <v>190</v>
      </c>
      <c r="QW35" s="228">
        <v>190</v>
      </c>
      <c r="QX35" s="510">
        <v>3.8210000000000001E-2</v>
      </c>
      <c r="QY35" s="519">
        <v>580.6</v>
      </c>
      <c r="QZ35" s="521">
        <v>2.1366000000000001</v>
      </c>
      <c r="RA35" s="520">
        <v>1.1193</v>
      </c>
      <c r="RB35" s="595">
        <v>1.0994999999999999</v>
      </c>
      <c r="RC35" s="515">
        <v>195.9</v>
      </c>
      <c r="RD35" s="731"/>
      <c r="RE35" s="539">
        <v>3.6229999999999998E-2</v>
      </c>
      <c r="RF35" s="531">
        <v>580.29999999999995</v>
      </c>
      <c r="RG35" s="521">
        <v>2.1318999999999999</v>
      </c>
      <c r="RH35" s="520">
        <v>1.1209</v>
      </c>
      <c r="RI35" s="520">
        <v>1.1006</v>
      </c>
      <c r="RJ35" s="515">
        <v>195.6</v>
      </c>
      <c r="RK35" s="317">
        <v>190</v>
      </c>
      <c r="RM35" s="176">
        <v>195</v>
      </c>
      <c r="RN35" s="340">
        <v>3.3210000000000003E-2</v>
      </c>
      <c r="RO35" s="505">
        <v>585.29999999999995</v>
      </c>
      <c r="RP35" s="334">
        <v>2.1353</v>
      </c>
      <c r="RQ35" s="334">
        <v>1.1294999999999999</v>
      </c>
      <c r="RR35" s="334">
        <v>1.1012999999999999</v>
      </c>
      <c r="RS35" s="488">
        <v>196.2</v>
      </c>
      <c r="RT35" s="731"/>
      <c r="RU35" s="435">
        <v>3.0700000000000002E-2</v>
      </c>
      <c r="RV35" s="395">
        <v>590.4</v>
      </c>
      <c r="RW35" s="400">
        <v>2.1393</v>
      </c>
      <c r="RX35" s="400">
        <v>1.1378999999999999</v>
      </c>
      <c r="RY35" s="498">
        <v>1.1020000000000001</v>
      </c>
      <c r="RZ35" s="395">
        <v>196.9</v>
      </c>
      <c r="SA35" s="327">
        <v>200</v>
      </c>
      <c r="SC35" s="176">
        <v>200</v>
      </c>
      <c r="SD35" s="581">
        <v>2.8230000000000002E-2</v>
      </c>
      <c r="SE35" s="583">
        <v>589.79999999999995</v>
      </c>
      <c r="SF35" s="585">
        <v>2.1318000000000001</v>
      </c>
      <c r="SG35" s="598">
        <v>1.1409</v>
      </c>
      <c r="SH35" s="587">
        <v>1.1041000000000001</v>
      </c>
      <c r="SI35" s="599">
        <v>196.3</v>
      </c>
      <c r="SJ35" s="731"/>
      <c r="SK35" s="399">
        <v>2.6450000000000001E-2</v>
      </c>
      <c r="SL35" s="210">
        <v>595</v>
      </c>
      <c r="SM35" s="400">
        <v>2.1368999999999998</v>
      </c>
      <c r="SN35" s="498">
        <v>1.149</v>
      </c>
      <c r="SO35" s="498">
        <v>1.1046</v>
      </c>
      <c r="SP35" s="211">
        <v>197</v>
      </c>
      <c r="SQ35" s="327">
        <v>205</v>
      </c>
      <c r="SS35" s="303">
        <v>210</v>
      </c>
      <c r="ST35" s="414">
        <v>2.4910000000000002E-2</v>
      </c>
      <c r="SU35" s="211">
        <v>600.20000000000005</v>
      </c>
      <c r="SV35" s="418">
        <v>2.1423999999999999</v>
      </c>
      <c r="SW35" s="670">
        <v>1.1569</v>
      </c>
      <c r="SX35" s="418">
        <v>1.105</v>
      </c>
      <c r="SY35" s="222">
        <v>197.8</v>
      </c>
      <c r="SZ35" s="731"/>
      <c r="TA35" s="496">
        <v>2.3269999999999999E-2</v>
      </c>
      <c r="TB35" s="452">
        <v>599.6</v>
      </c>
      <c r="TC35" s="418">
        <v>2.1362000000000001</v>
      </c>
      <c r="TD35" s="498">
        <v>1.1597999999999999</v>
      </c>
      <c r="TE35" s="498">
        <v>1.107</v>
      </c>
      <c r="TF35" s="600">
        <v>197.3</v>
      </c>
      <c r="TG35" s="305">
        <v>210</v>
      </c>
      <c r="TI35" s="210">
        <v>215</v>
      </c>
      <c r="TJ35" s="399">
        <v>2.2100000000000002E-2</v>
      </c>
      <c r="TK35" s="411">
        <v>604.9</v>
      </c>
      <c r="TL35" s="400">
        <v>2.1423999999999999</v>
      </c>
      <c r="TM35" s="498">
        <v>1.1674</v>
      </c>
      <c r="TN35" s="400">
        <v>1.1073</v>
      </c>
      <c r="TO35" s="601">
        <v>198.1</v>
      </c>
      <c r="TP35" s="731"/>
      <c r="TQ35" s="495">
        <v>2.0799999999999999E-2</v>
      </c>
      <c r="TR35" s="395">
        <v>604.29999999999995</v>
      </c>
      <c r="TS35" s="400">
        <v>2.1368999999999998</v>
      </c>
      <c r="TT35" s="498">
        <v>1.1702999999999999</v>
      </c>
      <c r="TU35" s="498">
        <v>1.1093</v>
      </c>
      <c r="TV35" s="601">
        <v>197.6</v>
      </c>
      <c r="TW35" s="316">
        <v>215</v>
      </c>
      <c r="TY35" s="606">
        <v>220</v>
      </c>
      <c r="TZ35" s="502">
        <v>1.9890000000000001E-2</v>
      </c>
      <c r="UA35" s="608">
        <v>609.70000000000005</v>
      </c>
      <c r="UB35" s="612">
        <v>2.1436000000000002</v>
      </c>
      <c r="UC35" s="612">
        <v>1.1776</v>
      </c>
      <c r="UD35" s="612">
        <v>1.1094999999999999</v>
      </c>
      <c r="UE35" s="613">
        <v>198.4</v>
      </c>
      <c r="UF35" s="749"/>
      <c r="UG35" s="475">
        <v>1.883E-2</v>
      </c>
      <c r="UH35" s="477">
        <v>609.1</v>
      </c>
      <c r="UI35" s="469">
        <v>2.1385999999999998</v>
      </c>
      <c r="UJ35" s="469">
        <v>1.1803999999999999</v>
      </c>
      <c r="UK35" s="469">
        <v>1.1113999999999999</v>
      </c>
      <c r="UL35" s="477">
        <v>197.9</v>
      </c>
      <c r="UM35" s="322">
        <v>220</v>
      </c>
      <c r="UO35" s="185">
        <v>225</v>
      </c>
      <c r="UP35" s="616">
        <v>1.7229999999999999E-2</v>
      </c>
      <c r="UQ35" s="617">
        <v>614</v>
      </c>
      <c r="UR35" s="619">
        <v>2.1410999999999998</v>
      </c>
      <c r="US35" s="619">
        <v>1.1901999999999999</v>
      </c>
      <c r="UT35" s="620">
        <v>1.1133</v>
      </c>
      <c r="UU35" s="621">
        <v>198.4</v>
      </c>
      <c r="UV35" s="749"/>
      <c r="UW35" s="475">
        <v>1.5900000000000001E-2</v>
      </c>
      <c r="UX35" s="477">
        <v>618.9</v>
      </c>
      <c r="UY35" s="469">
        <v>2.1442999999999999</v>
      </c>
      <c r="UZ35" s="498">
        <v>1.1996</v>
      </c>
      <c r="VA35" s="469">
        <v>1.115</v>
      </c>
      <c r="VB35" s="466">
        <v>198.9</v>
      </c>
      <c r="VC35" s="322">
        <v>230</v>
      </c>
      <c r="VE35" s="193">
        <v>230</v>
      </c>
      <c r="VF35" s="551">
        <v>1.4579999999999999E-2</v>
      </c>
      <c r="VG35" s="553">
        <v>617.9</v>
      </c>
      <c r="VH35" s="558">
        <v>2.1362000000000001</v>
      </c>
      <c r="VI35" s="549">
        <v>1.2050000000000001</v>
      </c>
      <c r="VJ35" s="623">
        <v>1.1187</v>
      </c>
      <c r="VK35" s="561">
        <v>197.9</v>
      </c>
      <c r="VL35" s="749"/>
      <c r="VM35" s="539">
        <v>1.3639999999999999E-2</v>
      </c>
      <c r="VN35" s="535">
        <v>622.9</v>
      </c>
      <c r="VO35" s="521">
        <v>2.1406000000000001</v>
      </c>
      <c r="VP35" s="438">
        <v>1.214</v>
      </c>
      <c r="VQ35" s="520">
        <v>1.1202000000000001</v>
      </c>
      <c r="VR35" s="516">
        <v>198.6</v>
      </c>
      <c r="VS35" s="229">
        <v>235</v>
      </c>
      <c r="VU35" s="230">
        <v>240</v>
      </c>
      <c r="VV35" s="510">
        <v>1.2829999999999999E-2</v>
      </c>
      <c r="VW35" s="514">
        <v>628</v>
      </c>
      <c r="VX35" s="521">
        <v>2.1454</v>
      </c>
      <c r="VY35" s="520">
        <v>1.2226999999999999</v>
      </c>
      <c r="VZ35" s="508">
        <v>1.1214999999999999</v>
      </c>
      <c r="WA35" s="515">
        <v>199.2</v>
      </c>
      <c r="WB35" s="749"/>
      <c r="WC35" s="539">
        <v>1.196E-2</v>
      </c>
      <c r="WD35" s="531">
        <v>627</v>
      </c>
      <c r="WE35" s="521">
        <v>2.1385999999999998</v>
      </c>
      <c r="WF35" s="520">
        <v>1.2279</v>
      </c>
      <c r="WG35" s="520">
        <v>1.1251</v>
      </c>
      <c r="WH35" s="515">
        <v>198.4</v>
      </c>
      <c r="WI35" s="229">
        <v>240</v>
      </c>
      <c r="WK35" s="193">
        <v>245</v>
      </c>
      <c r="WL35" s="509">
        <v>1.1339999999999999E-2</v>
      </c>
      <c r="WM35" s="514">
        <v>632.20000000000005</v>
      </c>
      <c r="WN35" s="536">
        <v>2.1440999999999999</v>
      </c>
      <c r="WO35" s="536">
        <v>1.2361</v>
      </c>
      <c r="WP35" s="536">
        <v>1.1261000000000001</v>
      </c>
      <c r="WQ35" s="530">
        <v>199.2</v>
      </c>
      <c r="WR35" s="749"/>
      <c r="WS35" s="510">
        <v>1.0800000000000001E-2</v>
      </c>
      <c r="WT35" s="531">
        <v>637.4</v>
      </c>
      <c r="WU35" s="521">
        <v>2.15</v>
      </c>
      <c r="WV35" s="520">
        <v>1.2441</v>
      </c>
      <c r="WW35" s="520">
        <v>1.1269</v>
      </c>
      <c r="WX35" s="531">
        <v>200</v>
      </c>
      <c r="WY35" s="229">
        <v>250</v>
      </c>
      <c r="WZ35" s="520"/>
      <c r="XA35" s="314">
        <v>250</v>
      </c>
      <c r="XB35" s="513">
        <v>1.018E-2</v>
      </c>
      <c r="XC35" s="516">
        <v>636.5</v>
      </c>
      <c r="XD35" s="524">
        <v>2.1440999999999999</v>
      </c>
      <c r="XE35" s="525">
        <v>1.2490000000000001</v>
      </c>
      <c r="XF35" s="507">
        <v>1.1303000000000001</v>
      </c>
      <c r="XG35" s="515">
        <v>199.3</v>
      </c>
      <c r="XH35" s="749"/>
      <c r="XP35" s="176"/>
    </row>
    <row r="36" spans="1:640" ht="15.75" thickBot="1" x14ac:dyDescent="0.3">
      <c r="A36" s="37"/>
      <c r="B36" s="37"/>
      <c r="C36" s="37"/>
      <c r="D36" s="37"/>
      <c r="E36" s="37"/>
      <c r="F36" s="37"/>
      <c r="G36" s="37"/>
      <c r="H36" s="691"/>
      <c r="I36" s="690"/>
      <c r="J36" s="37"/>
      <c r="K36" s="37"/>
      <c r="L36" s="37"/>
      <c r="M36" s="37"/>
      <c r="N36" s="37"/>
      <c r="O36" s="37"/>
      <c r="P36" s="238"/>
      <c r="Q36" s="692"/>
      <c r="R36" s="693"/>
      <c r="S36" s="693"/>
      <c r="T36" s="693"/>
      <c r="U36" s="693"/>
      <c r="V36" s="693"/>
      <c r="W36" s="693"/>
      <c r="X36" s="691"/>
      <c r="AF36" s="37"/>
      <c r="AG36" s="307"/>
      <c r="AH36" s="318"/>
      <c r="AI36" s="318"/>
      <c r="AJ36" s="318"/>
      <c r="AK36" s="318"/>
      <c r="AL36" s="318"/>
      <c r="AM36" s="318"/>
      <c r="AN36" s="731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03"/>
      <c r="CD36" s="313"/>
      <c r="CE36" s="313"/>
      <c r="CF36" s="313"/>
      <c r="CG36" s="313"/>
      <c r="CH36" s="313"/>
      <c r="CI36" s="313"/>
      <c r="CJ36" s="731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219"/>
      <c r="DZ36" s="665"/>
      <c r="EA36" s="666"/>
      <c r="EB36" s="667"/>
      <c r="EC36" s="668"/>
      <c r="ED36" s="668"/>
      <c r="EE36" s="669"/>
      <c r="EF36" s="731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07"/>
      <c r="FF36" s="318"/>
      <c r="FG36" s="318"/>
      <c r="FH36" s="318"/>
      <c r="FI36" s="318"/>
      <c r="FJ36" s="318"/>
      <c r="FK36" s="318"/>
      <c r="FL36" s="731"/>
      <c r="FM36" s="313"/>
      <c r="FN36" s="313"/>
      <c r="FO36" s="313"/>
      <c r="FP36" s="313"/>
      <c r="FQ36" s="313"/>
      <c r="FR36" s="313"/>
      <c r="FS36" s="305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03"/>
      <c r="GL36" s="323"/>
      <c r="GM36" s="323"/>
      <c r="GN36" s="323"/>
      <c r="GO36" s="323"/>
      <c r="GP36" s="323"/>
      <c r="GQ36" s="323"/>
      <c r="GR36" s="731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M36" s="324"/>
      <c r="JN36" s="313"/>
      <c r="JP36" s="313"/>
      <c r="JQ36" s="313"/>
      <c r="JR36" s="313"/>
      <c r="JS36" s="313"/>
      <c r="JT36" s="731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I36" s="230"/>
      <c r="LJ36" s="345"/>
      <c r="LK36" s="346"/>
      <c r="LL36" s="346"/>
      <c r="LM36" s="345"/>
      <c r="LN36" s="356"/>
      <c r="LO36" s="345"/>
      <c r="LP36" s="731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E36" s="303"/>
      <c r="NF36" s="323"/>
      <c r="NG36" s="323"/>
      <c r="NH36" s="323"/>
      <c r="NI36" s="323"/>
      <c r="NJ36" s="323"/>
      <c r="NK36" s="323"/>
      <c r="NL36" s="731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K36" s="230">
        <v>180</v>
      </c>
      <c r="OL36" s="462">
        <v>5.5199999999999999E-2</v>
      </c>
      <c r="OM36" s="535">
        <v>571.4</v>
      </c>
      <c r="ON36" s="521">
        <v>2.1463999999999999</v>
      </c>
      <c r="OO36" s="461">
        <v>1.0979000000000001</v>
      </c>
      <c r="OP36" s="461">
        <v>1.0953999999999999</v>
      </c>
      <c r="OQ36" s="531">
        <v>195.4</v>
      </c>
      <c r="OR36" s="731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Q36" s="210"/>
      <c r="PR36" s="351"/>
      <c r="PS36" s="351"/>
      <c r="PT36" s="351"/>
      <c r="PX36" s="731"/>
      <c r="QG36" s="228"/>
      <c r="QH36" s="345"/>
      <c r="QI36" s="346"/>
      <c r="QJ36" s="346"/>
      <c r="QK36" s="345"/>
      <c r="QL36" s="345"/>
      <c r="QM36" s="345"/>
      <c r="QN36" s="731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M36" s="326"/>
      <c r="RN36" s="318"/>
      <c r="RO36" s="318"/>
      <c r="RP36" s="318"/>
      <c r="RQ36" s="318"/>
      <c r="RR36" s="318"/>
      <c r="RS36" s="318"/>
      <c r="RT36" s="731"/>
      <c r="SC36" s="306"/>
      <c r="SD36" s="351"/>
      <c r="SE36" s="351"/>
      <c r="SF36" s="351"/>
      <c r="SG36" s="352"/>
      <c r="SH36" s="353"/>
      <c r="SI36" s="352"/>
      <c r="SJ36" s="731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Y36" s="603"/>
      <c r="TZ36" s="603"/>
      <c r="UA36" s="603"/>
      <c r="UB36" s="603"/>
      <c r="UC36" s="603"/>
      <c r="UD36" s="603"/>
      <c r="UE36" s="603"/>
      <c r="UF36" s="603"/>
      <c r="UG36" s="603"/>
      <c r="UH36" s="603"/>
      <c r="UI36" s="603"/>
      <c r="UJ36" s="603"/>
      <c r="UK36" s="603"/>
      <c r="UL36" s="603"/>
      <c r="UM36" s="603"/>
      <c r="UO36" s="219"/>
      <c r="UP36" s="352"/>
      <c r="UQ36" s="614"/>
      <c r="UR36" s="614"/>
      <c r="US36" s="614"/>
      <c r="UT36" s="615"/>
      <c r="UU36" s="352"/>
      <c r="UV36" s="749"/>
      <c r="VE36" s="230"/>
      <c r="VF36" s="345"/>
      <c r="VG36" s="346"/>
      <c r="VH36" s="346"/>
      <c r="VI36" s="345"/>
      <c r="VJ36" s="347"/>
      <c r="VK36" s="345"/>
      <c r="VL36" s="749"/>
      <c r="VU36" s="603"/>
      <c r="VV36" s="603"/>
      <c r="VW36" s="603"/>
      <c r="VX36" s="603"/>
      <c r="VY36" s="603"/>
      <c r="VZ36" s="603"/>
      <c r="WA36" s="603"/>
      <c r="WB36" s="603"/>
      <c r="WC36" s="603"/>
      <c r="WD36" s="603"/>
      <c r="WE36" s="603"/>
      <c r="WF36" s="603"/>
      <c r="WG36" s="603"/>
      <c r="WH36" s="603"/>
      <c r="WI36" s="603"/>
      <c r="WK36" s="328"/>
      <c r="WL36" s="607"/>
      <c r="WM36" s="607"/>
      <c r="WN36" s="607"/>
      <c r="WO36" s="607"/>
      <c r="WP36" s="607"/>
      <c r="WQ36" s="607"/>
      <c r="WR36" s="749"/>
      <c r="WZ36" s="520"/>
      <c r="XA36" s="603"/>
      <c r="XB36" s="603"/>
      <c r="XC36" s="603"/>
      <c r="XD36" s="603"/>
      <c r="XE36" s="603"/>
      <c r="XF36" s="603"/>
      <c r="XG36" s="603"/>
      <c r="XH36" s="603"/>
      <c r="XI36" s="603"/>
      <c r="XJ36" s="603"/>
      <c r="XK36" s="603"/>
      <c r="XL36" s="603"/>
      <c r="XM36" s="603"/>
      <c r="XN36" s="603"/>
      <c r="XO36" s="603"/>
      <c r="XP36" s="177"/>
    </row>
    <row r="37" spans="1:640" ht="16.5" thickTop="1" thickBot="1" x14ac:dyDescent="0.3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P37" s="731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U37" s="351"/>
      <c r="PV37" s="353"/>
      <c r="PW37" s="355"/>
      <c r="PX37" s="731"/>
      <c r="QN37" s="731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J37" s="731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Y37" s="603"/>
      <c r="TZ37" s="603"/>
      <c r="UA37" s="603"/>
      <c r="UB37" s="603"/>
      <c r="UC37" s="603"/>
      <c r="UD37" s="603"/>
      <c r="UE37" s="603"/>
      <c r="UF37" s="603"/>
      <c r="UG37" s="603"/>
      <c r="UH37" s="603"/>
      <c r="UI37" s="603"/>
      <c r="UJ37" s="603"/>
      <c r="UK37" s="603"/>
      <c r="UL37" s="603"/>
      <c r="UM37" s="603"/>
      <c r="UO37" s="603"/>
      <c r="UP37" s="603"/>
      <c r="UQ37" s="603"/>
      <c r="UR37" s="603"/>
      <c r="US37" s="603"/>
      <c r="UT37" s="603"/>
      <c r="UU37" s="603"/>
      <c r="UV37" s="603"/>
      <c r="UW37" s="603"/>
      <c r="UX37" s="603"/>
      <c r="UY37" s="603"/>
      <c r="UZ37" s="603"/>
      <c r="VA37" s="603"/>
      <c r="VB37" s="603"/>
      <c r="VC37" s="603"/>
      <c r="VE37" s="605"/>
      <c r="VF37" s="605"/>
      <c r="VG37" s="605"/>
      <c r="VH37" s="605"/>
      <c r="VI37" s="605"/>
      <c r="VJ37" s="605"/>
      <c r="VK37" s="605"/>
      <c r="VL37" s="749"/>
      <c r="VM37" s="605"/>
      <c r="VN37" s="605"/>
      <c r="VO37" s="605"/>
      <c r="VP37" s="605"/>
      <c r="VQ37" s="605"/>
      <c r="VR37" s="605"/>
      <c r="VS37" s="605"/>
      <c r="VU37" s="603"/>
      <c r="VV37" s="603"/>
      <c r="VW37" s="603"/>
      <c r="VX37" s="603"/>
      <c r="VY37" s="603"/>
      <c r="VZ37" s="603"/>
      <c r="WA37" s="603"/>
      <c r="WB37" s="603"/>
      <c r="WC37" s="603"/>
      <c r="WD37" s="603"/>
      <c r="WE37" s="603"/>
      <c r="WF37" s="603"/>
      <c r="WG37" s="603"/>
      <c r="WH37" s="603"/>
      <c r="WI37" s="603"/>
      <c r="WK37" s="603"/>
      <c r="WL37" s="603"/>
      <c r="WM37" s="603"/>
      <c r="WN37" s="603"/>
      <c r="WO37" s="603"/>
      <c r="WP37" s="603"/>
      <c r="WQ37" s="603"/>
      <c r="WR37" s="603"/>
      <c r="WS37" s="603"/>
      <c r="WT37" s="603"/>
      <c r="WU37" s="603"/>
      <c r="WV37" s="603"/>
      <c r="WW37" s="603"/>
      <c r="WX37" s="603"/>
      <c r="WY37" s="603"/>
      <c r="WZ37" s="400"/>
      <c r="XA37" s="603"/>
      <c r="XB37" s="603"/>
      <c r="XC37" s="603"/>
      <c r="XD37" s="603"/>
      <c r="XE37" s="603"/>
      <c r="XF37" s="603"/>
      <c r="XG37" s="603"/>
      <c r="XH37" s="603"/>
      <c r="XI37" s="603"/>
      <c r="XJ37" s="603"/>
      <c r="XK37" s="603"/>
      <c r="XL37" s="603"/>
      <c r="XM37" s="603"/>
      <c r="XN37" s="603"/>
      <c r="XO37" s="603"/>
      <c r="XP37" s="191"/>
    </row>
    <row r="38" spans="1:640" ht="15.75" thickBot="1" x14ac:dyDescent="0.3">
      <c r="A38" s="655" t="s">
        <v>139</v>
      </c>
      <c r="B38" s="655" t="s">
        <v>140</v>
      </c>
      <c r="C38" s="122" t="s">
        <v>141</v>
      </c>
      <c r="WZ38" s="400"/>
      <c r="XP38" s="197"/>
    </row>
    <row r="39" spans="1:640" ht="15.75" thickBot="1" x14ac:dyDescent="0.3">
      <c r="A39" s="656">
        <v>10</v>
      </c>
      <c r="B39" s="656">
        <v>-66.849999999999994</v>
      </c>
      <c r="C39" s="359">
        <v>1.8191999999999999</v>
      </c>
      <c r="WZ39" s="400"/>
      <c r="XP39" s="191"/>
    </row>
    <row r="40" spans="1:640" ht="15.75" thickBot="1" x14ac:dyDescent="0.3">
      <c r="A40" s="656">
        <v>20</v>
      </c>
      <c r="B40" s="656">
        <v>-56.39</v>
      </c>
      <c r="C40" s="359">
        <v>1.7945</v>
      </c>
      <c r="WZ40" s="400"/>
      <c r="XP40" s="195"/>
    </row>
    <row r="41" spans="1:640" ht="15.75" thickBot="1" x14ac:dyDescent="0.3">
      <c r="A41" s="656">
        <v>30</v>
      </c>
      <c r="B41" s="656">
        <v>-49.66</v>
      </c>
      <c r="C41" s="359">
        <v>1.7813000000000001</v>
      </c>
      <c r="WZ41" s="520"/>
      <c r="XP41" s="211"/>
    </row>
    <row r="42" spans="1:640" ht="15.75" thickBot="1" x14ac:dyDescent="0.3">
      <c r="A42" s="656">
        <v>40</v>
      </c>
      <c r="B42" s="656">
        <v>-44.57</v>
      </c>
      <c r="C42" s="359">
        <v>1.7725</v>
      </c>
      <c r="WZ42" s="520"/>
      <c r="XP42" s="231"/>
    </row>
    <row r="43" spans="1:640" ht="15.75" thickBot="1" x14ac:dyDescent="0.3">
      <c r="A43" s="656">
        <v>50</v>
      </c>
      <c r="B43" s="175">
        <v>-40.43</v>
      </c>
      <c r="C43" s="400">
        <v>1.7661</v>
      </c>
      <c r="WZ43" s="520"/>
      <c r="XP43" s="170"/>
    </row>
    <row r="44" spans="1:640" ht="15.75" thickBot="1" x14ac:dyDescent="0.3">
      <c r="A44" s="656">
        <v>60</v>
      </c>
      <c r="B44" s="177">
        <v>-36.909999999999997</v>
      </c>
      <c r="C44" s="402">
        <v>1.7611000000000001</v>
      </c>
      <c r="WZ44" s="520"/>
      <c r="XP44" s="177"/>
    </row>
    <row r="45" spans="1:640" ht="15.75" thickBot="1" x14ac:dyDescent="0.3">
      <c r="A45" s="656">
        <v>70</v>
      </c>
      <c r="B45" s="178">
        <v>-33.83</v>
      </c>
      <c r="C45" s="400">
        <v>1.7571000000000001</v>
      </c>
      <c r="WZ45" s="400"/>
      <c r="XP45" s="192"/>
    </row>
    <row r="46" spans="1:640" ht="15.75" thickBot="1" x14ac:dyDescent="0.3">
      <c r="A46" s="656">
        <v>80</v>
      </c>
      <c r="B46" s="179">
        <v>-31.09</v>
      </c>
      <c r="C46" s="402">
        <v>1.7538</v>
      </c>
      <c r="WZ46" s="400"/>
      <c r="XP46" s="195"/>
    </row>
    <row r="47" spans="1:640" ht="15.75" thickBot="1" x14ac:dyDescent="0.3">
      <c r="A47" s="656">
        <v>90</v>
      </c>
      <c r="B47" s="175">
        <v>-28.61</v>
      </c>
      <c r="C47" s="400">
        <v>1.7508999999999999</v>
      </c>
      <c r="WZ47" s="400"/>
      <c r="XP47" s="192"/>
    </row>
    <row r="48" spans="1:640" ht="15.75" thickBot="1" x14ac:dyDescent="0.3">
      <c r="A48" s="656">
        <v>100</v>
      </c>
      <c r="B48" s="177">
        <v>-26.34</v>
      </c>
      <c r="C48" s="400">
        <v>1.7484</v>
      </c>
      <c r="WZ48" s="400"/>
      <c r="XP48" s="195"/>
    </row>
    <row r="49" spans="1:640" ht="15.75" thickBot="1" x14ac:dyDescent="0.3">
      <c r="A49" s="656">
        <v>101.325</v>
      </c>
      <c r="B49" s="180">
        <v>-26.06</v>
      </c>
      <c r="C49" s="400">
        <v>1.7481</v>
      </c>
      <c r="WZ49" s="521"/>
      <c r="XP49" s="170"/>
    </row>
    <row r="50" spans="1:640" ht="15.75" thickBot="1" x14ac:dyDescent="0.3">
      <c r="A50" s="656">
        <v>110</v>
      </c>
      <c r="B50" s="181">
        <v>-24.25</v>
      </c>
      <c r="C50" s="400">
        <v>1.7462</v>
      </c>
      <c r="WZ50" s="461"/>
      <c r="XP50" s="177"/>
    </row>
    <row r="51" spans="1:640" ht="15.75" thickBot="1" x14ac:dyDescent="0.3">
      <c r="A51" s="656">
        <v>120</v>
      </c>
      <c r="B51" s="175">
        <v>-22.29</v>
      </c>
      <c r="C51" s="400">
        <v>1.7443</v>
      </c>
      <c r="WZ51" s="521"/>
      <c r="XP51" s="170"/>
    </row>
    <row r="52" spans="1:640" ht="15.75" thickBot="1" x14ac:dyDescent="0.3">
      <c r="A52" s="656">
        <v>130</v>
      </c>
      <c r="B52" s="177">
        <v>-20.47</v>
      </c>
      <c r="C52" s="400">
        <v>1.7425999999999999</v>
      </c>
      <c r="WZ52" s="461"/>
      <c r="XP52" s="177"/>
    </row>
    <row r="53" spans="1:640" ht="15.75" thickBot="1" x14ac:dyDescent="0.3">
      <c r="A53" s="656">
        <v>140</v>
      </c>
      <c r="B53" s="178">
        <v>-18.75</v>
      </c>
      <c r="C53" s="400">
        <v>1.7411000000000001</v>
      </c>
      <c r="WZ53" s="400"/>
      <c r="XP53" s="191"/>
    </row>
    <row r="54" spans="1:640" ht="15.75" thickBot="1" x14ac:dyDescent="0.3">
      <c r="A54" s="656">
        <v>150</v>
      </c>
      <c r="B54" s="179">
        <v>-17.12</v>
      </c>
      <c r="C54" s="400">
        <v>1.7397</v>
      </c>
      <c r="WZ54" s="400"/>
      <c r="XP54" s="200"/>
    </row>
    <row r="55" spans="1:640" ht="15.75" thickBot="1" x14ac:dyDescent="0.3">
      <c r="A55" s="656">
        <v>160</v>
      </c>
      <c r="B55" s="182">
        <v>-15.58</v>
      </c>
      <c r="C55" s="469">
        <v>1.7383999999999999</v>
      </c>
      <c r="WZ55" s="400"/>
      <c r="XP55" s="192"/>
    </row>
    <row r="56" spans="1:640" ht="15.75" thickBot="1" x14ac:dyDescent="0.3">
      <c r="A56" s="656">
        <v>170</v>
      </c>
      <c r="B56" s="186">
        <v>-14.11</v>
      </c>
      <c r="C56" s="469">
        <v>1.7372000000000001</v>
      </c>
      <c r="WZ56" s="400"/>
      <c r="XP56" s="195"/>
    </row>
    <row r="57" spans="1:640" ht="15.75" thickBot="1" x14ac:dyDescent="0.3">
      <c r="A57" s="656">
        <v>180</v>
      </c>
      <c r="B57" s="187">
        <v>-12.71</v>
      </c>
      <c r="C57" s="469">
        <v>1.7361</v>
      </c>
      <c r="WZ57" s="520"/>
      <c r="XP57" s="170"/>
    </row>
    <row r="58" spans="1:640" ht="15.75" thickBot="1" x14ac:dyDescent="0.3">
      <c r="A58" s="656">
        <v>190</v>
      </c>
      <c r="B58" s="188">
        <v>-11.37</v>
      </c>
      <c r="C58" s="469">
        <v>1.7351000000000001</v>
      </c>
      <c r="WZ58" s="520"/>
      <c r="XP58" s="177"/>
    </row>
    <row r="59" spans="1:640" ht="15.75" thickBot="1" x14ac:dyDescent="0.3">
      <c r="A59" s="656">
        <v>200</v>
      </c>
      <c r="B59" s="221">
        <v>-10.08</v>
      </c>
      <c r="C59" s="400">
        <v>1.7342</v>
      </c>
      <c r="WZ59" s="521"/>
      <c r="XP59" s="170"/>
    </row>
    <row r="60" spans="1:640" ht="15.75" thickBot="1" x14ac:dyDescent="0.3">
      <c r="A60" s="656">
        <v>210</v>
      </c>
      <c r="B60" s="206">
        <v>-8.84</v>
      </c>
      <c r="C60" s="400">
        <v>1.7333000000000001</v>
      </c>
      <c r="WZ60" s="521"/>
      <c r="XP60" s="177"/>
    </row>
    <row r="61" spans="1:640" ht="15.75" thickBot="1" x14ac:dyDescent="0.3">
      <c r="A61" s="656">
        <v>220</v>
      </c>
      <c r="B61" s="189">
        <v>-7.64</v>
      </c>
      <c r="C61" s="498">
        <v>1.7324999999999999</v>
      </c>
      <c r="WZ61" s="400"/>
      <c r="XP61" s="170"/>
    </row>
    <row r="62" spans="1:640" ht="15.75" thickBot="1" x14ac:dyDescent="0.3">
      <c r="A62" s="656">
        <v>230</v>
      </c>
      <c r="B62" s="173">
        <v>-6.49</v>
      </c>
      <c r="C62" s="400">
        <v>1.7317</v>
      </c>
      <c r="WZ62" s="400"/>
      <c r="XP62" s="201"/>
    </row>
    <row r="63" spans="1:640" ht="15.75" thickBot="1" x14ac:dyDescent="0.3">
      <c r="A63" s="656">
        <v>240</v>
      </c>
      <c r="B63" s="170">
        <v>-5.37</v>
      </c>
      <c r="C63" s="400">
        <v>1.7310000000000001</v>
      </c>
      <c r="WZ63" s="400"/>
      <c r="XP63" s="170"/>
    </row>
    <row r="64" spans="1:640" ht="15.75" thickBot="1" x14ac:dyDescent="0.3">
      <c r="A64" s="656">
        <v>250</v>
      </c>
      <c r="B64" s="177">
        <v>-4.29</v>
      </c>
      <c r="C64" s="400">
        <v>1.7302999999999999</v>
      </c>
      <c r="WZ64" s="400"/>
      <c r="XP64" s="177"/>
    </row>
    <row r="65" spans="1:640" ht="15.75" thickBot="1" x14ac:dyDescent="0.3">
      <c r="A65" s="656">
        <v>260</v>
      </c>
      <c r="B65" s="170">
        <v>-3.24</v>
      </c>
      <c r="C65" s="400">
        <v>1.7297</v>
      </c>
      <c r="WZ65" s="400"/>
      <c r="XP65" s="183"/>
    </row>
    <row r="66" spans="1:640" ht="15.75" thickBot="1" x14ac:dyDescent="0.3">
      <c r="A66" s="656">
        <v>270</v>
      </c>
      <c r="B66" s="177">
        <v>-2.23</v>
      </c>
      <c r="C66" s="400">
        <v>1.7291000000000001</v>
      </c>
      <c r="WZ66" s="400"/>
      <c r="XP66" s="186"/>
    </row>
    <row r="67" spans="1:640" ht="15.75" thickBot="1" x14ac:dyDescent="0.3">
      <c r="A67" s="656">
        <v>280</v>
      </c>
      <c r="B67" s="170">
        <v>-1.24</v>
      </c>
      <c r="C67" s="400">
        <v>1.7284999999999999</v>
      </c>
      <c r="WZ67" s="400"/>
      <c r="XP67" s="183"/>
    </row>
    <row r="68" spans="1:640" ht="15.75" thickBot="1" x14ac:dyDescent="0.3">
      <c r="A68" s="656">
        <v>290</v>
      </c>
      <c r="B68" s="177">
        <v>-0.28000000000000003</v>
      </c>
      <c r="C68" s="400">
        <v>1.728</v>
      </c>
      <c r="WZ68" s="400"/>
      <c r="XP68" s="186"/>
    </row>
    <row r="69" spans="1:640" ht="15.75" thickBot="1" x14ac:dyDescent="0.3">
      <c r="A69" s="656">
        <v>300</v>
      </c>
      <c r="B69" s="170">
        <v>0.66</v>
      </c>
      <c r="C69" s="400">
        <v>1.7275</v>
      </c>
      <c r="WZ69" s="469"/>
      <c r="XP69" s="191"/>
    </row>
    <row r="70" spans="1:640" ht="15.75" thickBot="1" x14ac:dyDescent="0.3">
      <c r="A70" s="656">
        <v>310</v>
      </c>
      <c r="B70" s="177">
        <v>1.57</v>
      </c>
      <c r="C70" s="507">
        <v>1.7270000000000001</v>
      </c>
      <c r="WZ70" s="469"/>
      <c r="XP70" s="195"/>
    </row>
    <row r="71" spans="1:640" ht="15.75" thickBot="1" x14ac:dyDescent="0.3">
      <c r="A71" s="656">
        <v>320</v>
      </c>
      <c r="B71" s="191">
        <v>2.46</v>
      </c>
      <c r="C71" s="520">
        <v>1.7264999999999999</v>
      </c>
      <c r="WZ71" s="469"/>
      <c r="XP71" s="192"/>
    </row>
    <row r="72" spans="1:640" ht="15.75" thickBot="1" x14ac:dyDescent="0.3">
      <c r="A72" s="656">
        <v>330</v>
      </c>
      <c r="B72" s="194">
        <v>3.33</v>
      </c>
      <c r="C72" s="520">
        <v>1.726</v>
      </c>
      <c r="WZ72" s="469"/>
      <c r="XP72" s="195"/>
    </row>
    <row r="73" spans="1:640" ht="15.75" thickBot="1" x14ac:dyDescent="0.3">
      <c r="A73" s="656">
        <v>340</v>
      </c>
      <c r="B73" s="226">
        <v>4.18</v>
      </c>
      <c r="C73" s="520">
        <v>1.7256</v>
      </c>
      <c r="WZ73" s="520"/>
      <c r="XP73" s="191"/>
    </row>
    <row r="74" spans="1:640" ht="15.75" thickBot="1" x14ac:dyDescent="0.3">
      <c r="A74" s="656">
        <v>350</v>
      </c>
      <c r="B74" s="229">
        <v>5.01</v>
      </c>
      <c r="C74" s="520">
        <v>1.7252000000000001</v>
      </c>
      <c r="WZ74" s="520"/>
      <c r="XP74" s="195"/>
    </row>
    <row r="75" spans="1:640" ht="15.75" thickBot="1" x14ac:dyDescent="0.3">
      <c r="A75" s="656">
        <v>360</v>
      </c>
      <c r="B75" s="170">
        <v>5.82</v>
      </c>
      <c r="C75" s="400">
        <v>1.7248000000000001</v>
      </c>
      <c r="WZ75" s="520"/>
      <c r="XP75" s="192"/>
    </row>
    <row r="76" spans="1:640" ht="15.75" thickBot="1" x14ac:dyDescent="0.3">
      <c r="A76" s="656">
        <v>370</v>
      </c>
      <c r="B76" s="177">
        <v>6.62</v>
      </c>
      <c r="C76" s="400">
        <v>1.7243999999999999</v>
      </c>
      <c r="WZ76" s="520"/>
      <c r="XP76" s="203"/>
    </row>
    <row r="77" spans="1:640" ht="15.75" thickBot="1" x14ac:dyDescent="0.3">
      <c r="A77" s="656">
        <v>380</v>
      </c>
      <c r="B77" s="176">
        <v>7.4</v>
      </c>
      <c r="C77" s="400">
        <v>1.724</v>
      </c>
      <c r="WZ77" s="521"/>
    </row>
    <row r="78" spans="1:640" ht="15.75" thickBot="1" x14ac:dyDescent="0.3">
      <c r="A78" s="656">
        <v>390</v>
      </c>
      <c r="B78" s="177">
        <v>8.16</v>
      </c>
      <c r="C78" s="400">
        <v>1.7237</v>
      </c>
      <c r="WZ78" s="521"/>
    </row>
    <row r="79" spans="1:640" ht="15.75" thickBot="1" x14ac:dyDescent="0.3">
      <c r="A79" s="656">
        <v>400</v>
      </c>
      <c r="B79" s="191">
        <v>8.91</v>
      </c>
      <c r="C79" s="520">
        <v>1.7234</v>
      </c>
      <c r="WZ79" s="521"/>
    </row>
    <row r="80" spans="1:640" ht="15.75" thickBot="1" x14ac:dyDescent="0.3">
      <c r="A80" s="656">
        <v>425</v>
      </c>
      <c r="B80" s="197">
        <v>10.72</v>
      </c>
      <c r="C80" s="520">
        <v>1.7225999999999999</v>
      </c>
      <c r="WZ80" s="520"/>
    </row>
    <row r="81" spans="1:3" ht="15.75" thickBot="1" x14ac:dyDescent="0.3">
      <c r="A81" s="656">
        <v>450</v>
      </c>
      <c r="B81" s="191">
        <v>12.45</v>
      </c>
      <c r="C81" s="520">
        <v>1.7218</v>
      </c>
    </row>
    <row r="82" spans="1:3" ht="15.75" thickBot="1" x14ac:dyDescent="0.3">
      <c r="A82" s="656">
        <v>475</v>
      </c>
      <c r="B82" s="195">
        <v>14.11</v>
      </c>
      <c r="C82" s="520">
        <v>1.7211000000000001</v>
      </c>
    </row>
    <row r="83" spans="1:3" ht="15.75" thickBot="1" x14ac:dyDescent="0.3">
      <c r="A83" s="656">
        <v>500</v>
      </c>
      <c r="B83" s="211">
        <v>15.71</v>
      </c>
      <c r="C83" s="400">
        <v>1.7204999999999999</v>
      </c>
    </row>
    <row r="84" spans="1:3" ht="15.75" thickBot="1" x14ac:dyDescent="0.3">
      <c r="A84" s="656">
        <v>525</v>
      </c>
      <c r="B84" s="231">
        <v>17.239999999999998</v>
      </c>
      <c r="C84" s="400">
        <v>1.7199</v>
      </c>
    </row>
    <row r="85" spans="1:3" ht="15.75" thickBot="1" x14ac:dyDescent="0.3">
      <c r="A85" s="656">
        <v>550</v>
      </c>
      <c r="B85" s="170">
        <v>18.72</v>
      </c>
      <c r="C85" s="400">
        <v>1.7193000000000001</v>
      </c>
    </row>
    <row r="86" spans="1:3" ht="15.75" thickBot="1" x14ac:dyDescent="0.3">
      <c r="A86" s="656">
        <v>575</v>
      </c>
      <c r="B86" s="177">
        <v>20.149999999999999</v>
      </c>
      <c r="C86" s="400">
        <v>1.7188000000000001</v>
      </c>
    </row>
    <row r="87" spans="1:3" ht="15.75" thickBot="1" x14ac:dyDescent="0.3">
      <c r="A87" s="656">
        <v>600</v>
      </c>
      <c r="B87" s="192">
        <v>21.54</v>
      </c>
      <c r="C87" s="521">
        <v>1.7182999999999999</v>
      </c>
    </row>
    <row r="88" spans="1:3" ht="15.75" thickBot="1" x14ac:dyDescent="0.3">
      <c r="A88" s="656">
        <v>625</v>
      </c>
      <c r="B88" s="195">
        <v>22.88</v>
      </c>
      <c r="C88" s="461">
        <v>1.7179</v>
      </c>
    </row>
    <row r="89" spans="1:3" ht="15.75" thickBot="1" x14ac:dyDescent="0.3">
      <c r="A89" s="656">
        <v>650</v>
      </c>
      <c r="B89" s="192">
        <v>24.18</v>
      </c>
      <c r="C89" s="521">
        <v>1.7174</v>
      </c>
    </row>
    <row r="90" spans="1:3" ht="15.75" thickBot="1" x14ac:dyDescent="0.3">
      <c r="A90" s="656">
        <v>675</v>
      </c>
      <c r="B90" s="195">
        <v>25.45</v>
      </c>
      <c r="C90" s="461">
        <v>1.7170000000000001</v>
      </c>
    </row>
    <row r="91" spans="1:3" ht="15.75" thickBot="1" x14ac:dyDescent="0.3">
      <c r="A91" s="656">
        <v>700</v>
      </c>
      <c r="B91" s="170">
        <v>26.68</v>
      </c>
      <c r="C91" s="400">
        <v>1.7165999999999999</v>
      </c>
    </row>
    <row r="92" spans="1:3" ht="15.75" thickBot="1" x14ac:dyDescent="0.3">
      <c r="A92" s="656">
        <v>725</v>
      </c>
      <c r="B92" s="177">
        <v>27.88</v>
      </c>
      <c r="C92" s="400">
        <v>1.7161999999999999</v>
      </c>
    </row>
    <row r="93" spans="1:3" ht="15.75" thickBot="1" x14ac:dyDescent="0.3">
      <c r="A93" s="656">
        <v>750</v>
      </c>
      <c r="B93" s="170">
        <v>29.04</v>
      </c>
      <c r="C93" s="400">
        <v>1.7158</v>
      </c>
    </row>
    <row r="94" spans="1:3" ht="15.75" thickBot="1" x14ac:dyDescent="0.3">
      <c r="A94" s="656">
        <v>800</v>
      </c>
      <c r="B94" s="177">
        <v>31.29</v>
      </c>
      <c r="C94" s="400">
        <v>1.7150000000000001</v>
      </c>
    </row>
    <row r="95" spans="1:3" ht="15.75" thickBot="1" x14ac:dyDescent="0.3">
      <c r="A95" s="656">
        <v>850</v>
      </c>
      <c r="B95" s="191">
        <v>33.44</v>
      </c>
      <c r="C95" s="520">
        <v>1.7142999999999999</v>
      </c>
    </row>
    <row r="96" spans="1:3" ht="15.75" thickBot="1" x14ac:dyDescent="0.3">
      <c r="A96" s="656">
        <v>900</v>
      </c>
      <c r="B96" s="200">
        <v>35.49</v>
      </c>
      <c r="C96" s="520">
        <v>1.7137</v>
      </c>
    </row>
    <row r="97" spans="1:3" ht="15.75" thickBot="1" x14ac:dyDescent="0.3">
      <c r="A97" s="656">
        <v>950</v>
      </c>
      <c r="B97" s="192">
        <v>37.46</v>
      </c>
      <c r="C97" s="521">
        <v>1.7130000000000001</v>
      </c>
    </row>
    <row r="98" spans="1:3" ht="15.75" thickBot="1" x14ac:dyDescent="0.3">
      <c r="A98" s="656">
        <v>1000</v>
      </c>
      <c r="B98" s="195">
        <v>39.35</v>
      </c>
      <c r="C98" s="521">
        <v>1.7123999999999999</v>
      </c>
    </row>
    <row r="99" spans="1:3" ht="15.75" thickBot="1" x14ac:dyDescent="0.3">
      <c r="A99" s="656">
        <v>1100</v>
      </c>
      <c r="B99" s="170">
        <v>42.93</v>
      </c>
      <c r="C99" s="400">
        <v>1.7112000000000001</v>
      </c>
    </row>
    <row r="100" spans="1:3" ht="15.75" thickBot="1" x14ac:dyDescent="0.3">
      <c r="A100" s="656">
        <v>1200</v>
      </c>
      <c r="B100" s="177">
        <v>46.28</v>
      </c>
      <c r="C100" s="400">
        <v>1.71</v>
      </c>
    </row>
    <row r="101" spans="1:3" ht="15.75" thickBot="1" x14ac:dyDescent="0.3">
      <c r="A101" s="656">
        <v>1300</v>
      </c>
      <c r="B101" s="170">
        <v>49.42</v>
      </c>
      <c r="C101" s="400">
        <v>1.7088000000000001</v>
      </c>
    </row>
    <row r="102" spans="1:3" ht="15.75" thickBot="1" x14ac:dyDescent="0.3">
      <c r="A102" s="656">
        <v>1400</v>
      </c>
      <c r="B102" s="177">
        <v>52.39</v>
      </c>
      <c r="C102" s="400">
        <v>1.7076</v>
      </c>
    </row>
    <row r="103" spans="1:3" ht="15.75" thickBot="1" x14ac:dyDescent="0.3">
      <c r="A103" s="656">
        <v>1500</v>
      </c>
      <c r="B103" s="170">
        <v>55.2</v>
      </c>
      <c r="C103" s="400">
        <v>1.7062999999999999</v>
      </c>
    </row>
    <row r="104" spans="1:3" ht="15.75" thickBot="1" x14ac:dyDescent="0.3">
      <c r="A104" s="656">
        <v>1600</v>
      </c>
      <c r="B104" s="201">
        <v>57.88</v>
      </c>
      <c r="C104" s="400">
        <v>1.7050000000000001</v>
      </c>
    </row>
    <row r="105" spans="1:3" ht="15.75" thickBot="1" x14ac:dyDescent="0.3">
      <c r="A105" s="656">
        <v>1700</v>
      </c>
      <c r="B105" s="170">
        <v>60.43</v>
      </c>
      <c r="C105" s="400">
        <v>1.7037</v>
      </c>
    </row>
    <row r="106" spans="1:3" ht="15.75" thickBot="1" x14ac:dyDescent="0.3">
      <c r="A106" s="656">
        <v>1800</v>
      </c>
      <c r="B106" s="177">
        <v>62.87</v>
      </c>
      <c r="C106" s="400">
        <v>1.7021999999999999</v>
      </c>
    </row>
    <row r="107" spans="1:3" ht="15.75" thickBot="1" x14ac:dyDescent="0.3">
      <c r="A107" s="656">
        <v>1900</v>
      </c>
      <c r="B107" s="183">
        <v>65.22</v>
      </c>
      <c r="C107" s="469">
        <v>1.7007000000000001</v>
      </c>
    </row>
    <row r="108" spans="1:3" ht="15.75" thickBot="1" x14ac:dyDescent="0.3">
      <c r="A108" s="656">
        <v>2000</v>
      </c>
      <c r="B108" s="186">
        <v>67.47</v>
      </c>
      <c r="C108" s="469">
        <v>1.6991000000000001</v>
      </c>
    </row>
    <row r="109" spans="1:3" ht="15.75" thickBot="1" x14ac:dyDescent="0.3">
      <c r="A109" s="656">
        <v>2200</v>
      </c>
      <c r="B109" s="183">
        <v>71.72</v>
      </c>
      <c r="C109" s="469">
        <v>1.6956</v>
      </c>
    </row>
    <row r="110" spans="1:3" ht="15.75" thickBot="1" x14ac:dyDescent="0.3">
      <c r="A110" s="656">
        <v>2400</v>
      </c>
      <c r="B110" s="186">
        <v>75.69</v>
      </c>
      <c r="C110" s="469">
        <v>1.6917</v>
      </c>
    </row>
    <row r="111" spans="1:3" ht="15.75" thickBot="1" x14ac:dyDescent="0.3">
      <c r="A111" s="656">
        <v>2600</v>
      </c>
      <c r="B111" s="191">
        <v>79.41</v>
      </c>
      <c r="C111" s="520">
        <v>1.6872</v>
      </c>
    </row>
    <row r="112" spans="1:3" ht="15.75" thickBot="1" x14ac:dyDescent="0.3">
      <c r="A112" s="656">
        <v>2800</v>
      </c>
      <c r="B112" s="195">
        <v>82.91</v>
      </c>
      <c r="C112" s="520">
        <v>1.6819</v>
      </c>
    </row>
    <row r="113" spans="1:3" ht="15.75" thickBot="1" x14ac:dyDescent="0.3">
      <c r="A113" s="656">
        <v>3000</v>
      </c>
      <c r="B113" s="192">
        <v>86.22</v>
      </c>
      <c r="C113" s="520">
        <v>1.6758</v>
      </c>
    </row>
    <row r="114" spans="1:3" ht="15.75" thickBot="1" x14ac:dyDescent="0.3">
      <c r="A114" s="656">
        <v>3200</v>
      </c>
      <c r="B114" s="195">
        <v>89.35</v>
      </c>
      <c r="C114" s="520">
        <v>1.6685000000000001</v>
      </c>
    </row>
    <row r="115" spans="1:3" ht="15.75" thickBot="1" x14ac:dyDescent="0.3">
      <c r="A115" s="656">
        <v>3400</v>
      </c>
      <c r="B115" s="191">
        <v>92.32</v>
      </c>
      <c r="C115" s="521">
        <v>1.6596</v>
      </c>
    </row>
    <row r="116" spans="1:3" ht="15.75" thickBot="1" x14ac:dyDescent="0.3">
      <c r="A116" s="656">
        <v>3600</v>
      </c>
      <c r="B116" s="195">
        <v>95.15</v>
      </c>
      <c r="C116" s="521">
        <v>1.6483000000000001</v>
      </c>
    </row>
    <row r="117" spans="1:3" ht="15.75" thickBot="1" x14ac:dyDescent="0.3">
      <c r="A117" s="656">
        <v>3800</v>
      </c>
      <c r="B117" s="192">
        <v>97.83</v>
      </c>
      <c r="C117" s="521">
        <v>1.6324000000000001</v>
      </c>
    </row>
    <row r="118" spans="1:3" ht="15.75" thickBot="1" x14ac:dyDescent="0.3">
      <c r="A118" s="656">
        <v>4000</v>
      </c>
      <c r="B118" s="203">
        <v>100.37</v>
      </c>
      <c r="C118" s="520">
        <v>1.6022000000000001</v>
      </c>
    </row>
  </sheetData>
  <mergeCells count="198">
    <mergeCell ref="OS1:OW1"/>
    <mergeCell ref="PB1:PE1"/>
    <mergeCell ref="PI1:PM1"/>
    <mergeCell ref="PR1:PU1"/>
    <mergeCell ref="PY1:QC1"/>
    <mergeCell ref="QH1:QK1"/>
    <mergeCell ref="RT1:RT2"/>
    <mergeCell ref="PX1:PX2"/>
    <mergeCell ref="XI1:XM1"/>
    <mergeCell ref="UW1:VA1"/>
    <mergeCell ref="VF1:VI1"/>
    <mergeCell ref="VM1:VQ1"/>
    <mergeCell ref="VV1:VY1"/>
    <mergeCell ref="WC1:WG1"/>
    <mergeCell ref="WL1:WO1"/>
    <mergeCell ref="SK1:SO1"/>
    <mergeCell ref="ST1:SW1"/>
    <mergeCell ref="TA1:TE1"/>
    <mergeCell ref="TJ1:TM1"/>
    <mergeCell ref="TQ1:TU1"/>
    <mergeCell ref="TZ1:UC1"/>
    <mergeCell ref="XH1:XH2"/>
    <mergeCell ref="UP1:US1"/>
    <mergeCell ref="UF1:UF2"/>
    <mergeCell ref="EW1:FA1"/>
    <mergeCell ref="FF1:FI1"/>
    <mergeCell ref="IN1:IN2"/>
    <mergeCell ref="GB1:GB2"/>
    <mergeCell ref="LQ1:LU1"/>
    <mergeCell ref="KZ1:KZ2"/>
    <mergeCell ref="MW1:NA1"/>
    <mergeCell ref="NF1:NI1"/>
    <mergeCell ref="JU1:JY1"/>
    <mergeCell ref="KD1:KG1"/>
    <mergeCell ref="KK1:KO1"/>
    <mergeCell ref="KT1:KW1"/>
    <mergeCell ref="LA1:LE1"/>
    <mergeCell ref="LJ1:LM1"/>
    <mergeCell ref="MV1:MV2"/>
    <mergeCell ref="KJ1:KJ2"/>
    <mergeCell ref="VL5:VL37"/>
    <mergeCell ref="VL1:VL2"/>
    <mergeCell ref="VL3:VL4"/>
    <mergeCell ref="XH3:XH4"/>
    <mergeCell ref="XH5:XH35"/>
    <mergeCell ref="B1:E1"/>
    <mergeCell ref="R1:U1"/>
    <mergeCell ref="I1:M1"/>
    <mergeCell ref="Y1:AC1"/>
    <mergeCell ref="WR1:WR2"/>
    <mergeCell ref="WR3:WR4"/>
    <mergeCell ref="WR5:WR36"/>
    <mergeCell ref="WS1:WW1"/>
    <mergeCell ref="XB1:XE1"/>
    <mergeCell ref="WB1:WB2"/>
    <mergeCell ref="WB3:WB4"/>
    <mergeCell ref="WB5:WB35"/>
    <mergeCell ref="HI1:HM1"/>
    <mergeCell ref="HR1:HU1"/>
    <mergeCell ref="HY1:IC1"/>
    <mergeCell ref="DQ1:DU1"/>
    <mergeCell ref="DZ1:EC1"/>
    <mergeCell ref="EG1:EK1"/>
    <mergeCell ref="EP1:ES1"/>
    <mergeCell ref="UF3:UF4"/>
    <mergeCell ref="UF5:UF35"/>
    <mergeCell ref="UV1:UV2"/>
    <mergeCell ref="UG1:UK1"/>
    <mergeCell ref="TP1:TP2"/>
    <mergeCell ref="TP3:TP4"/>
    <mergeCell ref="TP5:TP35"/>
    <mergeCell ref="SZ1:SZ2"/>
    <mergeCell ref="SZ3:SZ4"/>
    <mergeCell ref="SZ5:SZ35"/>
    <mergeCell ref="UV3:UV4"/>
    <mergeCell ref="UV5:UV36"/>
    <mergeCell ref="SJ1:SJ2"/>
    <mergeCell ref="SJ3:SJ4"/>
    <mergeCell ref="QO1:QS1"/>
    <mergeCell ref="QX1:RA1"/>
    <mergeCell ref="RE1:RI1"/>
    <mergeCell ref="RN1:RQ1"/>
    <mergeCell ref="RU1:RY1"/>
    <mergeCell ref="SD1:SG1"/>
    <mergeCell ref="SJ5:SJ37"/>
    <mergeCell ref="PX3:PX4"/>
    <mergeCell ref="PX5:PX37"/>
    <mergeCell ref="PH1:PH2"/>
    <mergeCell ref="PH3:PH4"/>
    <mergeCell ref="PH5:PH35"/>
    <mergeCell ref="QN1:QN2"/>
    <mergeCell ref="QN3:QN4"/>
    <mergeCell ref="QN5:QN37"/>
    <mergeCell ref="RT3:RT4"/>
    <mergeCell ref="RT5:RT36"/>
    <mergeCell ref="RD1:RD2"/>
    <mergeCell ref="RD3:RD4"/>
    <mergeCell ref="RD5:RD35"/>
    <mergeCell ref="OB3:OB4"/>
    <mergeCell ref="OB5:OB35"/>
    <mergeCell ref="OR1:OR2"/>
    <mergeCell ref="OR3:OR4"/>
    <mergeCell ref="OR5:OR36"/>
    <mergeCell ref="OC1:OG1"/>
    <mergeCell ref="OL1:OO1"/>
    <mergeCell ref="NL1:NL2"/>
    <mergeCell ref="NL3:NL4"/>
    <mergeCell ref="NL5:NL36"/>
    <mergeCell ref="OB1:OB2"/>
    <mergeCell ref="NM1:NQ1"/>
    <mergeCell ref="NV1:NY1"/>
    <mergeCell ref="KZ3:KZ4"/>
    <mergeCell ref="KZ5:KZ35"/>
    <mergeCell ref="MV3:MV4"/>
    <mergeCell ref="MV5:MV35"/>
    <mergeCell ref="MF1:MF2"/>
    <mergeCell ref="MF3:MF4"/>
    <mergeCell ref="MF5:MF35"/>
    <mergeCell ref="LP3:LP4"/>
    <mergeCell ref="LP1:LP2"/>
    <mergeCell ref="LP5:LP37"/>
    <mergeCell ref="LZ1:MC1"/>
    <mergeCell ref="MG1:MK1"/>
    <mergeCell ref="MP1:MS1"/>
    <mergeCell ref="KJ3:KJ4"/>
    <mergeCell ref="KJ5:KJ35"/>
    <mergeCell ref="JD3:JD4"/>
    <mergeCell ref="JD5:JD35"/>
    <mergeCell ref="JT1:JT2"/>
    <mergeCell ref="JT3:JT4"/>
    <mergeCell ref="JT5:JT36"/>
    <mergeCell ref="JE1:JI1"/>
    <mergeCell ref="JN1:JQ1"/>
    <mergeCell ref="IN3:IN4"/>
    <mergeCell ref="IN5:IN35"/>
    <mergeCell ref="JD1:JD2"/>
    <mergeCell ref="HX1:HX2"/>
    <mergeCell ref="HX3:HX4"/>
    <mergeCell ref="HX5:HX35"/>
    <mergeCell ref="GR3:GR4"/>
    <mergeCell ref="GR5:GR36"/>
    <mergeCell ref="HH1:HH2"/>
    <mergeCell ref="HH3:HH4"/>
    <mergeCell ref="HH5:HH35"/>
    <mergeCell ref="GS1:GW1"/>
    <mergeCell ref="HB1:HE1"/>
    <mergeCell ref="IH1:IK1"/>
    <mergeCell ref="IO1:IS1"/>
    <mergeCell ref="IX1:JA1"/>
    <mergeCell ref="GB3:GB4"/>
    <mergeCell ref="GB5:GB35"/>
    <mergeCell ref="GR1:GR2"/>
    <mergeCell ref="GC1:GG1"/>
    <mergeCell ref="GL1:GO1"/>
    <mergeCell ref="FL1:FL2"/>
    <mergeCell ref="FL3:FL4"/>
    <mergeCell ref="FL5:FL36"/>
    <mergeCell ref="FM1:FQ1"/>
    <mergeCell ref="FV1:FY1"/>
    <mergeCell ref="EV1:EV2"/>
    <mergeCell ref="EV3:EV4"/>
    <mergeCell ref="EV5:EV35"/>
    <mergeCell ref="EF1:EF2"/>
    <mergeCell ref="EF3:EF4"/>
    <mergeCell ref="EF5:EF36"/>
    <mergeCell ref="CZ3:CZ4"/>
    <mergeCell ref="CZ5:CZ35"/>
    <mergeCell ref="DP1:DP2"/>
    <mergeCell ref="DP3:DP4"/>
    <mergeCell ref="DP5:DP35"/>
    <mergeCell ref="DA1:DE1"/>
    <mergeCell ref="DJ1:DM1"/>
    <mergeCell ref="CJ1:CJ2"/>
    <mergeCell ref="CJ3:CJ4"/>
    <mergeCell ref="CJ5:CJ36"/>
    <mergeCell ref="CZ1:CZ2"/>
    <mergeCell ref="CK1:CO1"/>
    <mergeCell ref="CT1:CW1"/>
    <mergeCell ref="BT5:BT35"/>
    <mergeCell ref="BN1:BQ1"/>
    <mergeCell ref="BU1:BY1"/>
    <mergeCell ref="CD1:CG1"/>
    <mergeCell ref="H3:H4"/>
    <mergeCell ref="P3:P4"/>
    <mergeCell ref="BT1:BT2"/>
    <mergeCell ref="BT3:BT4"/>
    <mergeCell ref="AN5:AN36"/>
    <mergeCell ref="BD1:BD2"/>
    <mergeCell ref="BD3:BD4"/>
    <mergeCell ref="BD5:BD35"/>
    <mergeCell ref="AO1:AS1"/>
    <mergeCell ref="AX1:BA1"/>
    <mergeCell ref="BE1:BI1"/>
    <mergeCell ref="X3:X4"/>
    <mergeCell ref="AN1:AN2"/>
    <mergeCell ref="AN3:AN4"/>
    <mergeCell ref="AH1:AK1"/>
    <mergeCell ref="X1:X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Z88"/>
  <sheetViews>
    <sheetView workbookViewId="0">
      <selection activeCell="A4" sqref="A4"/>
    </sheetView>
  </sheetViews>
  <sheetFormatPr defaultRowHeight="15" x14ac:dyDescent="0.25"/>
  <cols>
    <col min="1" max="1" width="27" style="637" bestFit="1" customWidth="1"/>
    <col min="2" max="2" width="17.5703125" style="637" bestFit="1" customWidth="1"/>
    <col min="3" max="3" width="16.28515625" style="637" customWidth="1"/>
    <col min="4" max="4" width="16.85546875" style="637" customWidth="1"/>
    <col min="5" max="5" width="17.85546875" style="637" customWidth="1"/>
    <col min="6" max="6" width="14.28515625" style="637" bestFit="1" customWidth="1"/>
    <col min="7" max="7" width="13.7109375" style="637" customWidth="1"/>
    <col min="8" max="8" width="13.5703125" style="637" customWidth="1"/>
    <col min="9" max="9" width="14" style="637" customWidth="1"/>
    <col min="10" max="14" width="9.140625" style="637" customWidth="1"/>
    <col min="15" max="21" width="9.140625" style="637"/>
    <col min="22" max="22" width="10.28515625" style="637" customWidth="1"/>
    <col min="23" max="23" width="9.7109375" style="637" customWidth="1"/>
    <col min="24" max="16384" width="9.140625" style="637"/>
  </cols>
  <sheetData>
    <row r="1" spans="1:26" x14ac:dyDescent="0.25">
      <c r="A1" s="635" t="s">
        <v>136</v>
      </c>
      <c r="B1" s="634" t="s">
        <v>143</v>
      </c>
      <c r="C1" s="634" t="s">
        <v>142</v>
      </c>
      <c r="D1" s="671" t="s">
        <v>181</v>
      </c>
      <c r="E1" s="672" t="s">
        <v>144</v>
      </c>
      <c r="F1" s="634" t="s">
        <v>145</v>
      </c>
      <c r="G1" s="675" t="s">
        <v>139</v>
      </c>
      <c r="H1" s="676" t="s">
        <v>180</v>
      </c>
      <c r="I1" s="678" t="s">
        <v>183</v>
      </c>
    </row>
    <row r="2" spans="1:26" ht="15.75" thickBot="1" x14ac:dyDescent="0.3">
      <c r="A2" s="633">
        <v>102.03</v>
      </c>
      <c r="B2" s="639">
        <v>101</v>
      </c>
      <c r="C2" s="633">
        <v>40.16778</v>
      </c>
      <c r="D2" s="633">
        <v>0.19933400000000001</v>
      </c>
      <c r="E2" s="633">
        <v>515.29999999999995</v>
      </c>
      <c r="F2" s="633">
        <v>8.3144709999999997E-2</v>
      </c>
      <c r="G2" s="633">
        <v>400</v>
      </c>
      <c r="H2" s="677">
        <v>233.15</v>
      </c>
      <c r="I2" s="679">
        <f>$C$40</f>
        <v>0</v>
      </c>
    </row>
    <row r="4" spans="1:26" ht="15" customHeight="1" x14ac:dyDescent="0.3">
      <c r="A4" s="636"/>
    </row>
    <row r="5" spans="1:26" ht="15.75" thickBot="1" x14ac:dyDescent="0.3">
      <c r="A5" s="638"/>
      <c r="B5" s="638"/>
      <c r="C5" s="638"/>
      <c r="D5" s="638"/>
      <c r="E5" s="638"/>
      <c r="F5" s="638"/>
      <c r="G5" s="638"/>
      <c r="H5" s="638"/>
    </row>
    <row r="6" spans="1:26" ht="15.75" thickBot="1" x14ac:dyDescent="0.3">
      <c r="A6" s="642" t="s">
        <v>137</v>
      </c>
      <c r="B6" s="752" t="s">
        <v>138</v>
      </c>
      <c r="C6" s="753"/>
      <c r="D6" s="753"/>
      <c r="E6" s="754"/>
    </row>
    <row r="7" spans="1:26" ht="15" customHeight="1" x14ac:dyDescent="0.25">
      <c r="A7" s="640" t="s">
        <v>179</v>
      </c>
      <c r="B7" s="644">
        <v>20</v>
      </c>
      <c r="C7" s="644">
        <v>30</v>
      </c>
      <c r="D7" s="644">
        <v>40</v>
      </c>
      <c r="E7" s="644">
        <v>50</v>
      </c>
      <c r="F7" s="643">
        <v>60</v>
      </c>
      <c r="G7" s="643">
        <v>70</v>
      </c>
      <c r="H7" s="643">
        <v>80</v>
      </c>
      <c r="I7" s="643">
        <v>90</v>
      </c>
      <c r="J7" s="643">
        <v>100</v>
      </c>
      <c r="K7" s="643">
        <v>200</v>
      </c>
      <c r="L7" s="643">
        <v>300</v>
      </c>
      <c r="M7" s="643">
        <v>400</v>
      </c>
      <c r="N7" s="643">
        <v>500</v>
      </c>
      <c r="O7" s="643">
        <v>600</v>
      </c>
      <c r="P7" s="643">
        <v>700</v>
      </c>
      <c r="Q7" s="643">
        <v>800</v>
      </c>
      <c r="R7" s="643">
        <v>900</v>
      </c>
      <c r="S7" s="643">
        <v>1000</v>
      </c>
      <c r="T7" s="643">
        <v>2000</v>
      </c>
      <c r="U7" s="643">
        <v>3000</v>
      </c>
      <c r="V7" s="643">
        <v>4000</v>
      </c>
      <c r="W7" s="643">
        <v>5000</v>
      </c>
      <c r="X7" s="643">
        <v>6000</v>
      </c>
      <c r="Y7" s="643">
        <v>7000</v>
      </c>
      <c r="Z7" s="643">
        <v>8000</v>
      </c>
    </row>
    <row r="8" spans="1:26" x14ac:dyDescent="0.25">
      <c r="A8" s="643">
        <v>-70</v>
      </c>
      <c r="B8" s="645"/>
      <c r="C8" s="645">
        <v>122.814018038095</v>
      </c>
      <c r="D8" s="645">
        <v>122.815473473919</v>
      </c>
      <c r="E8" s="645">
        <v>122.81692890974399</v>
      </c>
      <c r="F8" s="645">
        <v>122.81838434556801</v>
      </c>
      <c r="G8" s="645">
        <v>122.819839781393</v>
      </c>
      <c r="H8" s="645">
        <v>122.82129521721799</v>
      </c>
      <c r="I8" s="645">
        <v>122.82275065304199</v>
      </c>
      <c r="J8" s="645">
        <v>122.824206088867</v>
      </c>
      <c r="K8" s="645">
        <v>122.838760447113</v>
      </c>
      <c r="L8" s="645">
        <v>122.85331480535901</v>
      </c>
      <c r="M8" s="645">
        <v>122.86786916360499</v>
      </c>
      <c r="N8" s="645">
        <v>122.882423521851</v>
      </c>
      <c r="O8" s="645">
        <v>122.896977880097</v>
      </c>
      <c r="P8" s="645">
        <v>122.911532238343</v>
      </c>
      <c r="Q8" s="645">
        <v>122.926086596589</v>
      </c>
      <c r="R8" s="645">
        <v>122.940640954835</v>
      </c>
      <c r="S8" s="645">
        <v>122.95519531308101</v>
      </c>
      <c r="T8" s="645">
        <v>123.100738895541</v>
      </c>
      <c r="U8" s="645">
        <v>123.24628247800101</v>
      </c>
      <c r="V8" s="645">
        <v>123.39182606046199</v>
      </c>
      <c r="W8" s="641">
        <v>123.537369642922</v>
      </c>
      <c r="X8" s="641">
        <v>123.68291322538199</v>
      </c>
      <c r="Y8" s="641">
        <v>123.828456807842</v>
      </c>
      <c r="Z8" s="641">
        <v>123.974000390303</v>
      </c>
    </row>
    <row r="9" spans="1:26" x14ac:dyDescent="0.25">
      <c r="A9" s="643">
        <v>-60</v>
      </c>
      <c r="B9" s="649"/>
      <c r="C9" s="645">
        <v>132.51065560709699</v>
      </c>
      <c r="D9" s="645">
        <v>132.51670757560601</v>
      </c>
      <c r="E9" s="645">
        <v>132.52275954411499</v>
      </c>
      <c r="F9" s="645">
        <v>132.528811512624</v>
      </c>
      <c r="G9" s="645">
        <v>132.53486348113299</v>
      </c>
      <c r="H9" s="645">
        <v>132.540915449642</v>
      </c>
      <c r="I9" s="645">
        <v>132.54696741815101</v>
      </c>
      <c r="J9" s="645">
        <v>132.55301938666</v>
      </c>
      <c r="K9" s="645">
        <v>132.61353907174899</v>
      </c>
      <c r="L9" s="645">
        <v>132.67405875683801</v>
      </c>
      <c r="M9" s="645">
        <v>132.73457844192799</v>
      </c>
      <c r="N9" s="645">
        <v>132.79509812701701</v>
      </c>
      <c r="O9" s="645">
        <v>132.855617812106</v>
      </c>
      <c r="P9" s="645">
        <v>132.91613749719599</v>
      </c>
      <c r="Q9" s="645">
        <v>132.97665718228501</v>
      </c>
      <c r="R9" s="645">
        <v>133.037176867375</v>
      </c>
      <c r="S9" s="645">
        <v>133.09769655246399</v>
      </c>
      <c r="T9" s="645">
        <v>133.702893403357</v>
      </c>
      <c r="U9" s="645">
        <v>134.308090254251</v>
      </c>
      <c r="V9" s="645">
        <v>134.91328710514401</v>
      </c>
      <c r="W9" s="641">
        <v>135.51848395603699</v>
      </c>
      <c r="X9" s="641">
        <v>136.12368080693099</v>
      </c>
      <c r="Y9" s="641">
        <v>136.728877657824</v>
      </c>
      <c r="Z9" s="641">
        <v>137.33407450871701</v>
      </c>
    </row>
    <row r="10" spans="1:26" ht="15" customHeight="1" x14ac:dyDescent="0.25">
      <c r="A10" s="643">
        <v>-50</v>
      </c>
      <c r="B10" s="649"/>
      <c r="C10" s="649"/>
      <c r="D10" s="649"/>
      <c r="E10" s="645">
        <v>143.06891061817601</v>
      </c>
      <c r="F10" s="645">
        <v>143.061520754686</v>
      </c>
      <c r="G10" s="645">
        <v>143.054336141161</v>
      </c>
      <c r="H10" s="645">
        <v>143.047356777602</v>
      </c>
      <c r="I10" s="645">
        <v>143.04058266400801</v>
      </c>
      <c r="J10" s="645">
        <v>143.03401380038</v>
      </c>
      <c r="K10" s="645">
        <v>143.041188901834</v>
      </c>
      <c r="L10" s="645">
        <v>143.04836400328699</v>
      </c>
      <c r="M10" s="645">
        <v>143.055539104741</v>
      </c>
      <c r="N10" s="645">
        <v>143.06271420619399</v>
      </c>
      <c r="O10" s="645">
        <v>143.069889307648</v>
      </c>
      <c r="P10" s="645">
        <v>143.07706440910101</v>
      </c>
      <c r="Q10" s="645">
        <v>143.08423951055499</v>
      </c>
      <c r="R10" s="645">
        <v>143.17351459819099</v>
      </c>
      <c r="S10" s="645">
        <v>143.28331468237201</v>
      </c>
      <c r="T10" s="645">
        <v>143.560315662363</v>
      </c>
      <c r="U10" s="645">
        <v>143.83731664235401</v>
      </c>
      <c r="V10" s="645">
        <v>144.114317622345</v>
      </c>
      <c r="W10" s="641">
        <v>144.39131860233701</v>
      </c>
      <c r="X10" s="641">
        <v>144.668319582328</v>
      </c>
      <c r="Y10" s="641">
        <v>144.94532056231901</v>
      </c>
      <c r="Z10" s="641">
        <v>145.22232154231</v>
      </c>
    </row>
    <row r="11" spans="1:26" x14ac:dyDescent="0.25">
      <c r="A11" s="643">
        <v>-40</v>
      </c>
      <c r="B11" s="649"/>
      <c r="C11" s="649"/>
      <c r="D11" s="650"/>
      <c r="E11" s="649"/>
      <c r="F11" s="649"/>
      <c r="G11" s="649"/>
      <c r="H11" s="645">
        <v>153.770116919364</v>
      </c>
      <c r="I11" s="645">
        <v>153.70960446986999</v>
      </c>
      <c r="J11" s="648">
        <v>153.63901011941201</v>
      </c>
      <c r="K11" s="645">
        <v>153.73723211304599</v>
      </c>
      <c r="L11" s="645">
        <v>153.70982810778</v>
      </c>
      <c r="M11" s="645">
        <v>153.682424102515</v>
      </c>
      <c r="N11" s="645">
        <v>153.65502009725</v>
      </c>
      <c r="O11" s="645">
        <v>153.62761609198401</v>
      </c>
      <c r="P11" s="645">
        <v>153.60021208671901</v>
      </c>
      <c r="Q11" s="645">
        <v>153.57280808145401</v>
      </c>
      <c r="R11" s="645">
        <v>153.54540407618799</v>
      </c>
      <c r="S11" s="648">
        <v>153.51800007092299</v>
      </c>
      <c r="T11" s="645">
        <v>153.383544461491</v>
      </c>
      <c r="U11" s="645">
        <v>153.24908885205801</v>
      </c>
      <c r="V11" s="645">
        <v>153.11463324262601</v>
      </c>
      <c r="W11" s="641">
        <v>152.98017763319399</v>
      </c>
      <c r="X11" s="641">
        <v>152.84572202376199</v>
      </c>
      <c r="Y11" s="641">
        <v>152.711266414329</v>
      </c>
      <c r="Z11" s="641">
        <v>152.57681080489701</v>
      </c>
    </row>
    <row r="12" spans="1:26" x14ac:dyDescent="0.25">
      <c r="A12" s="643">
        <v>-30</v>
      </c>
      <c r="B12" s="649"/>
      <c r="C12" s="649"/>
      <c r="D12" s="649"/>
      <c r="E12" s="649"/>
      <c r="F12" s="649"/>
      <c r="G12" s="649"/>
      <c r="H12" s="649"/>
      <c r="I12" s="649"/>
      <c r="J12" s="649"/>
      <c r="K12" s="645">
        <v>164.798402326999</v>
      </c>
      <c r="L12" s="645">
        <v>164.77938892116401</v>
      </c>
      <c r="M12" s="645">
        <v>164.76037551532801</v>
      </c>
      <c r="N12" s="645">
        <v>164.741362109493</v>
      </c>
      <c r="O12" s="645">
        <v>164.72234870365801</v>
      </c>
      <c r="P12" s="645">
        <v>164.703335297823</v>
      </c>
      <c r="Q12" s="645">
        <v>164.68432189198799</v>
      </c>
      <c r="R12" s="645">
        <v>164.66530848615201</v>
      </c>
      <c r="S12" s="645">
        <v>164.646295080317</v>
      </c>
      <c r="T12" s="645">
        <v>164.45616102196499</v>
      </c>
      <c r="U12" s="648">
        <v>164.26602696361201</v>
      </c>
      <c r="V12" s="645">
        <v>164.07589290525999</v>
      </c>
      <c r="W12" s="641">
        <v>163.88575884690701</v>
      </c>
      <c r="X12" s="641">
        <v>163.69562478855499</v>
      </c>
      <c r="Y12" s="641">
        <v>163.50549073020201</v>
      </c>
      <c r="Z12" s="641">
        <v>163.31535667185</v>
      </c>
    </row>
    <row r="13" spans="1:26" ht="15" customHeight="1" x14ac:dyDescent="0.25">
      <c r="A13" s="643">
        <v>-20</v>
      </c>
      <c r="B13" s="649"/>
      <c r="C13" s="649"/>
      <c r="D13" s="649"/>
      <c r="E13" s="649"/>
      <c r="F13" s="649"/>
      <c r="G13" s="649"/>
      <c r="H13" s="649"/>
      <c r="I13" s="649"/>
      <c r="J13" s="649"/>
      <c r="K13" s="648">
        <v>176.063005441424</v>
      </c>
      <c r="L13" s="648">
        <v>176.12199205018101</v>
      </c>
      <c r="M13" s="645">
        <v>176.17685824461</v>
      </c>
      <c r="N13" s="645">
        <v>176.22760402471101</v>
      </c>
      <c r="O13" s="645">
        <v>176.27422939048299</v>
      </c>
      <c r="P13" s="645">
        <v>176.316734341928</v>
      </c>
      <c r="Q13" s="645">
        <v>176.35511887904499</v>
      </c>
      <c r="R13" s="645">
        <v>176.38938300183301</v>
      </c>
      <c r="S13" s="645">
        <v>176.41952671029401</v>
      </c>
      <c r="T13" s="645">
        <v>176.494341006854</v>
      </c>
      <c r="U13" s="648">
        <v>176.733971876537</v>
      </c>
      <c r="V13" s="645">
        <v>176.97360274622099</v>
      </c>
      <c r="W13" s="641">
        <v>177.21323361590399</v>
      </c>
      <c r="X13" s="641">
        <v>177.45286448558701</v>
      </c>
      <c r="Y13" s="641">
        <v>177.69249535527101</v>
      </c>
      <c r="Z13" s="641">
        <v>177.932126224954</v>
      </c>
    </row>
    <row r="14" spans="1:26" x14ac:dyDescent="0.25">
      <c r="A14" s="643">
        <v>-10</v>
      </c>
      <c r="B14" s="649"/>
      <c r="C14" s="649"/>
      <c r="D14" s="650"/>
      <c r="E14" s="649"/>
      <c r="F14" s="649"/>
      <c r="G14" s="649"/>
      <c r="H14" s="649"/>
      <c r="I14" s="649"/>
      <c r="J14" s="649"/>
      <c r="K14" s="649"/>
      <c r="L14" s="645">
        <v>188.785743732388</v>
      </c>
      <c r="M14" s="645">
        <v>188.823696703926</v>
      </c>
      <c r="N14" s="645">
        <v>188.831287241322</v>
      </c>
      <c r="O14" s="645">
        <v>188.64910911754001</v>
      </c>
      <c r="P14" s="648">
        <v>188.71995745992399</v>
      </c>
      <c r="Q14" s="645">
        <v>188.80092497789099</v>
      </c>
      <c r="R14" s="645">
        <v>188.86164920101399</v>
      </c>
      <c r="S14" s="648">
        <v>188.97297378195901</v>
      </c>
      <c r="T14" s="648">
        <v>189.13995294798499</v>
      </c>
      <c r="U14" s="645">
        <v>189.348311310101</v>
      </c>
      <c r="V14" s="645">
        <v>189.556669672217</v>
      </c>
      <c r="W14" s="641">
        <v>189.765028034333</v>
      </c>
      <c r="X14" s="641">
        <v>189.973386396449</v>
      </c>
      <c r="Y14" s="641">
        <v>190.18174475856401</v>
      </c>
      <c r="Z14" s="641">
        <v>190.39010312068001</v>
      </c>
    </row>
    <row r="15" spans="1:26" x14ac:dyDescent="0.25">
      <c r="A15" s="643">
        <v>0</v>
      </c>
      <c r="B15" s="649"/>
      <c r="C15" s="649"/>
      <c r="D15" s="649"/>
      <c r="E15" s="649"/>
      <c r="F15" s="649"/>
      <c r="G15" s="649"/>
      <c r="H15" s="649"/>
      <c r="I15" s="649"/>
      <c r="J15" s="649"/>
      <c r="K15" s="649"/>
      <c r="L15" s="649"/>
      <c r="M15" s="645">
        <v>200.011693422017</v>
      </c>
      <c r="N15" s="645">
        <v>200.10238420370001</v>
      </c>
      <c r="O15" s="645">
        <v>200.20314759105901</v>
      </c>
      <c r="P15" s="645">
        <v>200.28375515446601</v>
      </c>
      <c r="Q15" s="645">
        <v>200.42481165335499</v>
      </c>
      <c r="R15" s="645">
        <v>200.49029925334401</v>
      </c>
      <c r="S15" s="645">
        <v>200.55074770221799</v>
      </c>
      <c r="T15" s="645">
        <v>200.70186191608499</v>
      </c>
      <c r="U15" s="645">
        <v>201.133217224878</v>
      </c>
      <c r="V15" s="645">
        <v>201.56457253367</v>
      </c>
      <c r="W15" s="641">
        <v>201.995927842463</v>
      </c>
      <c r="X15" s="641">
        <v>202.42728315125501</v>
      </c>
      <c r="Y15" s="641">
        <v>202.85863846004699</v>
      </c>
      <c r="Z15" s="647">
        <v>203.28999376883999</v>
      </c>
    </row>
    <row r="16" spans="1:26" x14ac:dyDescent="0.25">
      <c r="A16" s="643">
        <v>10</v>
      </c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5">
        <v>213.159225931728</v>
      </c>
      <c r="P16" s="645">
        <v>213.18427238522901</v>
      </c>
      <c r="Q16" s="645">
        <v>213.21933696203101</v>
      </c>
      <c r="R16" s="645">
        <v>213.26441920429599</v>
      </c>
      <c r="S16" s="645">
        <v>213.329536440189</v>
      </c>
      <c r="T16" s="645">
        <v>214.16087202931701</v>
      </c>
      <c r="U16" s="645">
        <v>214.87633352759499</v>
      </c>
      <c r="V16" s="645">
        <v>215.59179502587301</v>
      </c>
      <c r="W16" s="641">
        <v>216.307256524151</v>
      </c>
      <c r="X16" s="641">
        <v>217.02271802242799</v>
      </c>
      <c r="Y16" s="641">
        <v>217.73817952070601</v>
      </c>
      <c r="Z16" s="641">
        <v>218.453641018984</v>
      </c>
    </row>
    <row r="17" spans="1:26" x14ac:dyDescent="0.25">
      <c r="A17" s="643">
        <v>20</v>
      </c>
      <c r="B17" s="649"/>
      <c r="C17" s="649"/>
      <c r="D17" s="649"/>
      <c r="E17" s="649"/>
      <c r="F17" s="649"/>
      <c r="G17" s="649"/>
      <c r="H17" s="649"/>
      <c r="I17" s="649"/>
      <c r="J17" s="649"/>
      <c r="K17" s="649"/>
      <c r="L17" s="649"/>
      <c r="M17" s="649"/>
      <c r="N17" s="649"/>
      <c r="O17" s="649"/>
      <c r="P17" s="645">
        <v>225.40105872934799</v>
      </c>
      <c r="Q17" s="645">
        <v>225.27643304135799</v>
      </c>
      <c r="R17" s="645">
        <v>225.20165500819601</v>
      </c>
      <c r="S17" s="645">
        <v>225.12687500465299</v>
      </c>
      <c r="T17" s="645">
        <v>225.10194789822199</v>
      </c>
      <c r="U17" s="648">
        <v>225.077020572245</v>
      </c>
      <c r="V17" s="645">
        <v>225.06704958034601</v>
      </c>
      <c r="W17" s="641">
        <v>225.65029379799299</v>
      </c>
      <c r="X17" s="641">
        <v>225.84966628425801</v>
      </c>
      <c r="Y17" s="641">
        <v>226.02410592656901</v>
      </c>
      <c r="Z17" s="641">
        <v>226.397869961319</v>
      </c>
    </row>
    <row r="18" spans="1:26" x14ac:dyDescent="0.25">
      <c r="A18" s="643">
        <v>30</v>
      </c>
      <c r="B18" s="649"/>
      <c r="C18" s="649"/>
      <c r="D18" s="649"/>
      <c r="E18" s="649"/>
      <c r="F18" s="649"/>
      <c r="G18" s="649"/>
      <c r="H18" s="649"/>
      <c r="I18" s="649"/>
      <c r="J18" s="649"/>
      <c r="K18" s="649"/>
      <c r="L18" s="649"/>
      <c r="M18" s="649"/>
      <c r="N18" s="649"/>
      <c r="O18" s="649"/>
      <c r="P18" s="649"/>
      <c r="Q18" s="649"/>
      <c r="R18" s="649"/>
      <c r="S18" s="645">
        <v>238.98217643686399</v>
      </c>
      <c r="T18" s="645">
        <v>238.634508585438</v>
      </c>
      <c r="U18" s="645">
        <v>238.38616046739301</v>
      </c>
      <c r="V18" s="645">
        <v>238.08812704772899</v>
      </c>
      <c r="W18" s="641">
        <v>238.212309739359</v>
      </c>
      <c r="X18" s="641">
        <v>238.33648942721899</v>
      </c>
      <c r="Y18" s="641">
        <v>238.48550112594299</v>
      </c>
      <c r="Z18" s="641">
        <v>238.584839900389</v>
      </c>
    </row>
    <row r="19" spans="1:26" x14ac:dyDescent="0.25">
      <c r="A19" s="643">
        <v>40</v>
      </c>
      <c r="B19" s="649"/>
      <c r="C19" s="649"/>
      <c r="D19" s="649"/>
      <c r="E19" s="649"/>
      <c r="F19" s="649"/>
      <c r="G19" s="649"/>
      <c r="H19" s="649"/>
      <c r="I19" s="649"/>
      <c r="J19" s="649"/>
      <c r="K19" s="649"/>
      <c r="L19" s="649"/>
      <c r="M19" s="649"/>
      <c r="N19" s="649"/>
      <c r="O19" s="649"/>
      <c r="P19" s="649"/>
      <c r="Q19" s="649"/>
      <c r="R19" s="649"/>
      <c r="S19" s="649"/>
      <c r="T19" s="648">
        <v>252.033990659089</v>
      </c>
      <c r="U19" s="645">
        <v>251.86035655737999</v>
      </c>
      <c r="V19" s="645">
        <v>251.73633245523601</v>
      </c>
      <c r="W19" s="641">
        <v>251.36426110144399</v>
      </c>
      <c r="X19" s="641">
        <v>251.240237533053</v>
      </c>
      <c r="Y19" s="641">
        <v>251.116214022116</v>
      </c>
      <c r="Z19" s="641">
        <v>250.99219053825601</v>
      </c>
    </row>
    <row r="20" spans="1:26" x14ac:dyDescent="0.25">
      <c r="A20" s="643">
        <v>50</v>
      </c>
      <c r="B20" s="649"/>
      <c r="C20" s="649"/>
      <c r="D20" s="649"/>
      <c r="E20" s="649"/>
      <c r="F20" s="649"/>
      <c r="G20" s="649"/>
      <c r="H20" s="649"/>
      <c r="I20" s="649"/>
      <c r="J20" s="649"/>
      <c r="K20" s="649"/>
      <c r="L20" s="649"/>
      <c r="M20" s="649"/>
      <c r="N20" s="649"/>
      <c r="O20" s="649"/>
      <c r="P20" s="649"/>
      <c r="Q20" s="649"/>
      <c r="R20" s="649"/>
      <c r="S20" s="649"/>
      <c r="T20" s="645">
        <v>266.38071504302098</v>
      </c>
      <c r="U20" s="645">
        <v>265.883722987689</v>
      </c>
      <c r="V20" s="645">
        <v>265.237718829328</v>
      </c>
      <c r="W20" s="641">
        <v>264.939594661353</v>
      </c>
      <c r="X20" s="641">
        <v>264.69117269534001</v>
      </c>
      <c r="Y20" s="641">
        <v>264.54212588850203</v>
      </c>
      <c r="Z20" s="641">
        <v>264.393083800326</v>
      </c>
    </row>
    <row r="21" spans="1:26" x14ac:dyDescent="0.25">
      <c r="A21" s="643">
        <v>60</v>
      </c>
      <c r="B21" s="649"/>
      <c r="C21" s="649"/>
      <c r="D21" s="649"/>
      <c r="E21" s="649"/>
      <c r="F21" s="649"/>
      <c r="G21" s="649"/>
      <c r="H21" s="649"/>
      <c r="I21" s="649"/>
      <c r="J21" s="649"/>
      <c r="K21" s="649"/>
      <c r="L21" s="649"/>
      <c r="M21" s="649"/>
      <c r="N21" s="649"/>
      <c r="O21" s="649"/>
      <c r="P21" s="649"/>
      <c r="Q21" s="649"/>
      <c r="R21" s="649"/>
      <c r="S21" s="649"/>
      <c r="T21" s="645">
        <v>281.575468044704</v>
      </c>
      <c r="U21" s="645">
        <v>280.32679698430798</v>
      </c>
      <c r="V21" s="645">
        <v>279.32832899896403</v>
      </c>
      <c r="W21" s="641">
        <v>278.82924759175899</v>
      </c>
      <c r="X21" s="641">
        <v>278.40510698128401</v>
      </c>
      <c r="Y21" s="641">
        <v>278.180590872332</v>
      </c>
      <c r="Z21" s="641">
        <v>277.83138300626001</v>
      </c>
    </row>
    <row r="22" spans="1:26" x14ac:dyDescent="0.25">
      <c r="A22" s="643">
        <v>70</v>
      </c>
      <c r="B22" s="649"/>
      <c r="C22" s="649"/>
      <c r="D22" s="649"/>
      <c r="E22" s="649"/>
      <c r="F22" s="649"/>
      <c r="G22" s="649"/>
      <c r="H22" s="649"/>
      <c r="I22" s="649"/>
      <c r="J22" s="649"/>
      <c r="K22" s="649"/>
      <c r="L22" s="649"/>
      <c r="M22" s="649"/>
      <c r="N22" s="649"/>
      <c r="O22" s="649"/>
      <c r="P22" s="649"/>
      <c r="Q22" s="649"/>
      <c r="R22" s="649"/>
      <c r="S22" s="649"/>
      <c r="T22" s="649"/>
      <c r="U22" s="645">
        <v>296.86823183018498</v>
      </c>
      <c r="V22" s="645">
        <v>295.358826217039</v>
      </c>
      <c r="W22" s="641">
        <v>293.85060462234497</v>
      </c>
      <c r="X22" s="641">
        <v>293.09693375400298</v>
      </c>
      <c r="Y22" s="641">
        <v>292.34355364026999</v>
      </c>
      <c r="Z22" s="641">
        <v>291.84146072372903</v>
      </c>
    </row>
    <row r="23" spans="1:26" x14ac:dyDescent="0.25">
      <c r="A23" s="643">
        <v>80</v>
      </c>
      <c r="B23" s="649"/>
      <c r="C23" s="649"/>
      <c r="D23" s="649"/>
      <c r="E23" s="649"/>
      <c r="F23" s="649"/>
      <c r="G23" s="649"/>
      <c r="H23" s="649"/>
      <c r="I23" s="649"/>
      <c r="J23" s="649"/>
      <c r="K23" s="649"/>
      <c r="L23" s="649"/>
      <c r="M23" s="649"/>
      <c r="N23" s="649"/>
      <c r="O23" s="649"/>
      <c r="P23" s="649"/>
      <c r="Q23" s="649"/>
      <c r="R23" s="649"/>
      <c r="S23" s="649"/>
      <c r="T23" s="649"/>
      <c r="U23" s="645">
        <v>315.58208851526001</v>
      </c>
      <c r="V23" s="645">
        <v>313.04294385169499</v>
      </c>
      <c r="W23" s="641">
        <v>311.01381388651902</v>
      </c>
      <c r="X23" s="641">
        <v>309.49328388404598</v>
      </c>
      <c r="Y23" s="641">
        <v>307.97390784578698</v>
      </c>
      <c r="Z23" s="641">
        <v>306.96164062068402</v>
      </c>
    </row>
    <row r="24" spans="1:26" x14ac:dyDescent="0.25">
      <c r="A24" s="643">
        <v>90</v>
      </c>
      <c r="B24" s="649"/>
      <c r="C24" s="649"/>
      <c r="D24" s="649"/>
      <c r="E24" s="649"/>
      <c r="F24" s="649"/>
      <c r="G24" s="649"/>
      <c r="H24" s="649"/>
      <c r="I24" s="649"/>
      <c r="J24" s="649"/>
      <c r="K24" s="649"/>
      <c r="L24" s="649"/>
      <c r="M24" s="649"/>
      <c r="N24" s="649"/>
      <c r="O24" s="649"/>
      <c r="P24" s="649"/>
      <c r="Q24" s="649"/>
      <c r="R24" s="649"/>
      <c r="S24" s="649"/>
      <c r="T24" s="649"/>
      <c r="U24" s="649"/>
      <c r="V24" s="645">
        <v>333.42418826013699</v>
      </c>
      <c r="W24" s="641">
        <v>328.82743972748301</v>
      </c>
      <c r="X24" s="641">
        <v>325.76555988311702</v>
      </c>
      <c r="Y24" s="641">
        <v>323.72582200423</v>
      </c>
      <c r="Z24" s="641">
        <v>322.70646628264001</v>
      </c>
    </row>
    <row r="25" spans="1:26" x14ac:dyDescent="0.25">
      <c r="A25" s="643">
        <v>100</v>
      </c>
      <c r="B25" s="649"/>
      <c r="C25" s="649"/>
      <c r="D25" s="649"/>
      <c r="E25" s="649"/>
      <c r="F25" s="649"/>
      <c r="G25" s="649"/>
      <c r="H25" s="649"/>
      <c r="I25" s="649"/>
      <c r="J25" s="649"/>
      <c r="K25" s="649"/>
      <c r="L25" s="649"/>
      <c r="M25" s="649"/>
      <c r="N25" s="649"/>
      <c r="O25" s="649"/>
      <c r="P25" s="649"/>
      <c r="Q25" s="649"/>
      <c r="R25" s="649"/>
      <c r="S25" s="649"/>
      <c r="T25" s="649"/>
      <c r="U25" s="649"/>
      <c r="V25" s="649"/>
      <c r="W25" s="641">
        <v>350.78839099439102</v>
      </c>
      <c r="X25" s="641">
        <v>345.176654434819</v>
      </c>
      <c r="Y25" s="641">
        <v>342.11185375831099</v>
      </c>
      <c r="Z25" s="641">
        <v>339.045724508577</v>
      </c>
    </row>
    <row r="26" spans="1:26" x14ac:dyDescent="0.25">
      <c r="A26" s="646">
        <v>110</v>
      </c>
      <c r="B26" s="633"/>
      <c r="C26" s="633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41">
        <v>386.18849042685298</v>
      </c>
      <c r="X26" s="641">
        <v>370.495910533109</v>
      </c>
      <c r="Y26" s="641">
        <v>362.46134517283599</v>
      </c>
      <c r="Z26" s="647">
        <v>354.30700637437297</v>
      </c>
    </row>
    <row r="39" spans="1:5" ht="15.75" thickBot="1" x14ac:dyDescent="0.3">
      <c r="B39" s="684" t="s">
        <v>182</v>
      </c>
      <c r="C39" s="684" t="s">
        <v>217</v>
      </c>
    </row>
    <row r="40" spans="1:5" ht="15.75" thickBot="1" x14ac:dyDescent="0.3">
      <c r="A40" s="680" t="s">
        <v>146</v>
      </c>
      <c r="B40" s="682">
        <v>-6.9461016375394456E+172</v>
      </c>
      <c r="C40" s="682"/>
    </row>
    <row r="41" spans="1:5" x14ac:dyDescent="0.25">
      <c r="A41" s="673" t="s">
        <v>147</v>
      </c>
      <c r="B41" s="681">
        <v>-6.5455235227000003E-2</v>
      </c>
      <c r="C41" s="687" t="s">
        <v>184</v>
      </c>
      <c r="D41" s="633">
        <f>F2*H2</f>
        <v>19.385189136499999</v>
      </c>
      <c r="E41" s="634" t="s">
        <v>199</v>
      </c>
    </row>
    <row r="42" spans="1:5" x14ac:dyDescent="0.25">
      <c r="A42" s="673" t="s">
        <v>148</v>
      </c>
      <c r="B42" s="674">
        <v>5.8893751817000002</v>
      </c>
      <c r="C42" s="673" t="s">
        <v>185</v>
      </c>
      <c r="D42" s="683">
        <f>IFERROR(B41*H2+B42*H2^0.5+B43+B44/H2+B45/(H2^2),1)</f>
        <v>-19.451732891765992</v>
      </c>
      <c r="E42" s="633">
        <f>IFERROR(D41/B40+D42/(B40^2)+D43/(B40^3)+D44/(B40^4)+D45/(B40^5)+D46/(B40^6)+D47/(B40^7)+D48/(B40^8)+D49/(B40^9)+EXP((-D2^2)/(B40^2))*(D50/(B40^3)+D51/(B40^5)+D52/(B40^7)+D53/(B40^9)+D54/(B40^11)+D55/(B40^13))-G2/100,10)</f>
        <v>10</v>
      </c>
    </row>
    <row r="43" spans="1:5" x14ac:dyDescent="0.25">
      <c r="A43" s="673" t="s">
        <v>149</v>
      </c>
      <c r="B43" s="674">
        <v>-137.61788408999999</v>
      </c>
      <c r="C43" s="673" t="s">
        <v>186</v>
      </c>
      <c r="D43" s="683">
        <f>IFERROR(B46*H2+B47+B48/H2+B49/(H2^2),1)</f>
        <v>17.658577553102084</v>
      </c>
    </row>
    <row r="44" spans="1:5" x14ac:dyDescent="0.25">
      <c r="A44" s="673" t="s">
        <v>150</v>
      </c>
      <c r="B44" s="674">
        <v>22693.168845</v>
      </c>
      <c r="C44" s="673" t="s">
        <v>187</v>
      </c>
      <c r="D44" s="683">
        <f>IFERROR(B50*H2+B51+B52/H2,1)</f>
        <v>-0.4737310728025349</v>
      </c>
    </row>
    <row r="45" spans="1:5" x14ac:dyDescent="0.25">
      <c r="A45" s="673" t="s">
        <v>151</v>
      </c>
      <c r="B45" s="674">
        <v>-2926261.3295999998</v>
      </c>
      <c r="C45" s="673" t="s">
        <v>188</v>
      </c>
      <c r="D45" s="674">
        <f>B53</f>
        <v>-2.5664047741999998E-2</v>
      </c>
    </row>
    <row r="46" spans="1:5" x14ac:dyDescent="0.25">
      <c r="A46" s="673" t="s">
        <v>152</v>
      </c>
      <c r="B46" s="674">
        <v>-1.192377619E-4</v>
      </c>
      <c r="C46" s="673" t="s">
        <v>189</v>
      </c>
      <c r="D46" s="683">
        <f>IFERROR(B54/H2+B55/(H2^2),1)</f>
        <v>-1.6271370082323926E-2</v>
      </c>
    </row>
    <row r="47" spans="1:5" x14ac:dyDescent="0.25">
      <c r="A47" s="673" t="s">
        <v>153</v>
      </c>
      <c r="B47" s="674">
        <v>-2.7214194542999999</v>
      </c>
      <c r="C47" s="673" t="s">
        <v>190</v>
      </c>
      <c r="D47" s="683">
        <f>IFERROR(B56/H2,1)</f>
        <v>1.4720845601972979E-3</v>
      </c>
    </row>
    <row r="48" spans="1:5" x14ac:dyDescent="0.25">
      <c r="A48" s="673" t="s">
        <v>154</v>
      </c>
      <c r="B48" s="674">
        <v>1629.5253680000001</v>
      </c>
      <c r="C48" s="673" t="s">
        <v>191</v>
      </c>
      <c r="D48" s="683">
        <f>IFERROR(B57/H2+B58/(H2^2),1)</f>
        <v>-2.19663608322516E-5</v>
      </c>
    </row>
    <row r="49" spans="1:4" x14ac:dyDescent="0.25">
      <c r="A49" s="673" t="s">
        <v>155</v>
      </c>
      <c r="B49" s="674">
        <v>729422.03182000003</v>
      </c>
      <c r="C49" s="673" t="s">
        <v>192</v>
      </c>
      <c r="D49" s="633">
        <f>IFERROR(B59/(H2^2),1)</f>
        <v>-5.022499500978887E-7</v>
      </c>
    </row>
    <row r="50" spans="1:4" x14ac:dyDescent="0.25">
      <c r="A50" s="673" t="s">
        <v>156</v>
      </c>
      <c r="B50" s="674">
        <v>-1.1724519115E-4</v>
      </c>
      <c r="C50" s="673" t="s">
        <v>193</v>
      </c>
      <c r="D50" s="683">
        <f>IFERROR(B60/(H2^2)+B61/(H2^3),1)</f>
        <v>-17.313143392263346</v>
      </c>
    </row>
    <row r="51" spans="1:4" x14ac:dyDescent="0.25">
      <c r="A51" s="673" t="s">
        <v>157</v>
      </c>
      <c r="B51" s="674">
        <v>0.86864510012999996</v>
      </c>
      <c r="C51" s="673" t="s">
        <v>194</v>
      </c>
      <c r="D51" s="683">
        <f>IFERROR(B62/(H2^2)+B63/(H2^4),1)</f>
        <v>-0.2591818015972665</v>
      </c>
    </row>
    <row r="52" spans="1:4" x14ac:dyDescent="0.25">
      <c r="A52" s="673" t="s">
        <v>158</v>
      </c>
      <c r="B52" s="674">
        <v>-306.60168246000001</v>
      </c>
      <c r="C52" s="673" t="s">
        <v>195</v>
      </c>
      <c r="D52" s="683">
        <f>IFERROR(B64/(H2^2)+B65/(H2^3),1)</f>
        <v>-2.1557837897012381E-3</v>
      </c>
    </row>
    <row r="53" spans="1:4" x14ac:dyDescent="0.25">
      <c r="A53" s="673" t="s">
        <v>159</v>
      </c>
      <c r="B53" s="674">
        <v>-2.5664047741999998E-2</v>
      </c>
      <c r="C53" s="673" t="s">
        <v>196</v>
      </c>
      <c r="D53" s="683">
        <f>IFERROR(B66/(H2^2)+B67/(H2^4),1)</f>
        <v>-2.0434871001982923E-4</v>
      </c>
    </row>
    <row r="54" spans="1:4" x14ac:dyDescent="0.25">
      <c r="A54" s="673" t="s">
        <v>160</v>
      </c>
      <c r="B54" s="674">
        <v>-2.4381835971000001</v>
      </c>
      <c r="C54" s="673" t="s">
        <v>197</v>
      </c>
      <c r="D54" s="683">
        <f>IFERROR(B68/(H2^2)+B69/(H2^3),1)</f>
        <v>8.9536144856285409E-7</v>
      </c>
    </row>
    <row r="55" spans="1:4" x14ac:dyDescent="0.25">
      <c r="A55" s="673" t="s">
        <v>161</v>
      </c>
      <c r="B55" s="674">
        <v>-316.03163961000001</v>
      </c>
      <c r="C55" s="673" t="s">
        <v>198</v>
      </c>
      <c r="D55" s="683">
        <f>IFERROR(B70/(H2^2)+B71/(H2^3)+B72/(H2^4),1)</f>
        <v>-6.977303081799028E-9</v>
      </c>
    </row>
    <row r="56" spans="1:4" x14ac:dyDescent="0.25">
      <c r="A56" s="673" t="s">
        <v>162</v>
      </c>
      <c r="B56" s="674">
        <v>0.34321651521000002</v>
      </c>
    </row>
    <row r="57" spans="1:4" x14ac:dyDescent="0.25">
      <c r="A57" s="673" t="s">
        <v>163</v>
      </c>
      <c r="B57" s="674">
        <v>-1.0154368796000001E-2</v>
      </c>
    </row>
    <row r="58" spans="1:4" x14ac:dyDescent="0.25">
      <c r="A58" s="673" t="s">
        <v>164</v>
      </c>
      <c r="B58" s="674">
        <v>1.1734233786999999</v>
      </c>
    </row>
    <row r="59" spans="1:4" x14ac:dyDescent="0.25">
      <c r="A59" s="673" t="s">
        <v>165</v>
      </c>
      <c r="B59" s="674">
        <v>-2.7301766113E-2</v>
      </c>
    </row>
    <row r="60" spans="1:4" x14ac:dyDescent="0.25">
      <c r="A60" s="673" t="s">
        <v>166</v>
      </c>
      <c r="B60" s="674">
        <v>-663385.02897999994</v>
      </c>
    </row>
    <row r="61" spans="1:4" x14ac:dyDescent="0.25">
      <c r="A61" s="673" t="s">
        <v>167</v>
      </c>
      <c r="B61" s="674">
        <v>-64754799.101000004</v>
      </c>
    </row>
    <row r="62" spans="1:4" x14ac:dyDescent="0.25">
      <c r="A62" s="673" t="s">
        <v>168</v>
      </c>
      <c r="B62" s="674">
        <v>-37295.219382000003</v>
      </c>
    </row>
    <row r="63" spans="1:4" x14ac:dyDescent="0.25">
      <c r="A63" s="673" t="s">
        <v>169</v>
      </c>
      <c r="B63" s="674">
        <v>1261473589.9000001</v>
      </c>
    </row>
    <row r="64" spans="1:4" x14ac:dyDescent="0.25">
      <c r="A64" s="673" t="s">
        <v>170</v>
      </c>
      <c r="B64" s="674">
        <v>-647.42200070000001</v>
      </c>
    </row>
    <row r="65" spans="1:3" x14ac:dyDescent="0.25">
      <c r="A65" s="673" t="s">
        <v>171</v>
      </c>
      <c r="B65" s="674">
        <v>123624.50399</v>
      </c>
    </row>
    <row r="66" spans="1:3" x14ac:dyDescent="0.25">
      <c r="A66" s="673" t="s">
        <v>172</v>
      </c>
      <c r="B66" s="674">
        <v>-1.5699196293</v>
      </c>
    </row>
    <row r="67" spans="1:3" x14ac:dyDescent="0.25">
      <c r="A67" s="673" t="s">
        <v>173</v>
      </c>
      <c r="B67" s="674">
        <v>-518489.32204</v>
      </c>
    </row>
    <row r="68" spans="1:3" x14ac:dyDescent="0.25">
      <c r="A68" s="673" t="s">
        <v>174</v>
      </c>
      <c r="B68" s="674">
        <v>-8.1396321391999996E-2</v>
      </c>
    </row>
    <row r="69" spans="1:3" x14ac:dyDescent="0.25">
      <c r="A69" s="673" t="s">
        <v>175</v>
      </c>
      <c r="B69" s="674">
        <v>30.325168842</v>
      </c>
    </row>
    <row r="70" spans="1:3" x14ac:dyDescent="0.25">
      <c r="A70" s="673" t="s">
        <v>176</v>
      </c>
      <c r="B70" s="674">
        <v>1.3399042296999999E-4</v>
      </c>
    </row>
    <row r="71" spans="1:3" x14ac:dyDescent="0.25">
      <c r="A71" s="673" t="s">
        <v>177</v>
      </c>
      <c r="B71" s="674">
        <v>-0.15856192849</v>
      </c>
    </row>
    <row r="72" spans="1:3" x14ac:dyDescent="0.25">
      <c r="A72" s="673" t="s">
        <v>178</v>
      </c>
      <c r="B72" s="674">
        <v>9.0679583742999998</v>
      </c>
    </row>
    <row r="73" spans="1:3" x14ac:dyDescent="0.25">
      <c r="A73" s="685" t="s">
        <v>200</v>
      </c>
    </row>
    <row r="74" spans="1:3" x14ac:dyDescent="0.25">
      <c r="A74" s="673" t="s">
        <v>201</v>
      </c>
      <c r="B74" s="686">
        <v>-8.9094850000000003E-2</v>
      </c>
      <c r="C74" s="634" t="s">
        <v>216</v>
      </c>
    </row>
    <row r="75" spans="1:3" x14ac:dyDescent="0.25">
      <c r="A75" s="673" t="s">
        <v>202</v>
      </c>
      <c r="B75" s="686">
        <v>4.4086540000000002E-5</v>
      </c>
      <c r="C75" s="686">
        <f>IFERROR(B88*H2/(C40-B86)+B74+B75*H2+B76*EXP(-B87*H2/(B2+273.15))/(C40-B86)^2+B77+B78*H2+B79*EXP(-B87*H2/(B2+273.15))/(C40-B86)^3+B80+B81*H2+B82*EXP(-B87*H2/(B2+273.15))^4+B83+B84*H2+B85*EXP(-B87*H2/(B2+273.15))/(C40-B86)^5,10)-G2</f>
        <v>-9587870704.8450699</v>
      </c>
    </row>
    <row r="76" spans="1:3" x14ac:dyDescent="0.25">
      <c r="A76" s="673" t="s">
        <v>203</v>
      </c>
      <c r="B76" s="686">
        <v>-2.0748340000000001</v>
      </c>
    </row>
    <row r="77" spans="1:3" x14ac:dyDescent="0.25">
      <c r="A77" s="673" t="s">
        <v>204</v>
      </c>
      <c r="B77" s="686">
        <v>-1.016882E-3</v>
      </c>
    </row>
    <row r="78" spans="1:3" x14ac:dyDescent="0.25">
      <c r="A78" s="673" t="s">
        <v>205</v>
      </c>
      <c r="B78" s="686">
        <v>2.5745270000000002E-6</v>
      </c>
    </row>
    <row r="79" spans="1:3" x14ac:dyDescent="0.25">
      <c r="A79" s="673" t="s">
        <v>206</v>
      </c>
      <c r="B79" s="686">
        <v>2.1428289999999999E-2</v>
      </c>
    </row>
    <row r="80" spans="1:3" x14ac:dyDescent="0.25">
      <c r="A80" s="673" t="s">
        <v>207</v>
      </c>
      <c r="B80" s="686">
        <v>1.7780710000000001E-5</v>
      </c>
    </row>
    <row r="81" spans="1:2" x14ac:dyDescent="0.25">
      <c r="A81" s="673" t="s">
        <v>208</v>
      </c>
      <c r="B81" s="686">
        <v>-4.0169759999999998E-8</v>
      </c>
    </row>
    <row r="82" spans="1:2" x14ac:dyDescent="0.25">
      <c r="A82" s="673" t="s">
        <v>209</v>
      </c>
      <c r="B82" s="686">
        <v>-2.9779109999999998E-4</v>
      </c>
    </row>
    <row r="83" spans="1:2" x14ac:dyDescent="0.25">
      <c r="A83" s="673" t="s">
        <v>210</v>
      </c>
      <c r="B83" s="686">
        <v>-7.4814400000000006E-8</v>
      </c>
    </row>
    <row r="84" spans="1:2" x14ac:dyDescent="0.25">
      <c r="A84" s="673" t="s">
        <v>211</v>
      </c>
      <c r="B84" s="686">
        <v>1.670285E-10</v>
      </c>
    </row>
    <row r="85" spans="1:2" x14ac:dyDescent="0.25">
      <c r="A85" s="673" t="s">
        <v>212</v>
      </c>
      <c r="B85" s="686">
        <v>1.2559220000000001E-6</v>
      </c>
    </row>
    <row r="86" spans="1:2" x14ac:dyDescent="0.25">
      <c r="A86" s="673" t="s">
        <v>213</v>
      </c>
      <c r="B86" s="686">
        <v>3.7556770000000001E-4</v>
      </c>
    </row>
    <row r="87" spans="1:2" x14ac:dyDescent="0.25">
      <c r="A87" s="673" t="s">
        <v>214</v>
      </c>
      <c r="B87" s="686">
        <v>4.5999670000000004</v>
      </c>
    </row>
    <row r="88" spans="1:2" x14ac:dyDescent="0.25">
      <c r="A88" s="673" t="s">
        <v>215</v>
      </c>
      <c r="B88" s="686">
        <v>8.1500000000000003E-2</v>
      </c>
    </row>
  </sheetData>
  <mergeCells count="1">
    <mergeCell ref="B6:E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"/>
  <sheetViews>
    <sheetView workbookViewId="0">
      <selection activeCell="C23" sqref="C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Sat</vt:lpstr>
      <vt:lpstr>Ovht</vt:lpstr>
      <vt:lpstr>Geral</vt:lpstr>
      <vt:lpstr>Plano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2021-12-22T14:15:57Z</dcterms:created>
  <dcterms:modified xsi:type="dcterms:W3CDTF">2021-12-28T02:56:34Z</dcterms:modified>
</cp:coreProperties>
</file>