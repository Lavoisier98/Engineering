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20" yWindow="30" windowWidth="20115" windowHeight="7755"/>
  </bookViews>
  <sheets>
    <sheet name="Plan1" sheetId="1" r:id="rId1"/>
    <sheet name="Plan2" sheetId="2" r:id="rId2"/>
    <sheet name="Plan3" sheetId="3" r:id="rId3"/>
  </sheets>
  <calcPr calcId="145621"/>
</workbook>
</file>

<file path=xl/calcChain.xml><?xml version="1.0" encoding="utf-8"?>
<calcChain xmlns="http://schemas.openxmlformats.org/spreadsheetml/2006/main">
  <c r="M19" i="1" l="1"/>
  <c r="M20" i="1"/>
  <c r="N14" i="1"/>
  <c r="K14" i="1"/>
  <c r="I3" i="1"/>
</calcChain>
</file>

<file path=xl/sharedStrings.xml><?xml version="1.0" encoding="utf-8"?>
<sst xmlns="http://schemas.openxmlformats.org/spreadsheetml/2006/main" count="64" uniqueCount="62">
  <si>
    <t>Nome</t>
  </si>
  <si>
    <t>Fórmula</t>
  </si>
  <si>
    <t>Benzeno</t>
  </si>
  <si>
    <t>Etanol</t>
  </si>
  <si>
    <t>C</t>
  </si>
  <si>
    <t>H</t>
  </si>
  <si>
    <t>O</t>
  </si>
  <si>
    <t>N</t>
  </si>
  <si>
    <t>Entalpia [kJ/mol]</t>
  </si>
  <si>
    <t>Glicose</t>
  </si>
  <si>
    <r>
      <t>C</t>
    </r>
    <r>
      <rPr>
        <sz val="8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H</t>
    </r>
    <r>
      <rPr>
        <sz val="8"/>
        <color theme="1"/>
        <rFont val="Calibri"/>
        <family val="2"/>
        <scheme val="minor"/>
      </rPr>
      <t>6</t>
    </r>
  </si>
  <si>
    <r>
      <t>C</t>
    </r>
    <r>
      <rPr>
        <sz val="8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sz val="8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OH</t>
    </r>
  </si>
  <si>
    <r>
      <t>C</t>
    </r>
    <r>
      <rPr>
        <sz val="8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H</t>
    </r>
    <r>
      <rPr>
        <sz val="8"/>
        <color theme="1"/>
        <rFont val="Calibri"/>
        <family val="2"/>
        <scheme val="minor"/>
      </rPr>
      <t>12</t>
    </r>
    <r>
      <rPr>
        <sz val="11"/>
        <color theme="1"/>
        <rFont val="Calibri"/>
        <family val="2"/>
        <scheme val="minor"/>
      </rPr>
      <t>O</t>
    </r>
    <r>
      <rPr>
        <sz val="8"/>
        <color theme="1"/>
        <rFont val="Calibri"/>
        <family val="2"/>
        <scheme val="minor"/>
      </rPr>
      <t>6</t>
    </r>
  </si>
  <si>
    <t>Metano</t>
  </si>
  <si>
    <r>
      <t>CH</t>
    </r>
    <r>
      <rPr>
        <sz val="8"/>
        <color theme="1"/>
        <rFont val="Calibri"/>
        <family val="2"/>
        <scheme val="minor"/>
      </rPr>
      <t>4</t>
    </r>
  </si>
  <si>
    <t>Octano</t>
  </si>
  <si>
    <r>
      <t>C</t>
    </r>
    <r>
      <rPr>
        <sz val="8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H</t>
    </r>
    <r>
      <rPr>
        <sz val="8"/>
        <color theme="1"/>
        <rFont val="Calibri"/>
        <family val="2"/>
        <scheme val="minor"/>
      </rPr>
      <t>18</t>
    </r>
  </si>
  <si>
    <t>Acetileno</t>
  </si>
  <si>
    <r>
      <t>C</t>
    </r>
    <r>
      <rPr>
        <sz val="8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sz val="8"/>
        <color theme="1"/>
        <rFont val="Calibri"/>
        <family val="2"/>
        <scheme val="minor"/>
      </rPr>
      <t>2</t>
    </r>
  </si>
  <si>
    <t>Etano</t>
  </si>
  <si>
    <r>
      <t>C</t>
    </r>
    <r>
      <rPr>
        <sz val="8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sz val="8"/>
        <color theme="1"/>
        <rFont val="Calibri"/>
        <family val="2"/>
        <scheme val="minor"/>
      </rPr>
      <t>6</t>
    </r>
  </si>
  <si>
    <t>Ácido Acético</t>
  </si>
  <si>
    <r>
      <t>CH</t>
    </r>
    <r>
      <rPr>
        <sz val="8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COOH</t>
    </r>
  </si>
  <si>
    <t>Sacarose</t>
  </si>
  <si>
    <r>
      <t>C</t>
    </r>
    <r>
      <rPr>
        <sz val="8"/>
        <color theme="1"/>
        <rFont val="Calibri"/>
        <family val="2"/>
        <scheme val="minor"/>
      </rPr>
      <t>12</t>
    </r>
    <r>
      <rPr>
        <sz val="11"/>
        <color theme="1"/>
        <rFont val="Calibri"/>
        <family val="2"/>
        <scheme val="minor"/>
      </rPr>
      <t>H</t>
    </r>
    <r>
      <rPr>
        <sz val="8"/>
        <color theme="1"/>
        <rFont val="Calibri"/>
        <family val="2"/>
        <scheme val="minor"/>
      </rPr>
      <t>22</t>
    </r>
    <r>
      <rPr>
        <sz val="11"/>
        <color theme="1"/>
        <rFont val="Calibri"/>
        <family val="2"/>
        <scheme val="minor"/>
      </rPr>
      <t>O</t>
    </r>
    <r>
      <rPr>
        <sz val="8"/>
        <color theme="1"/>
        <rFont val="Calibri"/>
        <family val="2"/>
        <scheme val="minor"/>
      </rPr>
      <t>11</t>
    </r>
  </si>
  <si>
    <t>Metanol</t>
  </si>
  <si>
    <r>
      <t>CH</t>
    </r>
    <r>
      <rPr>
        <sz val="8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OH</t>
    </r>
  </si>
  <si>
    <t>Dióxido de Carbono</t>
  </si>
  <si>
    <r>
      <t>CO</t>
    </r>
    <r>
      <rPr>
        <sz val="8"/>
        <color theme="1"/>
        <rFont val="Calibri"/>
        <family val="2"/>
        <scheme val="minor"/>
      </rPr>
      <t>2</t>
    </r>
  </si>
  <si>
    <t>S</t>
  </si>
  <si>
    <t>Hexano</t>
  </si>
  <si>
    <r>
      <t>C</t>
    </r>
    <r>
      <rPr>
        <sz val="8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H</t>
    </r>
    <r>
      <rPr>
        <sz val="8"/>
        <color theme="1"/>
        <rFont val="Calibri"/>
        <family val="2"/>
        <scheme val="minor"/>
      </rPr>
      <t>14</t>
    </r>
  </si>
  <si>
    <t>Pentano</t>
  </si>
  <si>
    <r>
      <t>C</t>
    </r>
    <r>
      <rPr>
        <sz val="8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H</t>
    </r>
    <r>
      <rPr>
        <sz val="8"/>
        <color theme="1"/>
        <rFont val="Calibri"/>
        <family val="2"/>
        <scheme val="minor"/>
      </rPr>
      <t>12</t>
    </r>
  </si>
  <si>
    <t>Propano</t>
  </si>
  <si>
    <r>
      <t>C</t>
    </r>
    <r>
      <rPr>
        <sz val="8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sz val="8"/>
        <color theme="1"/>
        <rFont val="Calibri"/>
        <family val="2"/>
        <scheme val="minor"/>
      </rPr>
      <t>8</t>
    </r>
  </si>
  <si>
    <t>Butano</t>
  </si>
  <si>
    <r>
      <t>C</t>
    </r>
    <r>
      <rPr>
        <sz val="8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H</t>
    </r>
    <r>
      <rPr>
        <sz val="8"/>
        <color theme="1"/>
        <rFont val="Calibri"/>
        <family val="2"/>
        <scheme val="minor"/>
      </rPr>
      <t>10</t>
    </r>
  </si>
  <si>
    <t>GLP</t>
  </si>
  <si>
    <r>
      <t>C</t>
    </r>
    <r>
      <rPr>
        <sz val="8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sz val="8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/C</t>
    </r>
    <r>
      <rPr>
        <sz val="8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H</t>
    </r>
    <r>
      <rPr>
        <sz val="8"/>
        <color theme="1"/>
        <rFont val="Calibri"/>
        <family val="2"/>
        <scheme val="minor"/>
      </rPr>
      <t>10</t>
    </r>
  </si>
  <si>
    <r>
      <t>C</t>
    </r>
    <r>
      <rPr>
        <sz val="8"/>
        <color theme="1"/>
        <rFont val="Calibri"/>
        <family val="2"/>
        <scheme val="minor"/>
      </rPr>
      <t>(sólido)</t>
    </r>
  </si>
  <si>
    <r>
      <t>H</t>
    </r>
    <r>
      <rPr>
        <sz val="8"/>
        <color theme="1"/>
        <rFont val="Calibri"/>
        <family val="2"/>
        <scheme val="minor"/>
      </rPr>
      <t>2</t>
    </r>
  </si>
  <si>
    <t>Gás hidrogênio</t>
  </si>
  <si>
    <t>Madeira</t>
  </si>
  <si>
    <t>Carvão vegetal</t>
  </si>
  <si>
    <t>Carvão mineral</t>
  </si>
  <si>
    <t>O2</t>
  </si>
  <si>
    <t>CO2</t>
  </si>
  <si>
    <t>H2O</t>
  </si>
  <si>
    <t>Celulose</t>
  </si>
  <si>
    <t>Polioses</t>
  </si>
  <si>
    <t>Lignina</t>
  </si>
  <si>
    <t>Extrativos</t>
  </si>
  <si>
    <t>g/mol</t>
  </si>
  <si>
    <r>
      <t>O</t>
    </r>
    <r>
      <rPr>
        <sz val="8"/>
        <color theme="1"/>
        <rFont val="Calibri"/>
        <family val="2"/>
        <scheme val="minor"/>
      </rPr>
      <t>2/mol</t>
    </r>
  </si>
  <si>
    <t>%m</t>
  </si>
  <si>
    <r>
      <t>g de O</t>
    </r>
    <r>
      <rPr>
        <sz val="8"/>
        <color theme="1"/>
        <rFont val="Calibri"/>
        <family val="2"/>
        <scheme val="minor"/>
      </rPr>
      <t>2</t>
    </r>
  </si>
  <si>
    <r>
      <t xml:space="preserve">Ar necessário </t>
    </r>
    <r>
      <rPr>
        <sz val="9"/>
        <color theme="1"/>
        <rFont val="Calibri"/>
        <family val="2"/>
      </rPr>
      <t>[kg/kg de comb]</t>
    </r>
  </si>
  <si>
    <t>Bagaço de cana</t>
  </si>
  <si>
    <t>Gasolina (20% álcool)</t>
  </si>
  <si>
    <t>Óleo Diesel</t>
  </si>
  <si>
    <r>
      <t>∆H°</t>
    </r>
    <r>
      <rPr>
        <sz val="9"/>
        <color theme="1"/>
        <rFont val="Calibri"/>
        <family val="2"/>
      </rPr>
      <t>comb [kJ/kg de comb]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</si>
</sst>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"/>
    <numFmt numFmtId="165" formatCode="0.000"/>
    <numFmt numFmtId="166" formatCode="0.00000000"/>
    <numFmt numFmtId="167" formatCode="0.000000000"/>
    <numFmt numFmtId="168" formatCode="0.00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9"/>
      <color theme="1"/>
      <name val="Calibri"/>
      <family val="2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1" xfId="0" applyBorder="1"/>
    <xf numFmtId="164" fontId="0" fillId="0" borderId="0" xfId="0" applyNumberFormat="1"/>
    <xf numFmtId="165" fontId="0" fillId="0" borderId="0" xfId="0" applyNumberFormat="1"/>
    <xf numFmtId="164" fontId="0" fillId="0" borderId="0" xfId="0" applyNumberFormat="1" applyFill="1" applyBorder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180975</xdr:colOff>
      <xdr:row>20</xdr:row>
      <xdr:rowOff>66675</xdr:rowOff>
    </xdr:from>
    <xdr:to>
      <xdr:col>12</xdr:col>
      <xdr:colOff>57150</xdr:colOff>
      <xdr:row>38</xdr:row>
      <xdr:rowOff>0</xdr:rowOff>
    </xdr:to>
    <xdr:pic>
      <xdr:nvPicPr>
        <xdr:cNvPr id="2" name="Imagem 1" descr="Controle Do Excesso De Ar  Em Processos De Combustã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0" y="3914775"/>
          <a:ext cx="4819650" cy="3362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8"/>
  <sheetViews>
    <sheetView tabSelected="1" zoomScaleNormal="100" workbookViewId="0">
      <selection activeCell="G9" sqref="G9"/>
    </sheetView>
  </sheetViews>
  <sheetFormatPr defaultRowHeight="15" x14ac:dyDescent="0.25"/>
  <cols>
    <col min="1" max="1" width="19.85546875" customWidth="1"/>
    <col min="2" max="2" width="19.28515625" customWidth="1"/>
    <col min="3" max="3" width="21.140625" customWidth="1"/>
    <col min="4" max="4" width="26.140625" bestFit="1" customWidth="1"/>
    <col min="5" max="5" width="12.28515625" customWidth="1"/>
    <col min="6" max="6" width="9.42578125" customWidth="1"/>
    <col min="9" max="9" width="16.140625" bestFit="1" customWidth="1"/>
    <col min="10" max="10" width="12" customWidth="1"/>
    <col min="13" max="13" width="13.85546875" customWidth="1"/>
    <col min="14" max="14" width="13.42578125" customWidth="1"/>
  </cols>
  <sheetData>
    <row r="1" spans="1:14" ht="15.75" thickBot="1" x14ac:dyDescent="0.3">
      <c r="A1" t="s">
        <v>0</v>
      </c>
      <c r="B1" t="s">
        <v>1</v>
      </c>
      <c r="C1" s="1" t="s">
        <v>61</v>
      </c>
      <c r="D1" s="1" t="s">
        <v>57</v>
      </c>
      <c r="I1" s="1" t="s">
        <v>8</v>
      </c>
      <c r="J1" t="s">
        <v>4</v>
      </c>
      <c r="K1" t="s">
        <v>5</v>
      </c>
      <c r="L1" t="s">
        <v>6</v>
      </c>
      <c r="M1" t="s">
        <v>7</v>
      </c>
      <c r="N1" t="s">
        <v>29</v>
      </c>
    </row>
    <row r="2" spans="1:14" ht="15.75" thickBot="1" x14ac:dyDescent="0.3">
      <c r="A2" t="s">
        <v>2</v>
      </c>
      <c r="B2" t="s">
        <v>10</v>
      </c>
      <c r="C2" s="3">
        <v>-41897.435899999997</v>
      </c>
      <c r="D2">
        <v>17.627746070000001</v>
      </c>
      <c r="I2" s="2"/>
      <c r="J2">
        <v>12</v>
      </c>
      <c r="K2">
        <v>22</v>
      </c>
      <c r="L2">
        <v>11</v>
      </c>
      <c r="M2">
        <v>0</v>
      </c>
      <c r="N2">
        <v>0</v>
      </c>
    </row>
    <row r="3" spans="1:14" x14ac:dyDescent="0.25">
      <c r="A3" t="s">
        <v>17</v>
      </c>
      <c r="B3" t="s">
        <v>18</v>
      </c>
      <c r="C3" s="5">
        <v>-49934.615380000003</v>
      </c>
      <c r="D3">
        <v>17.627746070000001</v>
      </c>
      <c r="I3">
        <f>12*J2+1*K2+16*L2+14*M2+32*N2</f>
        <v>342</v>
      </c>
    </row>
    <row r="4" spans="1:14" x14ac:dyDescent="0.25">
      <c r="A4" t="s">
        <v>21</v>
      </c>
      <c r="B4" t="s">
        <v>22</v>
      </c>
      <c r="C4" s="5">
        <v>-14588.333329999999</v>
      </c>
      <c r="D4">
        <v>5.8563289730000001</v>
      </c>
      <c r="J4" s="8"/>
    </row>
    <row r="5" spans="1:14" x14ac:dyDescent="0.25">
      <c r="A5" t="s">
        <v>36</v>
      </c>
      <c r="B5" t="s">
        <v>37</v>
      </c>
      <c r="C5" s="5">
        <v>-35241.379309999997</v>
      </c>
      <c r="D5">
        <v>20.203017939999999</v>
      </c>
    </row>
    <row r="6" spans="1:14" x14ac:dyDescent="0.25">
      <c r="A6" t="s">
        <v>45</v>
      </c>
      <c r="B6" t="s">
        <v>40</v>
      </c>
      <c r="C6" s="5">
        <v>-32791.666669999999</v>
      </c>
      <c r="D6">
        <v>20.369839089999999</v>
      </c>
    </row>
    <row r="7" spans="1:14" x14ac:dyDescent="0.25">
      <c r="A7" t="s">
        <v>27</v>
      </c>
      <c r="B7" t="s">
        <v>28</v>
      </c>
      <c r="C7" s="5">
        <v>-8938.6363600000004</v>
      </c>
      <c r="D7" s="6">
        <v>0</v>
      </c>
    </row>
    <row r="8" spans="1:14" x14ac:dyDescent="0.25">
      <c r="A8" t="s">
        <v>19</v>
      </c>
      <c r="B8" t="s">
        <v>20</v>
      </c>
      <c r="C8" s="5">
        <v>-51943.333330000001</v>
      </c>
      <c r="D8">
        <v>19.60597091</v>
      </c>
    </row>
    <row r="9" spans="1:14" x14ac:dyDescent="0.25">
      <c r="A9" t="s">
        <v>3</v>
      </c>
      <c r="B9" t="s">
        <v>11</v>
      </c>
      <c r="C9">
        <v>-29739.130430000001</v>
      </c>
      <c r="D9">
        <v>11.95621038</v>
      </c>
      <c r="K9" t="s">
        <v>53</v>
      </c>
      <c r="L9" t="s">
        <v>55</v>
      </c>
      <c r="M9" t="s">
        <v>54</v>
      </c>
      <c r="N9" t="s">
        <v>56</v>
      </c>
    </row>
    <row r="10" spans="1:14" x14ac:dyDescent="0.25">
      <c r="A10" t="s">
        <v>42</v>
      </c>
      <c r="B10" t="s">
        <v>41</v>
      </c>
      <c r="C10" s="5">
        <v>-143000</v>
      </c>
      <c r="D10">
        <v>45.06827079</v>
      </c>
      <c r="J10" t="s">
        <v>49</v>
      </c>
      <c r="K10">
        <v>162.14060000000001</v>
      </c>
      <c r="L10">
        <v>0.453125</v>
      </c>
      <c r="M10">
        <v>6</v>
      </c>
      <c r="N10">
        <v>1.1841569999999999</v>
      </c>
    </row>
    <row r="11" spans="1:14" x14ac:dyDescent="0.25">
      <c r="A11" t="s">
        <v>9</v>
      </c>
      <c r="B11" t="s">
        <v>12</v>
      </c>
      <c r="C11" s="3">
        <v>-15600</v>
      </c>
      <c r="D11">
        <v>6.1109519719999996</v>
      </c>
      <c r="J11" t="s">
        <v>50</v>
      </c>
      <c r="K11">
        <v>2428.52</v>
      </c>
      <c r="L11">
        <v>0.296875</v>
      </c>
      <c r="M11">
        <v>78</v>
      </c>
      <c r="N11">
        <v>1.02779</v>
      </c>
    </row>
    <row r="12" spans="1:14" x14ac:dyDescent="0.25">
      <c r="A12" t="s">
        <v>38</v>
      </c>
      <c r="B12" t="s">
        <v>39</v>
      </c>
      <c r="C12" s="5">
        <v>-40880.74942</v>
      </c>
      <c r="D12">
        <v>18.947702960000001</v>
      </c>
      <c r="J12" t="s">
        <v>51</v>
      </c>
      <c r="K12">
        <v>640</v>
      </c>
      <c r="L12" s="4">
        <v>0.25</v>
      </c>
      <c r="M12">
        <v>34.5</v>
      </c>
      <c r="N12">
        <v>1.7250000000000001</v>
      </c>
    </row>
    <row r="13" spans="1:14" x14ac:dyDescent="0.25">
      <c r="A13" t="s">
        <v>30</v>
      </c>
      <c r="B13" t="s">
        <v>31</v>
      </c>
      <c r="C13" s="5">
        <v>-48139.534879999999</v>
      </c>
      <c r="D13">
        <v>18.563793050000001</v>
      </c>
      <c r="J13" t="s">
        <v>52</v>
      </c>
      <c r="L13">
        <v>9.9999999999999995E-7</v>
      </c>
      <c r="M13">
        <v>0</v>
      </c>
    </row>
    <row r="14" spans="1:14" x14ac:dyDescent="0.25">
      <c r="A14" t="s">
        <v>13</v>
      </c>
      <c r="B14" t="s">
        <v>14</v>
      </c>
      <c r="C14" s="3">
        <v>-55625</v>
      </c>
      <c r="D14">
        <v>21.006397400000001</v>
      </c>
      <c r="J14" t="s">
        <v>43</v>
      </c>
      <c r="K14">
        <f>K10*L10+K11*L11+K12*L12</f>
        <v>954.43683437499999</v>
      </c>
      <c r="L14">
        <v>1</v>
      </c>
      <c r="N14" s="7">
        <f>(N10*L10+N11*L11+N12*L12)*1.25/0.20946</f>
        <v>7.5965953933626942</v>
      </c>
    </row>
    <row r="15" spans="1:14" x14ac:dyDescent="0.25">
      <c r="A15" t="s">
        <v>25</v>
      </c>
      <c r="B15" t="s">
        <v>26</v>
      </c>
      <c r="C15" s="5">
        <v>-7443.75</v>
      </c>
      <c r="D15">
        <v>8.5935262100000003</v>
      </c>
      <c r="G15" t="s">
        <v>46</v>
      </c>
      <c r="H15" t="s">
        <v>47</v>
      </c>
      <c r="I15" t="s">
        <v>48</v>
      </c>
    </row>
    <row r="16" spans="1:14" x14ac:dyDescent="0.25">
      <c r="A16" t="s">
        <v>15</v>
      </c>
      <c r="B16" t="s">
        <v>16</v>
      </c>
      <c r="C16" s="5">
        <v>-47991.228069999997</v>
      </c>
      <c r="D16">
        <v>20.1018157</v>
      </c>
    </row>
    <row r="17" spans="1:13" x14ac:dyDescent="0.25">
      <c r="A17" t="s">
        <v>32</v>
      </c>
      <c r="B17" t="s">
        <v>33</v>
      </c>
      <c r="C17" s="5">
        <v>48750</v>
      </c>
      <c r="D17">
        <v>20.36983991</v>
      </c>
    </row>
    <row r="18" spans="1:13" x14ac:dyDescent="0.25">
      <c r="A18" t="s">
        <v>34</v>
      </c>
      <c r="B18" t="s">
        <v>35</v>
      </c>
      <c r="C18" s="5">
        <v>-46454.545449999998</v>
      </c>
      <c r="D18">
        <v>19.096724909999999</v>
      </c>
    </row>
    <row r="19" spans="1:13" ht="15.75" thickBot="1" x14ac:dyDescent="0.3">
      <c r="A19" t="s">
        <v>23</v>
      </c>
      <c r="B19" t="s">
        <v>24</v>
      </c>
      <c r="C19" s="5">
        <v>-16486.549709999999</v>
      </c>
      <c r="D19">
        <v>6.432581023</v>
      </c>
      <c r="M19">
        <f>32*M11/K11</f>
        <v>1.0277864707723223</v>
      </c>
    </row>
    <row r="20" spans="1:13" ht="15.75" thickBot="1" x14ac:dyDescent="0.3">
      <c r="A20" t="s">
        <v>43</v>
      </c>
      <c r="C20" s="5">
        <v>-10450</v>
      </c>
      <c r="D20">
        <v>7.5965953930000003</v>
      </c>
      <c r="K20" s="4"/>
      <c r="M20" s="2">
        <f>(32*12/342)*1.2/0.20946</f>
        <v>6.4325810228808917</v>
      </c>
    </row>
    <row r="21" spans="1:13" x14ac:dyDescent="0.25">
      <c r="A21" t="s">
        <v>44</v>
      </c>
      <c r="B21" t="s">
        <v>40</v>
      </c>
      <c r="C21" s="5">
        <v>-33432</v>
      </c>
      <c r="D21">
        <v>20.369839089999999</v>
      </c>
    </row>
    <row r="22" spans="1:13" x14ac:dyDescent="0.25">
      <c r="A22" t="s">
        <v>58</v>
      </c>
      <c r="C22" s="5">
        <v>9614</v>
      </c>
      <c r="D22">
        <v>8.2043230240000007</v>
      </c>
    </row>
    <row r="23" spans="1:13" x14ac:dyDescent="0.25">
      <c r="A23" t="s">
        <v>59</v>
      </c>
      <c r="C23" s="5">
        <v>40546</v>
      </c>
      <c r="D23">
        <v>21.210340039999998</v>
      </c>
    </row>
    <row r="24" spans="1:13" x14ac:dyDescent="0.25">
      <c r="A24" t="s">
        <v>60</v>
      </c>
      <c r="C24" s="5">
        <v>43888</v>
      </c>
      <c r="D24">
        <v>19.823008850000001</v>
      </c>
    </row>
    <row r="27" spans="1:13" x14ac:dyDescent="0.25">
      <c r="C27" s="5"/>
    </row>
    <row r="28" spans="1:13" x14ac:dyDescent="0.25">
      <c r="C28" s="5"/>
    </row>
  </sheetData>
  <sortState ref="A3:C19">
    <sortCondition ref="A2"/>
  </sortState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2021-12-30T15:31:15Z</dcterms:created>
  <dcterms:modified xsi:type="dcterms:W3CDTF">2022-04-24T18:19:40Z</dcterms:modified>
</cp:coreProperties>
</file>