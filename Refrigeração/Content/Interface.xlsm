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60" windowWidth="20115" windowHeight="8010"/>
  </bookViews>
  <sheets>
    <sheet name="Início" sheetId="1" r:id="rId1"/>
    <sheet name="Interpolador" sheetId="2" r:id="rId2"/>
    <sheet name="Listas" sheetId="3" r:id="rId3"/>
  </sheets>
  <calcPr calcId="145621"/>
</workbook>
</file>

<file path=xl/calcChain.xml><?xml version="1.0" encoding="utf-8"?>
<calcChain xmlns="http://schemas.openxmlformats.org/spreadsheetml/2006/main">
  <c r="C31" i="1" l="1"/>
  <c r="D27" i="1" l="1"/>
  <c r="B27" i="1"/>
  <c r="G31" i="1"/>
  <c r="B31" i="1" l="1"/>
  <c r="A31" i="1"/>
  <c r="A25" i="1"/>
  <c r="A21" i="1" l="1"/>
  <c r="E9" i="1" l="1"/>
  <c r="A19" i="1"/>
  <c r="A12" i="1"/>
  <c r="N15" i="1"/>
  <c r="B25" i="1" s="1"/>
  <c r="A15" i="1"/>
  <c r="C12" i="1"/>
  <c r="F12" i="1" s="1"/>
  <c r="E12" i="1" l="1"/>
  <c r="I4" i="2"/>
  <c r="H4" i="2"/>
  <c r="AD30" i="2" l="1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AE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AE28" i="2"/>
  <c r="AD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AE27" i="2"/>
  <c r="AD27" i="2"/>
  <c r="AC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AE26" i="2"/>
  <c r="AD26" i="2"/>
  <c r="AC26" i="2"/>
  <c r="AB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AE25" i="2"/>
  <c r="AD25" i="2"/>
  <c r="AC25" i="2"/>
  <c r="AB25" i="2"/>
  <c r="AA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AE23" i="2"/>
  <c r="AD23" i="2"/>
  <c r="AC23" i="2"/>
  <c r="AB23" i="2"/>
  <c r="AA23" i="2"/>
  <c r="Z23" i="2"/>
  <c r="Y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AE22" i="2"/>
  <c r="AD22" i="2"/>
  <c r="AC22" i="2"/>
  <c r="AB22" i="2"/>
  <c r="AA22" i="2"/>
  <c r="Z22" i="2"/>
  <c r="Y22" i="2"/>
  <c r="X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AE21" i="2"/>
  <c r="AD21" i="2"/>
  <c r="AC21" i="2"/>
  <c r="AB21" i="2"/>
  <c r="AA21" i="2"/>
  <c r="Z21" i="2"/>
  <c r="Y21" i="2"/>
  <c r="X21" i="2"/>
  <c r="W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AE20" i="2"/>
  <c r="AD20" i="2"/>
  <c r="AC20" i="2"/>
  <c r="AB20" i="2"/>
  <c r="AA20" i="2"/>
  <c r="Z20" i="2"/>
  <c r="Y20" i="2"/>
  <c r="X20" i="2"/>
  <c r="W20" i="2"/>
  <c r="V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AE19" i="2"/>
  <c r="AD19" i="2"/>
  <c r="AC19" i="2"/>
  <c r="AB19" i="2"/>
  <c r="AA19" i="2"/>
  <c r="Z19" i="2"/>
  <c r="Y19" i="2"/>
  <c r="X19" i="2"/>
  <c r="W19" i="2"/>
  <c r="V19" i="2"/>
  <c r="U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AE18" i="2"/>
  <c r="AD18" i="2"/>
  <c r="AC18" i="2"/>
  <c r="AB18" i="2"/>
  <c r="AA18" i="2"/>
  <c r="Z18" i="2"/>
  <c r="Y18" i="2"/>
  <c r="X18" i="2"/>
  <c r="W18" i="2"/>
  <c r="V18" i="2"/>
  <c r="U18" i="2"/>
  <c r="T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Q17" i="2"/>
  <c r="P17" i="2"/>
  <c r="O17" i="2"/>
  <c r="N17" i="2"/>
  <c r="M17" i="2"/>
  <c r="L17" i="2"/>
  <c r="K17" i="2"/>
  <c r="J17" i="2"/>
  <c r="I17" i="2"/>
  <c r="H17" i="2"/>
  <c r="G17" i="2"/>
  <c r="F17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P16" i="2"/>
  <c r="O16" i="2"/>
  <c r="N16" i="2"/>
  <c r="M16" i="2"/>
  <c r="L16" i="2"/>
  <c r="K16" i="2"/>
  <c r="J16" i="2"/>
  <c r="I16" i="2"/>
  <c r="H16" i="2"/>
  <c r="G16" i="2"/>
  <c r="F16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O15" i="2"/>
  <c r="N15" i="2"/>
  <c r="M15" i="2"/>
  <c r="L15" i="2"/>
  <c r="K15" i="2"/>
  <c r="J15" i="2"/>
  <c r="I15" i="2"/>
  <c r="H15" i="2"/>
  <c r="G15" i="2"/>
  <c r="F15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N14" i="2"/>
  <c r="M14" i="2"/>
  <c r="L14" i="2"/>
  <c r="K14" i="2"/>
  <c r="J14" i="2"/>
  <c r="I14" i="2"/>
  <c r="H14" i="2"/>
  <c r="G14" i="2"/>
  <c r="F14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H13" i="2"/>
  <c r="G13" i="2"/>
  <c r="F13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L12" i="2"/>
  <c r="K12" i="2"/>
  <c r="J12" i="2"/>
  <c r="I12" i="2"/>
  <c r="H12" i="2"/>
  <c r="G12" i="2"/>
  <c r="F12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K11" i="2"/>
  <c r="J11" i="2"/>
  <c r="I11" i="2"/>
  <c r="H11" i="2"/>
  <c r="G11" i="2"/>
  <c r="F11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J10" i="2"/>
  <c r="I10" i="2"/>
  <c r="H10" i="2"/>
  <c r="G10" i="2"/>
  <c r="F10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I9" i="2"/>
  <c r="H9" i="2"/>
  <c r="G9" i="2"/>
  <c r="F9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H8" i="2"/>
  <c r="G8" i="2"/>
  <c r="F8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G7" i="2"/>
  <c r="F7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F6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G4" i="2"/>
  <c r="F4" i="2"/>
  <c r="E4" i="2"/>
  <c r="F64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AE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AE58" i="2"/>
  <c r="AD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AE57" i="2"/>
  <c r="AD57" i="2"/>
  <c r="AC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AE56" i="2"/>
  <c r="AD56" i="2"/>
  <c r="AC56" i="2"/>
  <c r="AB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AE55" i="2"/>
  <c r="AD55" i="2"/>
  <c r="AC55" i="2"/>
  <c r="AB55" i="2"/>
  <c r="AA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AE54" i="2"/>
  <c r="AD54" i="2"/>
  <c r="AC54" i="2"/>
  <c r="AB54" i="2"/>
  <c r="AA54" i="2"/>
  <c r="Z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AE53" i="2"/>
  <c r="AD53" i="2"/>
  <c r="AC53" i="2"/>
  <c r="AB53" i="2"/>
  <c r="AA53" i="2"/>
  <c r="Z53" i="2"/>
  <c r="Y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AE52" i="2"/>
  <c r="AD52" i="2"/>
  <c r="AC52" i="2"/>
  <c r="AB52" i="2"/>
  <c r="AA52" i="2"/>
  <c r="Z52" i="2"/>
  <c r="Y52" i="2"/>
  <c r="X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AE51" i="2"/>
  <c r="AD51" i="2"/>
  <c r="AC51" i="2"/>
  <c r="AB51" i="2"/>
  <c r="AA51" i="2"/>
  <c r="Z51" i="2"/>
  <c r="Y51" i="2"/>
  <c r="X51" i="2"/>
  <c r="W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AE50" i="2"/>
  <c r="AD50" i="2"/>
  <c r="AC50" i="2"/>
  <c r="AB50" i="2"/>
  <c r="AA50" i="2"/>
  <c r="Z50" i="2"/>
  <c r="Y50" i="2"/>
  <c r="X50" i="2"/>
  <c r="W50" i="2"/>
  <c r="V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AE49" i="2"/>
  <c r="AD49" i="2"/>
  <c r="AC49" i="2"/>
  <c r="AB49" i="2"/>
  <c r="AA49" i="2"/>
  <c r="Z49" i="2"/>
  <c r="Y49" i="2"/>
  <c r="X49" i="2"/>
  <c r="W49" i="2"/>
  <c r="V49" i="2"/>
  <c r="U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AE48" i="2"/>
  <c r="AD48" i="2"/>
  <c r="AC48" i="2"/>
  <c r="AB48" i="2"/>
  <c r="AA48" i="2"/>
  <c r="Z48" i="2"/>
  <c r="Y48" i="2"/>
  <c r="X48" i="2"/>
  <c r="W48" i="2"/>
  <c r="V48" i="2"/>
  <c r="U48" i="2"/>
  <c r="T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Q47" i="2"/>
  <c r="P47" i="2"/>
  <c r="O47" i="2"/>
  <c r="N47" i="2"/>
  <c r="M47" i="2"/>
  <c r="L47" i="2"/>
  <c r="K47" i="2"/>
  <c r="J47" i="2"/>
  <c r="I47" i="2"/>
  <c r="H47" i="2"/>
  <c r="G47" i="2"/>
  <c r="F47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P46" i="2"/>
  <c r="O46" i="2"/>
  <c r="N46" i="2"/>
  <c r="M46" i="2"/>
  <c r="L46" i="2"/>
  <c r="K46" i="2"/>
  <c r="J46" i="2"/>
  <c r="I46" i="2"/>
  <c r="H46" i="2"/>
  <c r="G46" i="2"/>
  <c r="F46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O45" i="2"/>
  <c r="N45" i="2"/>
  <c r="M45" i="2"/>
  <c r="L45" i="2"/>
  <c r="K45" i="2"/>
  <c r="J45" i="2"/>
  <c r="I45" i="2"/>
  <c r="H45" i="2"/>
  <c r="G45" i="2"/>
  <c r="F45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N44" i="2"/>
  <c r="M44" i="2"/>
  <c r="L44" i="2"/>
  <c r="K44" i="2"/>
  <c r="J44" i="2"/>
  <c r="I44" i="2"/>
  <c r="H44" i="2"/>
  <c r="G44" i="2"/>
  <c r="F44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M43" i="2"/>
  <c r="L43" i="2"/>
  <c r="K43" i="2"/>
  <c r="J43" i="2"/>
  <c r="I43" i="2"/>
  <c r="H43" i="2"/>
  <c r="G43" i="2"/>
  <c r="F43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L42" i="2"/>
  <c r="K42" i="2"/>
  <c r="J42" i="2"/>
  <c r="I42" i="2"/>
  <c r="H42" i="2"/>
  <c r="G42" i="2"/>
  <c r="F42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K41" i="2"/>
  <c r="J41" i="2"/>
  <c r="I41" i="2"/>
  <c r="H41" i="2"/>
  <c r="G41" i="2"/>
  <c r="F41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J40" i="2"/>
  <c r="I40" i="2"/>
  <c r="H40" i="2"/>
  <c r="G40" i="2"/>
  <c r="F40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I39" i="2"/>
  <c r="H39" i="2"/>
  <c r="G39" i="2"/>
  <c r="F39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H38" i="2"/>
  <c r="G38" i="2"/>
  <c r="F38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G37" i="2"/>
  <c r="F37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F36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AE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AE88" i="2"/>
  <c r="AD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AE87" i="2"/>
  <c r="AD87" i="2"/>
  <c r="AC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AE86" i="2"/>
  <c r="AD86" i="2"/>
  <c r="AC86" i="2"/>
  <c r="AB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AE85" i="2"/>
  <c r="AD85" i="2"/>
  <c r="AC85" i="2"/>
  <c r="AB85" i="2"/>
  <c r="AA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AE84" i="2"/>
  <c r="AD84" i="2"/>
  <c r="AC84" i="2"/>
  <c r="AB84" i="2"/>
  <c r="AA84" i="2"/>
  <c r="Z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AE83" i="2"/>
  <c r="AD83" i="2"/>
  <c r="AC83" i="2"/>
  <c r="AB83" i="2"/>
  <c r="AA83" i="2"/>
  <c r="Z83" i="2"/>
  <c r="Y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AE82" i="2"/>
  <c r="AD82" i="2"/>
  <c r="AC82" i="2"/>
  <c r="AB82" i="2"/>
  <c r="AA82" i="2"/>
  <c r="Z82" i="2"/>
  <c r="Y82" i="2"/>
  <c r="X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AE81" i="2"/>
  <c r="AD81" i="2"/>
  <c r="AC81" i="2"/>
  <c r="AB81" i="2"/>
  <c r="AA81" i="2"/>
  <c r="Z81" i="2"/>
  <c r="Y81" i="2"/>
  <c r="X81" i="2"/>
  <c r="W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AE80" i="2"/>
  <c r="AD80" i="2"/>
  <c r="AC80" i="2"/>
  <c r="AB80" i="2"/>
  <c r="AA80" i="2"/>
  <c r="Z80" i="2"/>
  <c r="Y80" i="2"/>
  <c r="X80" i="2"/>
  <c r="W80" i="2"/>
  <c r="V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AE79" i="2"/>
  <c r="AD79" i="2"/>
  <c r="AC79" i="2"/>
  <c r="AB79" i="2"/>
  <c r="AA79" i="2"/>
  <c r="Z79" i="2"/>
  <c r="Y79" i="2"/>
  <c r="X79" i="2"/>
  <c r="W79" i="2"/>
  <c r="V79" i="2"/>
  <c r="U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AE78" i="2"/>
  <c r="AD78" i="2"/>
  <c r="AC78" i="2"/>
  <c r="AB78" i="2"/>
  <c r="AA78" i="2"/>
  <c r="Z78" i="2"/>
  <c r="Y78" i="2"/>
  <c r="X78" i="2"/>
  <c r="W78" i="2"/>
  <c r="V78" i="2"/>
  <c r="U78" i="2"/>
  <c r="T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Q77" i="2"/>
  <c r="P77" i="2"/>
  <c r="O77" i="2"/>
  <c r="N77" i="2"/>
  <c r="M77" i="2"/>
  <c r="L77" i="2"/>
  <c r="K77" i="2"/>
  <c r="J77" i="2"/>
  <c r="I77" i="2"/>
  <c r="H77" i="2"/>
  <c r="G77" i="2"/>
  <c r="F77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P76" i="2"/>
  <c r="O76" i="2"/>
  <c r="N76" i="2"/>
  <c r="M76" i="2"/>
  <c r="L76" i="2"/>
  <c r="K76" i="2"/>
  <c r="J76" i="2"/>
  <c r="I76" i="2"/>
  <c r="H76" i="2"/>
  <c r="G76" i="2"/>
  <c r="F76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O75" i="2"/>
  <c r="N75" i="2"/>
  <c r="M75" i="2"/>
  <c r="L75" i="2"/>
  <c r="K75" i="2"/>
  <c r="J75" i="2"/>
  <c r="I75" i="2"/>
  <c r="H75" i="2"/>
  <c r="G75" i="2"/>
  <c r="F75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N74" i="2"/>
  <c r="M74" i="2"/>
  <c r="L74" i="2"/>
  <c r="K74" i="2"/>
  <c r="J74" i="2"/>
  <c r="I74" i="2"/>
  <c r="H74" i="2"/>
  <c r="G74" i="2"/>
  <c r="F74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M73" i="2"/>
  <c r="L73" i="2"/>
  <c r="K73" i="2"/>
  <c r="J73" i="2"/>
  <c r="I73" i="2"/>
  <c r="H73" i="2"/>
  <c r="G73" i="2"/>
  <c r="F73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L72" i="2"/>
  <c r="K72" i="2"/>
  <c r="J72" i="2"/>
  <c r="I72" i="2"/>
  <c r="H72" i="2"/>
  <c r="G72" i="2"/>
  <c r="F72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K71" i="2"/>
  <c r="J71" i="2"/>
  <c r="I71" i="2"/>
  <c r="H71" i="2"/>
  <c r="G71" i="2"/>
  <c r="F71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J70" i="2"/>
  <c r="I70" i="2"/>
  <c r="H70" i="2"/>
  <c r="G70" i="2"/>
  <c r="F70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I69" i="2"/>
  <c r="H69" i="2"/>
  <c r="G69" i="2"/>
  <c r="F69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H68" i="2"/>
  <c r="G68" i="2"/>
  <c r="F68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G67" i="2"/>
  <c r="F67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F66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E64" i="2"/>
  <c r="E8" i="2" l="1"/>
  <c r="E6" i="2"/>
  <c r="E7" i="2"/>
  <c r="E5" i="2"/>
  <c r="E27" i="2"/>
  <c r="E23" i="2"/>
  <c r="E19" i="2"/>
  <c r="E15" i="2"/>
  <c r="E11" i="2"/>
  <c r="E30" i="2"/>
  <c r="E26" i="2"/>
  <c r="E22" i="2"/>
  <c r="E18" i="2"/>
  <c r="E14" i="2"/>
  <c r="E10" i="2"/>
  <c r="E29" i="2"/>
  <c r="E25" i="2"/>
  <c r="E21" i="2"/>
  <c r="E17" i="2"/>
  <c r="E9" i="2"/>
  <c r="E13" i="2"/>
  <c r="E28" i="2"/>
  <c r="E24" i="2"/>
  <c r="E20" i="2"/>
  <c r="E16" i="2"/>
  <c r="E12" i="2"/>
  <c r="E38" i="2"/>
  <c r="E89" i="2"/>
  <c r="E75" i="2"/>
  <c r="E83" i="2"/>
  <c r="E68" i="2"/>
  <c r="E72" i="2"/>
  <c r="E76" i="2"/>
  <c r="E80" i="2"/>
  <c r="E84" i="2"/>
  <c r="E88" i="2"/>
  <c r="E37" i="2"/>
  <c r="E41" i="2"/>
  <c r="E45" i="2"/>
  <c r="E49" i="2"/>
  <c r="E53" i="2"/>
  <c r="E57" i="2"/>
  <c r="E42" i="2"/>
  <c r="E46" i="2"/>
  <c r="E50" i="2"/>
  <c r="E54" i="2"/>
  <c r="E58" i="2"/>
  <c r="E66" i="2"/>
  <c r="E70" i="2"/>
  <c r="E74" i="2"/>
  <c r="E78" i="2"/>
  <c r="E82" i="2"/>
  <c r="E86" i="2"/>
  <c r="E90" i="2"/>
  <c r="E35" i="2"/>
  <c r="E39" i="2"/>
  <c r="E43" i="2"/>
  <c r="E47" i="2"/>
  <c r="E51" i="2"/>
  <c r="E55" i="2"/>
  <c r="E59" i="2"/>
  <c r="E71" i="2"/>
  <c r="E79" i="2"/>
  <c r="E87" i="2"/>
  <c r="E36" i="2"/>
  <c r="E40" i="2"/>
  <c r="E44" i="2"/>
  <c r="E48" i="2"/>
  <c r="E52" i="2"/>
  <c r="E56" i="2"/>
  <c r="E60" i="2"/>
  <c r="E65" i="2"/>
  <c r="E69" i="2"/>
  <c r="E73" i="2"/>
  <c r="E77" i="2"/>
  <c r="E81" i="2"/>
  <c r="E67" i="2"/>
  <c r="E85" i="2"/>
  <c r="D64" i="2" l="1"/>
  <c r="D34" i="2"/>
  <c r="D4" i="2"/>
  <c r="D15" i="1"/>
  <c r="C15" i="1" s="1"/>
</calcChain>
</file>

<file path=xl/sharedStrings.xml><?xml version="1.0" encoding="utf-8"?>
<sst xmlns="http://schemas.openxmlformats.org/spreadsheetml/2006/main" count="215" uniqueCount="117">
  <si>
    <t>Geral</t>
  </si>
  <si>
    <t>Ponto 1</t>
  </si>
  <si>
    <t>Pressão [kPa]</t>
  </si>
  <si>
    <t>Temperatura [°C]</t>
  </si>
  <si>
    <t>Volume [m³/kg]</t>
  </si>
  <si>
    <t>Entalpia [kJ/kg]</t>
  </si>
  <si>
    <t>Entropia [kJ/(kg.K)]</t>
  </si>
  <si>
    <t>Cp [kJ/(kg°C)]</t>
  </si>
  <si>
    <t>Cp/Cv (k)</t>
  </si>
  <si>
    <t>Velocidade do som [m/s]</t>
  </si>
  <si>
    <t>Ponto 2</t>
  </si>
  <si>
    <t>Ponto 3</t>
  </si>
  <si>
    <t>Título (λ)</t>
  </si>
  <si>
    <t>Volume (Líq) [m³/kg]</t>
  </si>
  <si>
    <t>Volume (Vap) [m³/kg]</t>
  </si>
  <si>
    <t>Densidade (Líq) [kg/m³]</t>
  </si>
  <si>
    <t>Densidade (Vap) [kg/m³]</t>
  </si>
  <si>
    <t>Entalpia (Líq) [kJ/kg]</t>
  </si>
  <si>
    <t>Entalpia (Vap) [kJ/kg]</t>
  </si>
  <si>
    <t>Entalpia (Lat) [kJ/kg]</t>
  </si>
  <si>
    <t>Entropia (Líq)[kJ/(kg.K)]</t>
  </si>
  <si>
    <t>Entropia (Vap)[kJ/(kg.K)]</t>
  </si>
  <si>
    <t>Ponto 4</t>
  </si>
  <si>
    <t>Vasão [Kg/h]</t>
  </si>
  <si>
    <t>MW [kg/kmol]</t>
  </si>
  <si>
    <t>Grau do Polinômio</t>
  </si>
  <si>
    <t>Concentrações (na Temp. T)</t>
  </si>
  <si>
    <t>Dado (na Temp. T)</t>
  </si>
  <si>
    <t>Pi(X)*Yi</t>
  </si>
  <si>
    <t>∆0</t>
  </si>
  <si>
    <t>∆1</t>
  </si>
  <si>
    <t>∆2</t>
  </si>
  <si>
    <t>∆3</t>
  </si>
  <si>
    <t>∆4</t>
  </si>
  <si>
    <t>∆5</t>
  </si>
  <si>
    <t>∆6</t>
  </si>
  <si>
    <t>∆7</t>
  </si>
  <si>
    <t>∆8</t>
  </si>
  <si>
    <t>∆9</t>
  </si>
  <si>
    <t>∆10</t>
  </si>
  <si>
    <t>∆11</t>
  </si>
  <si>
    <t>∆12</t>
  </si>
  <si>
    <t>∆13</t>
  </si>
  <si>
    <t>∆14</t>
  </si>
  <si>
    <t>∆15</t>
  </si>
  <si>
    <t>∆16</t>
  </si>
  <si>
    <t>∆17</t>
  </si>
  <si>
    <t>∆18</t>
  </si>
  <si>
    <t>∆19</t>
  </si>
  <si>
    <t>∆20</t>
  </si>
  <si>
    <t>∆21</t>
  </si>
  <si>
    <t>∆22</t>
  </si>
  <si>
    <t>∆23</t>
  </si>
  <si>
    <t>∆24</t>
  </si>
  <si>
    <t>∆25</t>
  </si>
  <si>
    <t>X</t>
  </si>
  <si>
    <t>Superaquecimento [°C]</t>
  </si>
  <si>
    <t>Subresfriamento [°C]</t>
  </si>
  <si>
    <r>
      <t>T</t>
    </r>
    <r>
      <rPr>
        <b/>
        <sz val="9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[°C]</t>
    </r>
  </si>
  <si>
    <r>
      <t>V</t>
    </r>
    <r>
      <rPr>
        <b/>
        <sz val="9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[L/mol]</t>
    </r>
  </si>
  <si>
    <r>
      <t>ρ</t>
    </r>
    <r>
      <rPr>
        <b/>
        <sz val="9"/>
        <rFont val="Calibri"/>
        <family val="2"/>
        <scheme val="minor"/>
      </rPr>
      <t>c</t>
    </r>
    <r>
      <rPr>
        <b/>
        <sz val="11"/>
        <rFont val="Calibri"/>
        <family val="2"/>
        <scheme val="minor"/>
      </rPr>
      <t>[kg/m³]</t>
    </r>
  </si>
  <si>
    <t>Valores na Saturação</t>
  </si>
  <si>
    <t>BHPcompressor [HP]</t>
  </si>
  <si>
    <t>RC</t>
  </si>
  <si>
    <t>Compressor</t>
  </si>
  <si>
    <t>Rendimento[η]</t>
  </si>
  <si>
    <t>BHP [hp]</t>
  </si>
  <si>
    <r>
      <t>H</t>
    </r>
    <r>
      <rPr>
        <b/>
        <sz val="9"/>
        <color theme="1"/>
        <rFont val="Calibri"/>
        <family val="2"/>
        <scheme val="minor"/>
      </rPr>
      <t>poli</t>
    </r>
    <r>
      <rPr>
        <b/>
        <sz val="11"/>
        <color theme="1"/>
        <rFont val="Calibri"/>
        <family val="2"/>
        <scheme val="minor"/>
      </rPr>
      <t xml:space="preserve"> [ft]</t>
    </r>
  </si>
  <si>
    <r>
      <t>U</t>
    </r>
    <r>
      <rPr>
        <b/>
        <sz val="9"/>
        <color theme="1"/>
        <rFont val="Calibri"/>
        <family val="2"/>
        <scheme val="minor"/>
      </rPr>
      <t xml:space="preserve">real </t>
    </r>
    <r>
      <rPr>
        <b/>
        <sz val="11"/>
        <color theme="1"/>
        <rFont val="Calibri"/>
        <family val="2"/>
        <scheme val="minor"/>
      </rPr>
      <t>[ft/s]</t>
    </r>
  </si>
  <si>
    <r>
      <t>T</t>
    </r>
    <r>
      <rPr>
        <b/>
        <sz val="9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[°C]</t>
    </r>
  </si>
  <si>
    <r>
      <t>P</t>
    </r>
    <r>
      <rPr>
        <b/>
        <sz val="9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[kPa]</t>
    </r>
  </si>
  <si>
    <t>N [RPM]</t>
  </si>
  <si>
    <r>
      <t>N</t>
    </r>
    <r>
      <rPr>
        <b/>
        <sz val="9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(Vel. Especif.)</t>
    </r>
  </si>
  <si>
    <r>
      <t>D</t>
    </r>
    <r>
      <rPr>
        <b/>
        <sz val="9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(Diâ. Especif.)</t>
    </r>
  </si>
  <si>
    <r>
      <t xml:space="preserve">Adiabáticos </t>
    </r>
    <r>
      <rPr>
        <b/>
        <sz val="14"/>
        <color theme="1"/>
        <rFont val="Calibri"/>
        <family val="2"/>
      </rPr>
      <t>→</t>
    </r>
  </si>
  <si>
    <r>
      <t>∆H</t>
    </r>
    <r>
      <rPr>
        <b/>
        <sz val="9"/>
        <color theme="1"/>
        <rFont val="Calibri"/>
        <family val="2"/>
      </rPr>
      <t>comp</t>
    </r>
    <r>
      <rPr>
        <b/>
        <sz val="11"/>
        <color theme="1"/>
        <rFont val="Calibri"/>
        <family val="2"/>
      </rPr>
      <t xml:space="preserve"> [kW]</t>
    </r>
  </si>
  <si>
    <t>Caldeira</t>
  </si>
  <si>
    <t>Pré-aquecimento [°C]</t>
  </si>
  <si>
    <r>
      <t>∆H</t>
    </r>
    <r>
      <rPr>
        <b/>
        <sz val="9"/>
        <color theme="1"/>
        <rFont val="Calibri"/>
        <family val="2"/>
      </rPr>
      <t>caldeira</t>
    </r>
    <r>
      <rPr>
        <b/>
        <sz val="11"/>
        <color theme="1"/>
        <rFont val="Calibri"/>
        <family val="2"/>
      </rPr>
      <t xml:space="preserve"> [kW]</t>
    </r>
  </si>
  <si>
    <t>Combustível[kg/h]</t>
  </si>
  <si>
    <t>Corrente de ar[kg/h]</t>
  </si>
  <si>
    <t>Benzeno</t>
  </si>
  <si>
    <t>Acetileno</t>
  </si>
  <si>
    <t>Ácido Acético</t>
  </si>
  <si>
    <t>Butano</t>
  </si>
  <si>
    <t>Carvão mineral</t>
  </si>
  <si>
    <t>Dióxido de Carbono</t>
  </si>
  <si>
    <t>Etano</t>
  </si>
  <si>
    <t>Etanol</t>
  </si>
  <si>
    <t>Gás hidrogênio</t>
  </si>
  <si>
    <t>Glicose</t>
  </si>
  <si>
    <t>GLP</t>
  </si>
  <si>
    <t>Hexano</t>
  </si>
  <si>
    <t>Metano</t>
  </si>
  <si>
    <t>Metanol</t>
  </si>
  <si>
    <t>Octano</t>
  </si>
  <si>
    <t>Pentano</t>
  </si>
  <si>
    <t>Propano</t>
  </si>
  <si>
    <t>Sacarose</t>
  </si>
  <si>
    <t>Madeira</t>
  </si>
  <si>
    <t>Carvão vegetal</t>
  </si>
  <si>
    <t>Bagaço de cana</t>
  </si>
  <si>
    <t>Gasolina (20% álcool)</t>
  </si>
  <si>
    <t>Óleo Diesel</t>
  </si>
  <si>
    <t>Combustíveis</t>
  </si>
  <si>
    <t>Entrada [°C]</t>
  </si>
  <si>
    <t>Condensador</t>
  </si>
  <si>
    <t>Saída [°C]</t>
  </si>
  <si>
    <r>
      <t>Q</t>
    </r>
    <r>
      <rPr>
        <b/>
        <sz val="9"/>
        <color theme="1"/>
        <rFont val="Calibri"/>
        <family val="2"/>
      </rPr>
      <t>condensador</t>
    </r>
    <r>
      <rPr>
        <b/>
        <sz val="11"/>
        <color theme="1"/>
        <rFont val="Calibri"/>
        <family val="2"/>
      </rPr>
      <t xml:space="preserve"> [kW]</t>
    </r>
  </si>
  <si>
    <r>
      <t>T</t>
    </r>
    <r>
      <rPr>
        <b/>
        <sz val="9"/>
        <color theme="1"/>
        <rFont val="Calibri"/>
        <family val="2"/>
        <scheme val="minor"/>
      </rPr>
      <t>s(água de resf.)</t>
    </r>
    <r>
      <rPr>
        <b/>
        <sz val="11"/>
        <color theme="1"/>
        <rFont val="Calibri"/>
        <family val="2"/>
        <scheme val="minor"/>
      </rPr>
      <t xml:space="preserve"> [°C]</t>
    </r>
  </si>
  <si>
    <r>
      <t>T</t>
    </r>
    <r>
      <rPr>
        <b/>
        <sz val="9"/>
        <color theme="1"/>
        <rFont val="Calibri"/>
        <family val="2"/>
        <scheme val="minor"/>
      </rPr>
      <t>e(água de resf.)</t>
    </r>
    <r>
      <rPr>
        <b/>
        <sz val="11"/>
        <color theme="1"/>
        <rFont val="Calibri"/>
        <family val="2"/>
        <scheme val="minor"/>
      </rPr>
      <t xml:space="preserve"> [°C]</t>
    </r>
  </si>
  <si>
    <t>Água de resf [kg/h]</t>
  </si>
  <si>
    <t>LMDT [°C]</t>
  </si>
  <si>
    <r>
      <t>T</t>
    </r>
    <r>
      <rPr>
        <b/>
        <sz val="9"/>
        <color theme="1"/>
        <rFont val="Calibri"/>
        <family val="2"/>
        <scheme val="minor"/>
      </rPr>
      <t>e(água de aquec.)</t>
    </r>
    <r>
      <rPr>
        <b/>
        <sz val="11"/>
        <color theme="1"/>
        <rFont val="Calibri"/>
        <family val="2"/>
        <scheme val="minor"/>
      </rPr>
      <t xml:space="preserve"> [°C]</t>
    </r>
  </si>
  <si>
    <r>
      <t>Ts</t>
    </r>
    <r>
      <rPr>
        <b/>
        <sz val="9"/>
        <color theme="1"/>
        <rFont val="Calibri"/>
        <family val="2"/>
        <scheme val="minor"/>
      </rPr>
      <t>(água de aquec.)</t>
    </r>
    <r>
      <rPr>
        <b/>
        <sz val="11"/>
        <color theme="1"/>
        <rFont val="Calibri"/>
        <family val="2"/>
        <scheme val="minor"/>
      </rPr>
      <t xml:space="preserve"> [°C]</t>
    </r>
  </si>
  <si>
    <t>Água de aquec [kg/h]</t>
  </si>
  <si>
    <r>
      <t>P</t>
    </r>
    <r>
      <rPr>
        <b/>
        <sz val="9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[atm</t>
    </r>
    <r>
      <rPr>
        <sz val="9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</si>
</sst>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"/>
    <numFmt numFmtId="165" formatCode="0.00000000000000E+00"/>
    <numFmt numFmtId="166" formatCode="0.0000"/>
    <numFmt numFmtId="167" formatCode="0.0000000"/>
    <numFmt numFmtId="168" formatCode="0.00000"/>
    <numFmt numFmtId="169" formatCode="0.0"/>
    <numFmt numFmtId="170" formatCode="0.000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4"/>
      <color theme="1"/>
      <name val="Calibri"/>
      <family val="2"/>
      <scheme val="minor"/>
    </font>
    <font>
      <sz val="8"/>
      <color rgb="FF2D2D2D"/>
      <name val="Times New Roman"/>
      <family val="1"/>
    </font>
    <font>
      <sz val="8"/>
      <color rgb="FF161616"/>
      <name val="Times New Roman"/>
      <family val="1"/>
    </font>
    <font>
      <sz val="8"/>
      <color rgb="FF424242"/>
      <name val="Times New Roman"/>
      <family val="1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9"/>
      <color theme="1"/>
      <name val="Calibri"/>
      <family val="2"/>
    </font>
    <font>
      <sz val="11"/>
      <color rgb="FF01FF50"/>
      <name val="Calibri"/>
      <family val="2"/>
      <scheme val="minor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D5A4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2" fillId="2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0" fontId="0" fillId="0" borderId="1" xfId="0" applyBorder="1"/>
    <xf numFmtId="0" fontId="0" fillId="4" borderId="1" xfId="0" applyFill="1" applyBorder="1"/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64" fontId="0" fillId="0" borderId="5" xfId="0" applyNumberFormat="1" applyBorder="1"/>
    <xf numFmtId="165" fontId="0" fillId="6" borderId="6" xfId="0" applyNumberFormat="1" applyFill="1" applyBorder="1"/>
    <xf numFmtId="0" fontId="0" fillId="6" borderId="7" xfId="0" applyFill="1" applyBorder="1" applyAlignment="1">
      <alignment horizontal="center"/>
    </xf>
    <xf numFmtId="166" fontId="0" fillId="0" borderId="1" xfId="0" applyNumberFormat="1" applyBorder="1"/>
    <xf numFmtId="165" fontId="0" fillId="7" borderId="1" xfId="0" applyNumberFormat="1" applyFill="1" applyBorder="1"/>
    <xf numFmtId="0" fontId="0" fillId="6" borderId="7" xfId="0" applyFill="1" applyBorder="1"/>
    <xf numFmtId="0" fontId="0" fillId="6" borderId="1" xfId="0" applyFill="1" applyBorder="1" applyAlignment="1">
      <alignment horizontal="center"/>
    </xf>
    <xf numFmtId="166" fontId="0" fillId="7" borderId="1" xfId="0" applyNumberFormat="1" applyFill="1" applyBorder="1"/>
    <xf numFmtId="165" fontId="0" fillId="0" borderId="1" xfId="0" applyNumberFormat="1" applyBorder="1"/>
    <xf numFmtId="0" fontId="0" fillId="2" borderId="8" xfId="0" applyFill="1" applyBorder="1" applyAlignment="1">
      <alignment horizontal="center"/>
    </xf>
    <xf numFmtId="0" fontId="0" fillId="6" borderId="9" xfId="0" applyFill="1" applyBorder="1"/>
    <xf numFmtId="0" fontId="0" fillId="0" borderId="10" xfId="0" applyBorder="1"/>
    <xf numFmtId="0" fontId="0" fillId="6" borderId="10" xfId="0" applyFill="1" applyBorder="1" applyAlignment="1">
      <alignment horizontal="center"/>
    </xf>
    <xf numFmtId="166" fontId="0" fillId="0" borderId="12" xfId="0" applyNumberFormat="1" applyBorder="1"/>
    <xf numFmtId="166" fontId="0" fillId="0" borderId="13" xfId="0" applyNumberFormat="1" applyBorder="1"/>
    <xf numFmtId="165" fontId="0" fillId="0" borderId="11" xfId="0" applyNumberFormat="1" applyBorder="1"/>
    <xf numFmtId="165" fontId="0" fillId="0" borderId="14" xfId="0" applyNumberFormat="1" applyBorder="1"/>
    <xf numFmtId="167" fontId="3" fillId="0" borderId="15" xfId="0" applyNumberFormat="1" applyFont="1" applyBorder="1" applyAlignment="1">
      <alignment horizontal="right" vertical="center" wrapText="1"/>
    </xf>
    <xf numFmtId="167" fontId="4" fillId="0" borderId="15" xfId="0" applyNumberFormat="1" applyFont="1" applyBorder="1" applyAlignment="1">
      <alignment horizontal="right" vertical="center" wrapText="1"/>
    </xf>
    <xf numFmtId="0" fontId="0" fillId="4" borderId="7" xfId="0" applyFill="1" applyBorder="1"/>
    <xf numFmtId="0" fontId="1" fillId="3" borderId="10" xfId="0" applyFont="1" applyFill="1" applyBorder="1" applyAlignment="1">
      <alignment horizontal="center"/>
    </xf>
    <xf numFmtId="0" fontId="2" fillId="2" borderId="2" xfId="0" applyFont="1" applyFill="1" applyBorder="1"/>
    <xf numFmtId="0" fontId="0" fillId="0" borderId="6" xfId="0" applyBorder="1"/>
    <xf numFmtId="0" fontId="1" fillId="3" borderId="10" xfId="0" applyFont="1" applyFill="1" applyBorder="1"/>
    <xf numFmtId="166" fontId="0" fillId="4" borderId="1" xfId="0" applyNumberFormat="1" applyFill="1" applyBorder="1"/>
    <xf numFmtId="2" fontId="0" fillId="4" borderId="7" xfId="0" applyNumberFormat="1" applyFill="1" applyBorder="1"/>
    <xf numFmtId="0" fontId="7" fillId="3" borderId="10" xfId="0" applyFont="1" applyFill="1" applyBorder="1" applyAlignment="1">
      <alignment horizontal="center"/>
    </xf>
    <xf numFmtId="2" fontId="0" fillId="4" borderId="1" xfId="0" applyNumberFormat="1" applyFill="1" applyBorder="1"/>
    <xf numFmtId="168" fontId="0" fillId="4" borderId="1" xfId="0" applyNumberFormat="1" applyFill="1" applyBorder="1"/>
    <xf numFmtId="168" fontId="0" fillId="4" borderId="4" xfId="0" applyNumberFormat="1" applyFill="1" applyBorder="1"/>
    <xf numFmtId="0" fontId="1" fillId="3" borderId="4" xfId="0" applyFont="1" applyFill="1" applyBorder="1"/>
    <xf numFmtId="0" fontId="1" fillId="3" borderId="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3" borderId="20" xfId="0" applyFont="1" applyFill="1" applyBorder="1"/>
    <xf numFmtId="168" fontId="0" fillId="4" borderId="7" xfId="0" applyNumberFormat="1" applyFill="1" applyBorder="1"/>
    <xf numFmtId="0" fontId="1" fillId="3" borderId="25" xfId="0" applyFont="1" applyFill="1" applyBorder="1"/>
    <xf numFmtId="169" fontId="0" fillId="4" borderId="21" xfId="0" applyNumberFormat="1" applyFill="1" applyBorder="1"/>
    <xf numFmtId="0" fontId="0" fillId="4" borderId="22" xfId="0" applyFill="1" applyBorder="1"/>
    <xf numFmtId="0" fontId="0" fillId="4" borderId="23" xfId="0" applyFill="1" applyBorder="1"/>
    <xf numFmtId="164" fontId="0" fillId="4" borderId="24" xfId="0" applyNumberFormat="1" applyFill="1" applyBorder="1"/>
    <xf numFmtId="169" fontId="0" fillId="4" borderId="22" xfId="0" applyNumberFormat="1" applyFill="1" applyBorder="1"/>
    <xf numFmtId="170" fontId="0" fillId="0" borderId="6" xfId="0" applyNumberFormat="1" applyBorder="1"/>
    <xf numFmtId="164" fontId="0" fillId="4" borderId="1" xfId="0" applyNumberFormat="1" applyFill="1" applyBorder="1"/>
    <xf numFmtId="2" fontId="0" fillId="4" borderId="17" xfId="0" applyNumberFormat="1" applyFill="1" applyBorder="1"/>
    <xf numFmtId="2" fontId="0" fillId="4" borderId="4" xfId="0" applyNumberForma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left"/>
    </xf>
    <xf numFmtId="164" fontId="3" fillId="0" borderId="15" xfId="0" applyNumberFormat="1" applyFont="1" applyBorder="1" applyAlignment="1">
      <alignment horizontal="right" vertical="center" wrapText="1"/>
    </xf>
    <xf numFmtId="164" fontId="5" fillId="0" borderId="15" xfId="0" applyNumberFormat="1" applyFont="1" applyBorder="1" applyAlignment="1">
      <alignment horizontal="left" vertical="center" wrapText="1" indent="1"/>
    </xf>
    <xf numFmtId="164" fontId="0" fillId="0" borderId="13" xfId="0" applyNumberFormat="1" applyBorder="1"/>
    <xf numFmtId="0" fontId="11" fillId="3" borderId="1" xfId="0" applyFont="1" applyFill="1" applyBorder="1"/>
    <xf numFmtId="0" fontId="1" fillId="3" borderId="17" xfId="0" applyFont="1" applyFill="1" applyBorder="1"/>
    <xf numFmtId="0" fontId="1" fillId="3" borderId="17" xfId="0" applyFont="1" applyFill="1" applyBorder="1" applyAlignment="1"/>
    <xf numFmtId="0" fontId="1" fillId="3" borderId="17" xfId="0" applyFont="1" applyFill="1" applyBorder="1" applyAlignment="1">
      <alignment horizontal="left"/>
    </xf>
    <xf numFmtId="170" fontId="0" fillId="0" borderId="0" xfId="0" applyNumberFormat="1"/>
    <xf numFmtId="0" fontId="13" fillId="7" borderId="26" xfId="0" applyFont="1" applyFill="1" applyBorder="1"/>
    <xf numFmtId="0" fontId="13" fillId="0" borderId="27" xfId="0" applyFont="1" applyBorder="1"/>
    <xf numFmtId="0" fontId="13" fillId="0" borderId="0" xfId="0" applyFont="1"/>
    <xf numFmtId="0" fontId="13" fillId="0" borderId="28" xfId="0" applyFont="1" applyBorder="1"/>
    <xf numFmtId="0" fontId="11" fillId="3" borderId="1" xfId="0" applyFont="1" applyFill="1" applyBorder="1" applyAlignment="1">
      <alignment horizontal="center"/>
    </xf>
    <xf numFmtId="0" fontId="0" fillId="4" borderId="4" xfId="0" applyFill="1" applyBorder="1"/>
    <xf numFmtId="0" fontId="11" fillId="3" borderId="10" xfId="0" applyFont="1" applyFill="1" applyBorder="1" applyAlignment="1">
      <alignment horizontal="center"/>
    </xf>
    <xf numFmtId="0" fontId="1" fillId="3" borderId="8" xfId="0" applyFont="1" applyFill="1" applyBorder="1"/>
    <xf numFmtId="0" fontId="0" fillId="7" borderId="6" xfId="0" applyFill="1" applyBorder="1"/>
    <xf numFmtId="0" fontId="11" fillId="3" borderId="10" xfId="0" applyFont="1" applyFill="1" applyBorder="1"/>
    <xf numFmtId="2" fontId="0" fillId="0" borderId="6" xfId="0" applyNumberFormat="1" applyBorder="1"/>
    <xf numFmtId="2" fontId="0" fillId="7" borderId="6" xfId="0" applyNumberFormat="1" applyFill="1" applyBorder="1"/>
    <xf numFmtId="2" fontId="0" fillId="0" borderId="0" xfId="0" applyNumberFormat="1"/>
    <xf numFmtId="0" fontId="0" fillId="0" borderId="16" xfId="0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1FF50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15</xdr:row>
      <xdr:rowOff>66675</xdr:rowOff>
    </xdr:from>
    <xdr:to>
      <xdr:col>2</xdr:col>
      <xdr:colOff>295275</xdr:colOff>
      <xdr:row>16</xdr:row>
      <xdr:rowOff>171450</xdr:rowOff>
    </xdr:to>
    <xdr:sp macro="[0]!Go" textlink="">
      <xdr:nvSpPr>
        <xdr:cNvPr id="2" name="Retângulo com Canto Diagonal Aparado 1"/>
        <xdr:cNvSpPr/>
      </xdr:nvSpPr>
      <xdr:spPr>
        <a:xfrm flipH="1">
          <a:off x="1600200" y="3248025"/>
          <a:ext cx="1343025" cy="561975"/>
        </a:xfrm>
        <a:custGeom>
          <a:avLst/>
          <a:gdLst>
            <a:gd name="connsiteX0" fmla="*/ 0 w 1333500"/>
            <a:gd name="connsiteY0" fmla="*/ 0 h 552450"/>
            <a:gd name="connsiteX1" fmla="*/ 1241423 w 1333500"/>
            <a:gd name="connsiteY1" fmla="*/ 0 h 552450"/>
            <a:gd name="connsiteX2" fmla="*/ 1333500 w 1333500"/>
            <a:gd name="connsiteY2" fmla="*/ 92077 h 552450"/>
            <a:gd name="connsiteX3" fmla="*/ 1333500 w 1333500"/>
            <a:gd name="connsiteY3" fmla="*/ 552450 h 552450"/>
            <a:gd name="connsiteX4" fmla="*/ 1333500 w 1333500"/>
            <a:gd name="connsiteY4" fmla="*/ 552450 h 552450"/>
            <a:gd name="connsiteX5" fmla="*/ 92077 w 1333500"/>
            <a:gd name="connsiteY5" fmla="*/ 552450 h 552450"/>
            <a:gd name="connsiteX6" fmla="*/ 0 w 1333500"/>
            <a:gd name="connsiteY6" fmla="*/ 460373 h 552450"/>
            <a:gd name="connsiteX7" fmla="*/ 0 w 1333500"/>
            <a:gd name="connsiteY7" fmla="*/ 0 h 552450"/>
            <a:gd name="connsiteX0" fmla="*/ 0 w 1333500"/>
            <a:gd name="connsiteY0" fmla="*/ 0 h 552450"/>
            <a:gd name="connsiteX1" fmla="*/ 1241423 w 1333500"/>
            <a:gd name="connsiteY1" fmla="*/ 0 h 552450"/>
            <a:gd name="connsiteX2" fmla="*/ 1333500 w 1333500"/>
            <a:gd name="connsiteY2" fmla="*/ 92077 h 552450"/>
            <a:gd name="connsiteX3" fmla="*/ 1333500 w 1333500"/>
            <a:gd name="connsiteY3" fmla="*/ 552450 h 552450"/>
            <a:gd name="connsiteX4" fmla="*/ 1333500 w 1333500"/>
            <a:gd name="connsiteY4" fmla="*/ 552450 h 552450"/>
            <a:gd name="connsiteX5" fmla="*/ 92077 w 1333500"/>
            <a:gd name="connsiteY5" fmla="*/ 552450 h 552450"/>
            <a:gd name="connsiteX6" fmla="*/ 0 w 1333500"/>
            <a:gd name="connsiteY6" fmla="*/ 336548 h 552450"/>
            <a:gd name="connsiteX7" fmla="*/ 0 w 1333500"/>
            <a:gd name="connsiteY7" fmla="*/ 0 h 552450"/>
            <a:gd name="connsiteX0" fmla="*/ 0 w 1333500"/>
            <a:gd name="connsiteY0" fmla="*/ 0 h 561975"/>
            <a:gd name="connsiteX1" fmla="*/ 124142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06377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24142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06997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069973 w 1333500"/>
            <a:gd name="connsiteY1" fmla="*/ 0 h 561975"/>
            <a:gd name="connsiteX2" fmla="*/ 1333500 w 1333500"/>
            <a:gd name="connsiteY2" fmla="*/ 234952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43025"/>
            <a:gd name="connsiteY0" fmla="*/ 0 h 561975"/>
            <a:gd name="connsiteX1" fmla="*/ 1069973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155698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244477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206377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33500"/>
            <a:gd name="connsiteY0" fmla="*/ 0 h 561975"/>
            <a:gd name="connsiteX1" fmla="*/ 1060448 w 1333500"/>
            <a:gd name="connsiteY1" fmla="*/ 0 h 561975"/>
            <a:gd name="connsiteX2" fmla="*/ 1323975 w 1333500"/>
            <a:gd name="connsiteY2" fmla="*/ 2063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19685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89023 w 1343025"/>
            <a:gd name="connsiteY1" fmla="*/ 0 h 561975"/>
            <a:gd name="connsiteX2" fmla="*/ 1343025 w 1343025"/>
            <a:gd name="connsiteY2" fmla="*/ 19685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343025" h="561975">
              <a:moveTo>
                <a:pt x="0" y="0"/>
              </a:moveTo>
              <a:lnTo>
                <a:pt x="1089023" y="0"/>
              </a:lnTo>
              <a:lnTo>
                <a:pt x="1343025" y="196852"/>
              </a:lnTo>
              <a:lnTo>
                <a:pt x="1333500" y="552450"/>
              </a:lnTo>
              <a:lnTo>
                <a:pt x="1333500" y="552450"/>
              </a:lnTo>
              <a:lnTo>
                <a:pt x="254002" y="561975"/>
              </a:lnTo>
              <a:lnTo>
                <a:pt x="0" y="336548"/>
              </a:lnTo>
              <a:lnTo>
                <a:pt x="0" y="0"/>
              </a:lnTo>
              <a:close/>
            </a:path>
          </a:pathLst>
        </a:custGeom>
        <a:solidFill>
          <a:srgbClr val="FF0000">
            <a:alpha val="60000"/>
          </a:srgbClr>
        </a:solidFill>
        <a:ln>
          <a:solidFill>
            <a:schemeClr val="accent5">
              <a:lumMod val="75000"/>
              <a:alpha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5">
                  <a:lumMod val="50000"/>
                </a:schemeClr>
              </a:solidFill>
              <a:latin typeface="Bahnschrift" panose="020B0502040204020203" pitchFamily="34" charset="0"/>
            </a:rPr>
            <a:t>Iniciar</a:t>
          </a:r>
          <a:endParaRPr lang="pt-BR" sz="1100" b="1">
            <a:solidFill>
              <a:schemeClr val="accent5">
                <a:lumMod val="50000"/>
              </a:schemeClr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647700</xdr:colOff>
      <xdr:row>15</xdr:row>
      <xdr:rowOff>66675</xdr:rowOff>
    </xdr:from>
    <xdr:to>
      <xdr:col>3</xdr:col>
      <xdr:colOff>742950</xdr:colOff>
      <xdr:row>16</xdr:row>
      <xdr:rowOff>171450</xdr:rowOff>
    </xdr:to>
    <xdr:sp macro="[0]!Limpar" textlink="">
      <xdr:nvSpPr>
        <xdr:cNvPr id="3" name="Retângulo com Canto Diagonal Aparado 1"/>
        <xdr:cNvSpPr/>
      </xdr:nvSpPr>
      <xdr:spPr>
        <a:xfrm flipH="1">
          <a:off x="3295650" y="3248025"/>
          <a:ext cx="1343025" cy="561975"/>
        </a:xfrm>
        <a:custGeom>
          <a:avLst/>
          <a:gdLst>
            <a:gd name="connsiteX0" fmla="*/ 0 w 1333500"/>
            <a:gd name="connsiteY0" fmla="*/ 0 h 552450"/>
            <a:gd name="connsiteX1" fmla="*/ 1241423 w 1333500"/>
            <a:gd name="connsiteY1" fmla="*/ 0 h 552450"/>
            <a:gd name="connsiteX2" fmla="*/ 1333500 w 1333500"/>
            <a:gd name="connsiteY2" fmla="*/ 92077 h 552450"/>
            <a:gd name="connsiteX3" fmla="*/ 1333500 w 1333500"/>
            <a:gd name="connsiteY3" fmla="*/ 552450 h 552450"/>
            <a:gd name="connsiteX4" fmla="*/ 1333500 w 1333500"/>
            <a:gd name="connsiteY4" fmla="*/ 552450 h 552450"/>
            <a:gd name="connsiteX5" fmla="*/ 92077 w 1333500"/>
            <a:gd name="connsiteY5" fmla="*/ 552450 h 552450"/>
            <a:gd name="connsiteX6" fmla="*/ 0 w 1333500"/>
            <a:gd name="connsiteY6" fmla="*/ 460373 h 552450"/>
            <a:gd name="connsiteX7" fmla="*/ 0 w 1333500"/>
            <a:gd name="connsiteY7" fmla="*/ 0 h 552450"/>
            <a:gd name="connsiteX0" fmla="*/ 0 w 1333500"/>
            <a:gd name="connsiteY0" fmla="*/ 0 h 552450"/>
            <a:gd name="connsiteX1" fmla="*/ 1241423 w 1333500"/>
            <a:gd name="connsiteY1" fmla="*/ 0 h 552450"/>
            <a:gd name="connsiteX2" fmla="*/ 1333500 w 1333500"/>
            <a:gd name="connsiteY2" fmla="*/ 92077 h 552450"/>
            <a:gd name="connsiteX3" fmla="*/ 1333500 w 1333500"/>
            <a:gd name="connsiteY3" fmla="*/ 552450 h 552450"/>
            <a:gd name="connsiteX4" fmla="*/ 1333500 w 1333500"/>
            <a:gd name="connsiteY4" fmla="*/ 552450 h 552450"/>
            <a:gd name="connsiteX5" fmla="*/ 92077 w 1333500"/>
            <a:gd name="connsiteY5" fmla="*/ 552450 h 552450"/>
            <a:gd name="connsiteX6" fmla="*/ 0 w 1333500"/>
            <a:gd name="connsiteY6" fmla="*/ 336548 h 552450"/>
            <a:gd name="connsiteX7" fmla="*/ 0 w 1333500"/>
            <a:gd name="connsiteY7" fmla="*/ 0 h 552450"/>
            <a:gd name="connsiteX0" fmla="*/ 0 w 1333500"/>
            <a:gd name="connsiteY0" fmla="*/ 0 h 561975"/>
            <a:gd name="connsiteX1" fmla="*/ 124142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06377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24142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06997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069973 w 1333500"/>
            <a:gd name="connsiteY1" fmla="*/ 0 h 561975"/>
            <a:gd name="connsiteX2" fmla="*/ 1333500 w 1333500"/>
            <a:gd name="connsiteY2" fmla="*/ 234952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43025"/>
            <a:gd name="connsiteY0" fmla="*/ 0 h 561975"/>
            <a:gd name="connsiteX1" fmla="*/ 1069973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155698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244477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206377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33500"/>
            <a:gd name="connsiteY0" fmla="*/ 0 h 561975"/>
            <a:gd name="connsiteX1" fmla="*/ 1060448 w 1333500"/>
            <a:gd name="connsiteY1" fmla="*/ 0 h 561975"/>
            <a:gd name="connsiteX2" fmla="*/ 1323975 w 1333500"/>
            <a:gd name="connsiteY2" fmla="*/ 2063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19685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89023 w 1343025"/>
            <a:gd name="connsiteY1" fmla="*/ 0 h 561975"/>
            <a:gd name="connsiteX2" fmla="*/ 1343025 w 1343025"/>
            <a:gd name="connsiteY2" fmla="*/ 19685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343025" h="561975">
              <a:moveTo>
                <a:pt x="0" y="0"/>
              </a:moveTo>
              <a:lnTo>
                <a:pt x="1089023" y="0"/>
              </a:lnTo>
              <a:lnTo>
                <a:pt x="1343025" y="196852"/>
              </a:lnTo>
              <a:lnTo>
                <a:pt x="1333500" y="552450"/>
              </a:lnTo>
              <a:lnTo>
                <a:pt x="1333500" y="552450"/>
              </a:lnTo>
              <a:lnTo>
                <a:pt x="254002" y="561975"/>
              </a:lnTo>
              <a:lnTo>
                <a:pt x="0" y="336548"/>
              </a:lnTo>
              <a:lnTo>
                <a:pt x="0" y="0"/>
              </a:lnTo>
              <a:close/>
            </a:path>
          </a:pathLst>
        </a:custGeom>
        <a:solidFill>
          <a:schemeClr val="accent5">
            <a:lumMod val="50000"/>
            <a:alpha val="70000"/>
          </a:schemeClr>
        </a:solidFill>
        <a:ln>
          <a:solidFill>
            <a:srgbClr val="FD5A4D">
              <a:alpha val="85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  <a:latin typeface="Bahnschrift" panose="020B0502040204020203" pitchFamily="34" charset="0"/>
            </a:rPr>
            <a:t>Limpar</a:t>
          </a:r>
          <a:endParaRPr lang="pt-BR" sz="1100" b="1">
            <a:solidFill>
              <a:srgbClr val="FF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1133475</xdr:colOff>
      <xdr:row>15</xdr:row>
      <xdr:rowOff>85725</xdr:rowOff>
    </xdr:from>
    <xdr:to>
      <xdr:col>4</xdr:col>
      <xdr:colOff>1152525</xdr:colOff>
      <xdr:row>16</xdr:row>
      <xdr:rowOff>190500</xdr:rowOff>
    </xdr:to>
    <xdr:sp macro="[0]!Zerar" textlink="">
      <xdr:nvSpPr>
        <xdr:cNvPr id="5" name="Retângulo com Canto Diagonal Aparado 1"/>
        <xdr:cNvSpPr/>
      </xdr:nvSpPr>
      <xdr:spPr>
        <a:xfrm flipH="1">
          <a:off x="4867275" y="3267075"/>
          <a:ext cx="1343025" cy="561975"/>
        </a:xfrm>
        <a:custGeom>
          <a:avLst/>
          <a:gdLst>
            <a:gd name="connsiteX0" fmla="*/ 0 w 1333500"/>
            <a:gd name="connsiteY0" fmla="*/ 0 h 552450"/>
            <a:gd name="connsiteX1" fmla="*/ 1241423 w 1333500"/>
            <a:gd name="connsiteY1" fmla="*/ 0 h 552450"/>
            <a:gd name="connsiteX2" fmla="*/ 1333500 w 1333500"/>
            <a:gd name="connsiteY2" fmla="*/ 92077 h 552450"/>
            <a:gd name="connsiteX3" fmla="*/ 1333500 w 1333500"/>
            <a:gd name="connsiteY3" fmla="*/ 552450 h 552450"/>
            <a:gd name="connsiteX4" fmla="*/ 1333500 w 1333500"/>
            <a:gd name="connsiteY4" fmla="*/ 552450 h 552450"/>
            <a:gd name="connsiteX5" fmla="*/ 92077 w 1333500"/>
            <a:gd name="connsiteY5" fmla="*/ 552450 h 552450"/>
            <a:gd name="connsiteX6" fmla="*/ 0 w 1333500"/>
            <a:gd name="connsiteY6" fmla="*/ 460373 h 552450"/>
            <a:gd name="connsiteX7" fmla="*/ 0 w 1333500"/>
            <a:gd name="connsiteY7" fmla="*/ 0 h 552450"/>
            <a:gd name="connsiteX0" fmla="*/ 0 w 1333500"/>
            <a:gd name="connsiteY0" fmla="*/ 0 h 552450"/>
            <a:gd name="connsiteX1" fmla="*/ 1241423 w 1333500"/>
            <a:gd name="connsiteY1" fmla="*/ 0 h 552450"/>
            <a:gd name="connsiteX2" fmla="*/ 1333500 w 1333500"/>
            <a:gd name="connsiteY2" fmla="*/ 92077 h 552450"/>
            <a:gd name="connsiteX3" fmla="*/ 1333500 w 1333500"/>
            <a:gd name="connsiteY3" fmla="*/ 552450 h 552450"/>
            <a:gd name="connsiteX4" fmla="*/ 1333500 w 1333500"/>
            <a:gd name="connsiteY4" fmla="*/ 552450 h 552450"/>
            <a:gd name="connsiteX5" fmla="*/ 92077 w 1333500"/>
            <a:gd name="connsiteY5" fmla="*/ 552450 h 552450"/>
            <a:gd name="connsiteX6" fmla="*/ 0 w 1333500"/>
            <a:gd name="connsiteY6" fmla="*/ 336548 h 552450"/>
            <a:gd name="connsiteX7" fmla="*/ 0 w 1333500"/>
            <a:gd name="connsiteY7" fmla="*/ 0 h 552450"/>
            <a:gd name="connsiteX0" fmla="*/ 0 w 1333500"/>
            <a:gd name="connsiteY0" fmla="*/ 0 h 561975"/>
            <a:gd name="connsiteX1" fmla="*/ 124142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06377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24142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06997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069973 w 1333500"/>
            <a:gd name="connsiteY1" fmla="*/ 0 h 561975"/>
            <a:gd name="connsiteX2" fmla="*/ 1333500 w 1333500"/>
            <a:gd name="connsiteY2" fmla="*/ 234952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43025"/>
            <a:gd name="connsiteY0" fmla="*/ 0 h 561975"/>
            <a:gd name="connsiteX1" fmla="*/ 1069973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155698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244477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206377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33500"/>
            <a:gd name="connsiteY0" fmla="*/ 0 h 561975"/>
            <a:gd name="connsiteX1" fmla="*/ 1060448 w 1333500"/>
            <a:gd name="connsiteY1" fmla="*/ 0 h 561975"/>
            <a:gd name="connsiteX2" fmla="*/ 1323975 w 1333500"/>
            <a:gd name="connsiteY2" fmla="*/ 2063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19685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89023 w 1343025"/>
            <a:gd name="connsiteY1" fmla="*/ 0 h 561975"/>
            <a:gd name="connsiteX2" fmla="*/ 1343025 w 1343025"/>
            <a:gd name="connsiteY2" fmla="*/ 19685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343025" h="561975">
              <a:moveTo>
                <a:pt x="0" y="0"/>
              </a:moveTo>
              <a:lnTo>
                <a:pt x="1089023" y="0"/>
              </a:lnTo>
              <a:lnTo>
                <a:pt x="1343025" y="196852"/>
              </a:lnTo>
              <a:lnTo>
                <a:pt x="1333500" y="552450"/>
              </a:lnTo>
              <a:lnTo>
                <a:pt x="1333500" y="552450"/>
              </a:lnTo>
              <a:lnTo>
                <a:pt x="254002" y="561975"/>
              </a:lnTo>
              <a:lnTo>
                <a:pt x="0" y="336548"/>
              </a:lnTo>
              <a:lnTo>
                <a:pt x="0" y="0"/>
              </a:lnTo>
              <a:close/>
            </a:path>
          </a:pathLst>
        </a:custGeom>
        <a:solidFill>
          <a:srgbClr val="FF0000">
            <a:alpha val="60000"/>
          </a:srgbClr>
        </a:solidFill>
        <a:ln>
          <a:solidFill>
            <a:schemeClr val="accent5">
              <a:lumMod val="75000"/>
              <a:alpha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5">
                  <a:lumMod val="50000"/>
                </a:schemeClr>
              </a:solidFill>
              <a:latin typeface="Bahnschrift" panose="020B0502040204020203" pitchFamily="34" charset="0"/>
            </a:rPr>
            <a:t>Zerar</a:t>
          </a:r>
          <a:endParaRPr lang="pt-BR" sz="1100" b="1">
            <a:solidFill>
              <a:schemeClr val="accent5">
                <a:lumMod val="50000"/>
              </a:schemeClr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5</xdr:col>
      <xdr:colOff>161925</xdr:colOff>
      <xdr:row>15</xdr:row>
      <xdr:rowOff>66675</xdr:rowOff>
    </xdr:from>
    <xdr:to>
      <xdr:col>6</xdr:col>
      <xdr:colOff>123825</xdr:colOff>
      <xdr:row>16</xdr:row>
      <xdr:rowOff>171450</xdr:rowOff>
    </xdr:to>
    <xdr:sp macro="[0]!Caldeira" textlink="">
      <xdr:nvSpPr>
        <xdr:cNvPr id="6" name="Retângulo com Canto Diagonal Aparado 1"/>
        <xdr:cNvSpPr/>
      </xdr:nvSpPr>
      <xdr:spPr>
        <a:xfrm flipH="1">
          <a:off x="6762750" y="3248025"/>
          <a:ext cx="1343025" cy="561975"/>
        </a:xfrm>
        <a:custGeom>
          <a:avLst/>
          <a:gdLst>
            <a:gd name="connsiteX0" fmla="*/ 0 w 1333500"/>
            <a:gd name="connsiteY0" fmla="*/ 0 h 552450"/>
            <a:gd name="connsiteX1" fmla="*/ 1241423 w 1333500"/>
            <a:gd name="connsiteY1" fmla="*/ 0 h 552450"/>
            <a:gd name="connsiteX2" fmla="*/ 1333500 w 1333500"/>
            <a:gd name="connsiteY2" fmla="*/ 92077 h 552450"/>
            <a:gd name="connsiteX3" fmla="*/ 1333500 w 1333500"/>
            <a:gd name="connsiteY3" fmla="*/ 552450 h 552450"/>
            <a:gd name="connsiteX4" fmla="*/ 1333500 w 1333500"/>
            <a:gd name="connsiteY4" fmla="*/ 552450 h 552450"/>
            <a:gd name="connsiteX5" fmla="*/ 92077 w 1333500"/>
            <a:gd name="connsiteY5" fmla="*/ 552450 h 552450"/>
            <a:gd name="connsiteX6" fmla="*/ 0 w 1333500"/>
            <a:gd name="connsiteY6" fmla="*/ 460373 h 552450"/>
            <a:gd name="connsiteX7" fmla="*/ 0 w 1333500"/>
            <a:gd name="connsiteY7" fmla="*/ 0 h 552450"/>
            <a:gd name="connsiteX0" fmla="*/ 0 w 1333500"/>
            <a:gd name="connsiteY0" fmla="*/ 0 h 552450"/>
            <a:gd name="connsiteX1" fmla="*/ 1241423 w 1333500"/>
            <a:gd name="connsiteY1" fmla="*/ 0 h 552450"/>
            <a:gd name="connsiteX2" fmla="*/ 1333500 w 1333500"/>
            <a:gd name="connsiteY2" fmla="*/ 92077 h 552450"/>
            <a:gd name="connsiteX3" fmla="*/ 1333500 w 1333500"/>
            <a:gd name="connsiteY3" fmla="*/ 552450 h 552450"/>
            <a:gd name="connsiteX4" fmla="*/ 1333500 w 1333500"/>
            <a:gd name="connsiteY4" fmla="*/ 552450 h 552450"/>
            <a:gd name="connsiteX5" fmla="*/ 92077 w 1333500"/>
            <a:gd name="connsiteY5" fmla="*/ 552450 h 552450"/>
            <a:gd name="connsiteX6" fmla="*/ 0 w 1333500"/>
            <a:gd name="connsiteY6" fmla="*/ 336548 h 552450"/>
            <a:gd name="connsiteX7" fmla="*/ 0 w 1333500"/>
            <a:gd name="connsiteY7" fmla="*/ 0 h 552450"/>
            <a:gd name="connsiteX0" fmla="*/ 0 w 1333500"/>
            <a:gd name="connsiteY0" fmla="*/ 0 h 561975"/>
            <a:gd name="connsiteX1" fmla="*/ 124142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06377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24142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069973 w 1333500"/>
            <a:gd name="connsiteY1" fmla="*/ 0 h 561975"/>
            <a:gd name="connsiteX2" fmla="*/ 1333500 w 1333500"/>
            <a:gd name="connsiteY2" fmla="*/ 920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33500"/>
            <a:gd name="connsiteY0" fmla="*/ 0 h 561975"/>
            <a:gd name="connsiteX1" fmla="*/ 1069973 w 1333500"/>
            <a:gd name="connsiteY1" fmla="*/ 0 h 561975"/>
            <a:gd name="connsiteX2" fmla="*/ 1333500 w 1333500"/>
            <a:gd name="connsiteY2" fmla="*/ 234952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43025"/>
            <a:gd name="connsiteY0" fmla="*/ 0 h 561975"/>
            <a:gd name="connsiteX1" fmla="*/ 1069973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155698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17780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244477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206377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33500"/>
            <a:gd name="connsiteY0" fmla="*/ 0 h 561975"/>
            <a:gd name="connsiteX1" fmla="*/ 1060448 w 1333500"/>
            <a:gd name="connsiteY1" fmla="*/ 0 h 561975"/>
            <a:gd name="connsiteX2" fmla="*/ 1323975 w 1333500"/>
            <a:gd name="connsiteY2" fmla="*/ 206377 h 561975"/>
            <a:gd name="connsiteX3" fmla="*/ 1333500 w 1333500"/>
            <a:gd name="connsiteY3" fmla="*/ 552450 h 561975"/>
            <a:gd name="connsiteX4" fmla="*/ 1333500 w 1333500"/>
            <a:gd name="connsiteY4" fmla="*/ 552450 h 561975"/>
            <a:gd name="connsiteX5" fmla="*/ 254002 w 1333500"/>
            <a:gd name="connsiteY5" fmla="*/ 561975 h 561975"/>
            <a:gd name="connsiteX6" fmla="*/ 0 w 1333500"/>
            <a:gd name="connsiteY6" fmla="*/ 336548 h 561975"/>
            <a:gd name="connsiteX7" fmla="*/ 0 w 1333500"/>
            <a:gd name="connsiteY7" fmla="*/ 0 h 561975"/>
            <a:gd name="connsiteX0" fmla="*/ 0 w 1343025"/>
            <a:gd name="connsiteY0" fmla="*/ 0 h 561975"/>
            <a:gd name="connsiteX1" fmla="*/ 1060448 w 1343025"/>
            <a:gd name="connsiteY1" fmla="*/ 0 h 561975"/>
            <a:gd name="connsiteX2" fmla="*/ 1343025 w 1343025"/>
            <a:gd name="connsiteY2" fmla="*/ 19685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  <a:gd name="connsiteX0" fmla="*/ 0 w 1343025"/>
            <a:gd name="connsiteY0" fmla="*/ 0 h 561975"/>
            <a:gd name="connsiteX1" fmla="*/ 1089023 w 1343025"/>
            <a:gd name="connsiteY1" fmla="*/ 0 h 561975"/>
            <a:gd name="connsiteX2" fmla="*/ 1343025 w 1343025"/>
            <a:gd name="connsiteY2" fmla="*/ 196852 h 561975"/>
            <a:gd name="connsiteX3" fmla="*/ 1333500 w 1343025"/>
            <a:gd name="connsiteY3" fmla="*/ 552450 h 561975"/>
            <a:gd name="connsiteX4" fmla="*/ 1333500 w 1343025"/>
            <a:gd name="connsiteY4" fmla="*/ 552450 h 561975"/>
            <a:gd name="connsiteX5" fmla="*/ 254002 w 1343025"/>
            <a:gd name="connsiteY5" fmla="*/ 561975 h 561975"/>
            <a:gd name="connsiteX6" fmla="*/ 0 w 1343025"/>
            <a:gd name="connsiteY6" fmla="*/ 336548 h 561975"/>
            <a:gd name="connsiteX7" fmla="*/ 0 w 1343025"/>
            <a:gd name="connsiteY7" fmla="*/ 0 h 561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343025" h="561975">
              <a:moveTo>
                <a:pt x="0" y="0"/>
              </a:moveTo>
              <a:lnTo>
                <a:pt x="1089023" y="0"/>
              </a:lnTo>
              <a:lnTo>
                <a:pt x="1343025" y="196852"/>
              </a:lnTo>
              <a:lnTo>
                <a:pt x="1333500" y="552450"/>
              </a:lnTo>
              <a:lnTo>
                <a:pt x="1333500" y="552450"/>
              </a:lnTo>
              <a:lnTo>
                <a:pt x="254002" y="561975"/>
              </a:lnTo>
              <a:lnTo>
                <a:pt x="0" y="336548"/>
              </a:lnTo>
              <a:lnTo>
                <a:pt x="0" y="0"/>
              </a:lnTo>
              <a:close/>
            </a:path>
          </a:pathLst>
        </a:custGeom>
        <a:solidFill>
          <a:schemeClr val="accent5">
            <a:lumMod val="50000"/>
            <a:alpha val="70000"/>
          </a:schemeClr>
        </a:solidFill>
        <a:ln>
          <a:solidFill>
            <a:srgbClr val="FD5A4D">
              <a:alpha val="85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FF0000"/>
              </a:solidFill>
              <a:latin typeface="Bahnschrift" panose="020B0502040204020203" pitchFamily="34" charset="0"/>
            </a:rPr>
            <a:t>Equipamentos</a:t>
          </a:r>
          <a:endParaRPr lang="pt-BR" sz="1100" b="1">
            <a:solidFill>
              <a:srgbClr val="FF0000"/>
            </a:solidFill>
            <a:latin typeface="Bahnschrift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0</xdr:row>
      <xdr:rowOff>114300</xdr:rowOff>
    </xdr:from>
    <xdr:to>
      <xdr:col>2</xdr:col>
      <xdr:colOff>1266825</xdr:colOff>
      <xdr:row>1</xdr:row>
      <xdr:rowOff>114300</xdr:rowOff>
    </xdr:to>
    <xdr:sp macro="[0]!_xludf.Copy" textlink="">
      <xdr:nvSpPr>
        <xdr:cNvPr id="2" name="Retângulo 1"/>
        <xdr:cNvSpPr/>
      </xdr:nvSpPr>
      <xdr:spPr>
        <a:xfrm>
          <a:off x="2228850" y="114300"/>
          <a:ext cx="752475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485775</xdr:colOff>
      <xdr:row>30</xdr:row>
      <xdr:rowOff>114300</xdr:rowOff>
    </xdr:from>
    <xdr:to>
      <xdr:col>2</xdr:col>
      <xdr:colOff>1238250</xdr:colOff>
      <xdr:row>31</xdr:row>
      <xdr:rowOff>114300</xdr:rowOff>
    </xdr:to>
    <xdr:sp macro="[0]!Copy2" textlink="">
      <xdr:nvSpPr>
        <xdr:cNvPr id="3" name="Retângulo 2"/>
        <xdr:cNvSpPr/>
      </xdr:nvSpPr>
      <xdr:spPr>
        <a:xfrm>
          <a:off x="2200275" y="5848350"/>
          <a:ext cx="752475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34"/>
  <sheetViews>
    <sheetView tabSelected="1" workbookViewId="0">
      <selection activeCell="H17" sqref="H17"/>
    </sheetView>
  </sheetViews>
  <sheetFormatPr defaultRowHeight="15" x14ac:dyDescent="0.25"/>
  <cols>
    <col min="1" max="1" width="20.7109375" bestFit="1" customWidth="1"/>
    <col min="2" max="2" width="19" customWidth="1"/>
    <col min="3" max="3" width="18.7109375" customWidth="1"/>
    <col min="4" max="4" width="19.85546875" bestFit="1" customWidth="1"/>
    <col min="5" max="6" width="20.7109375" bestFit="1" customWidth="1"/>
    <col min="7" max="7" width="22.42578125" bestFit="1" customWidth="1"/>
    <col min="8" max="8" width="23.28515625" bestFit="1" customWidth="1"/>
    <col min="9" max="9" width="22" bestFit="1" customWidth="1"/>
    <col min="10" max="10" width="20.140625" bestFit="1" customWidth="1"/>
    <col min="11" max="11" width="19.28515625" bestFit="1" customWidth="1"/>
    <col min="12" max="13" width="22.42578125" bestFit="1" customWidth="1"/>
    <col min="14" max="15" width="20.85546875" customWidth="1"/>
    <col min="16" max="16" width="18.140625" bestFit="1" customWidth="1"/>
  </cols>
  <sheetData>
    <row r="1" spans="1:19" ht="18.75" x14ac:dyDescent="0.3">
      <c r="A1" s="1" t="s">
        <v>0</v>
      </c>
    </row>
    <row r="2" spans="1:19" ht="15.75" thickBot="1" x14ac:dyDescent="0.3">
      <c r="A2" s="31" t="s">
        <v>23</v>
      </c>
      <c r="B2" s="3" t="s">
        <v>24</v>
      </c>
      <c r="C2" s="31" t="s">
        <v>58</v>
      </c>
      <c r="D2" s="31" t="s">
        <v>116</v>
      </c>
      <c r="E2" s="2" t="s">
        <v>59</v>
      </c>
      <c r="F2" s="37" t="s">
        <v>60</v>
      </c>
      <c r="G2" s="37" t="s">
        <v>62</v>
      </c>
      <c r="H2" s="31" t="s">
        <v>63</v>
      </c>
    </row>
    <row r="3" spans="1:19" ht="15.75" thickBot="1" x14ac:dyDescent="0.3">
      <c r="A3" s="33">
        <v>40000</v>
      </c>
      <c r="B3" s="30">
        <v>102.03</v>
      </c>
      <c r="C3" s="38">
        <v>101</v>
      </c>
      <c r="D3" s="54">
        <v>40.16778</v>
      </c>
      <c r="E3" s="39">
        <v>0.19933400000000001</v>
      </c>
      <c r="F3" s="56">
        <v>515.29999999999995</v>
      </c>
      <c r="G3" s="33">
        <v>510</v>
      </c>
      <c r="H3" s="33">
        <v>2.4690321894606679</v>
      </c>
    </row>
    <row r="4" spans="1:19" ht="18.75" x14ac:dyDescent="0.3">
      <c r="A4" s="32" t="s">
        <v>1</v>
      </c>
    </row>
    <row r="5" spans="1:19" ht="15.75" thickBot="1" x14ac:dyDescent="0.3">
      <c r="A5" s="34" t="s">
        <v>2</v>
      </c>
      <c r="B5" s="3" t="s">
        <v>3</v>
      </c>
      <c r="C5" s="3" t="s">
        <v>4</v>
      </c>
      <c r="D5" s="3" t="s">
        <v>5</v>
      </c>
      <c r="E5" s="3" t="s">
        <v>6</v>
      </c>
      <c r="F5" s="3" t="s">
        <v>7</v>
      </c>
      <c r="G5" s="3" t="s">
        <v>8</v>
      </c>
      <c r="H5" s="3" t="s">
        <v>9</v>
      </c>
      <c r="I5" s="34" t="s">
        <v>56</v>
      </c>
    </row>
    <row r="6" spans="1:19" ht="15.75" thickBot="1" x14ac:dyDescent="0.3">
      <c r="A6" s="33">
        <v>625</v>
      </c>
      <c r="B6" s="36">
        <v>25</v>
      </c>
      <c r="C6" s="5">
        <v>3.3360000000000001E-2</v>
      </c>
      <c r="D6" s="38">
        <v>413.6</v>
      </c>
      <c r="E6" s="35">
        <v>1.7250000000000001</v>
      </c>
      <c r="F6" s="39">
        <v>0.99880000000000002</v>
      </c>
      <c r="G6" s="5">
        <v>1.2159</v>
      </c>
      <c r="H6" s="56">
        <v>145.80000000000001</v>
      </c>
      <c r="I6" s="33">
        <v>2.12</v>
      </c>
    </row>
    <row r="7" spans="1:19" ht="18.75" x14ac:dyDescent="0.3">
      <c r="A7" s="32" t="s">
        <v>10</v>
      </c>
    </row>
    <row r="8" spans="1:19" ht="15.75" thickBot="1" x14ac:dyDescent="0.3">
      <c r="A8" s="34" t="s">
        <v>2</v>
      </c>
      <c r="B8" s="3" t="s">
        <v>3</v>
      </c>
      <c r="C8" s="3" t="s">
        <v>4</v>
      </c>
      <c r="D8" s="3" t="s">
        <v>5</v>
      </c>
      <c r="E8" s="3" t="s">
        <v>6</v>
      </c>
      <c r="F8" s="3" t="s">
        <v>7</v>
      </c>
      <c r="G8" s="3" t="s">
        <v>8</v>
      </c>
      <c r="H8" s="3" t="s">
        <v>9</v>
      </c>
    </row>
    <row r="9" spans="1:19" ht="15.75" thickBot="1" x14ac:dyDescent="0.3">
      <c r="A9" s="33">
        <v>1543.1451184129176</v>
      </c>
      <c r="B9" s="36">
        <v>61.389113659397218</v>
      </c>
      <c r="C9" s="39">
        <v>1.3235172485273554E-2</v>
      </c>
      <c r="D9" s="38">
        <v>432.41038167013397</v>
      </c>
      <c r="E9" s="35">
        <f>IF($E$6="","",$E$6)</f>
        <v>1.7250000000000001</v>
      </c>
      <c r="F9" s="39">
        <v>1.2467944391675922</v>
      </c>
      <c r="G9" s="35">
        <v>1.3481554703255081</v>
      </c>
      <c r="H9" s="38">
        <v>137.69084011914168</v>
      </c>
    </row>
    <row r="10" spans="1:19" ht="19.5" thickBot="1" x14ac:dyDescent="0.35">
      <c r="A10" s="32" t="s">
        <v>11</v>
      </c>
      <c r="G10" s="84" t="s">
        <v>61</v>
      </c>
      <c r="H10" s="84"/>
      <c r="I10" s="84"/>
      <c r="J10" s="84"/>
      <c r="K10" s="84"/>
      <c r="L10" s="84"/>
      <c r="M10" s="84"/>
    </row>
    <row r="11" spans="1:19" ht="15.75" thickBot="1" x14ac:dyDescent="0.3">
      <c r="A11" s="3" t="s">
        <v>2</v>
      </c>
      <c r="B11" s="3" t="s">
        <v>3</v>
      </c>
      <c r="C11" s="3" t="s">
        <v>4</v>
      </c>
      <c r="D11" s="31" t="s">
        <v>12</v>
      </c>
      <c r="E11" s="3" t="s">
        <v>13</v>
      </c>
      <c r="F11" s="41" t="s">
        <v>14</v>
      </c>
      <c r="G11" s="43" t="s">
        <v>15</v>
      </c>
      <c r="H11" s="47" t="s">
        <v>16</v>
      </c>
      <c r="I11" s="44" t="s">
        <v>17</v>
      </c>
      <c r="J11" s="44" t="s">
        <v>18</v>
      </c>
      <c r="K11" s="44" t="s">
        <v>18</v>
      </c>
      <c r="L11" s="44" t="s">
        <v>20</v>
      </c>
      <c r="M11" s="45" t="s">
        <v>21</v>
      </c>
      <c r="N11" s="42" t="s">
        <v>5</v>
      </c>
      <c r="O11" s="34" t="s">
        <v>57</v>
      </c>
    </row>
    <row r="12" spans="1:19" ht="15.75" thickBot="1" x14ac:dyDescent="0.3">
      <c r="A12" s="5">
        <f>IF($A$9="","",$A$9)</f>
        <v>1543.1451184129176</v>
      </c>
      <c r="B12" s="38">
        <v>46.372023651577415</v>
      </c>
      <c r="C12" s="40">
        <f>IF(C9="","",(B12+273.15)*C9/(B9+273.15))</f>
        <v>1.2641060262322161E-2</v>
      </c>
      <c r="D12" s="53">
        <v>0</v>
      </c>
      <c r="E12" s="46">
        <f>IF(C12="","",C12*(1-D12))</f>
        <v>1.2641060262322161E-2</v>
      </c>
      <c r="F12" s="40">
        <f>IF(C12="","",C12*D12)</f>
        <v>0</v>
      </c>
      <c r="G12" s="48">
        <v>1118.3658971722507</v>
      </c>
      <c r="H12" s="51">
        <v>59.878313178787174</v>
      </c>
      <c r="I12" s="52">
        <v>266.29581149040507</v>
      </c>
      <c r="J12" s="52">
        <v>156.15308304010802</v>
      </c>
      <c r="K12" s="52">
        <v>422.44926120198704</v>
      </c>
      <c r="L12" s="49">
        <v>1.2212401888175157</v>
      </c>
      <c r="M12" s="50">
        <v>1.7099508507790018</v>
      </c>
      <c r="N12" s="55">
        <v>260.97474247251921</v>
      </c>
      <c r="O12" s="33">
        <v>10</v>
      </c>
    </row>
    <row r="13" spans="1:19" ht="18.75" x14ac:dyDescent="0.3">
      <c r="A13" s="1" t="s">
        <v>22</v>
      </c>
      <c r="I13" s="83"/>
      <c r="J13" s="83"/>
      <c r="K13" s="83"/>
      <c r="L13" s="83"/>
      <c r="M13" s="83"/>
    </row>
    <row r="14" spans="1:19" x14ac:dyDescent="0.25">
      <c r="A14" s="3" t="s">
        <v>2</v>
      </c>
      <c r="B14" s="3" t="s">
        <v>3</v>
      </c>
      <c r="C14" s="3" t="s">
        <v>4</v>
      </c>
      <c r="D14" s="2" t="s">
        <v>12</v>
      </c>
      <c r="E14" s="3" t="s">
        <v>13</v>
      </c>
      <c r="F14" s="3" t="s">
        <v>14</v>
      </c>
      <c r="G14" s="3" t="s">
        <v>15</v>
      </c>
      <c r="H14" s="3" t="s">
        <v>16</v>
      </c>
      <c r="I14" s="3" t="s">
        <v>17</v>
      </c>
      <c r="J14" s="3" t="s">
        <v>19</v>
      </c>
      <c r="K14" s="3" t="s">
        <v>18</v>
      </c>
      <c r="L14" s="3" t="s">
        <v>20</v>
      </c>
      <c r="M14" s="3" t="s">
        <v>21</v>
      </c>
      <c r="N14" s="3" t="s">
        <v>5</v>
      </c>
    </row>
    <row r="15" spans="1:19" x14ac:dyDescent="0.25">
      <c r="A15" s="5">
        <f>IF($A$6="","",$A$6)</f>
        <v>625</v>
      </c>
      <c r="B15" s="38">
        <v>22.881269161487012</v>
      </c>
      <c r="C15" s="39">
        <f>IF(E15="","",E15*(1-D15)+F15*D15)</f>
        <v>6.0371361591349546E-3</v>
      </c>
      <c r="D15" s="5">
        <f>IFERROR((N15-I15)/(J15),"")</f>
        <v>0.16306434828442584</v>
      </c>
      <c r="E15" s="39">
        <v>7.9999999999999993E-4</v>
      </c>
      <c r="F15" s="39">
        <v>3.2916990710931203E-2</v>
      </c>
      <c r="G15" s="39">
        <v>1213.7397154472685</v>
      </c>
      <c r="H15" s="39">
        <v>30.352343949045455</v>
      </c>
      <c r="I15" s="38">
        <v>231.6372553573346</v>
      </c>
      <c r="J15" s="38">
        <v>179.91355819858643</v>
      </c>
      <c r="K15" s="38">
        <v>411.5301411911575</v>
      </c>
      <c r="L15" s="5">
        <v>1.1101392002050581</v>
      </c>
      <c r="M15" s="5">
        <v>1.7178462891732091</v>
      </c>
      <c r="N15" s="38">
        <f>IF(N12="","",N12)</f>
        <v>260.97474247251921</v>
      </c>
    </row>
    <row r="16" spans="1:19" ht="36" customHeight="1" x14ac:dyDescent="0.25">
      <c r="A16" s="70"/>
      <c r="B16" s="71"/>
      <c r="C16" s="71"/>
      <c r="D16" s="71"/>
      <c r="E16" s="71"/>
      <c r="F16" s="72"/>
      <c r="G16" s="71"/>
      <c r="H16" s="72"/>
      <c r="I16" s="73"/>
      <c r="J16" s="57"/>
      <c r="L16" s="58"/>
      <c r="M16" s="58"/>
      <c r="N16" s="58"/>
      <c r="O16" s="59"/>
      <c r="P16" s="59"/>
      <c r="Q16" s="59"/>
      <c r="R16" s="59"/>
      <c r="S16" s="59"/>
    </row>
    <row r="17" spans="1:9" ht="18.75" x14ac:dyDescent="0.3">
      <c r="A17" s="1" t="s">
        <v>64</v>
      </c>
    </row>
    <row r="18" spans="1:9" x14ac:dyDescent="0.25">
      <c r="A18" s="3" t="s">
        <v>70</v>
      </c>
      <c r="B18" s="3" t="s">
        <v>65</v>
      </c>
      <c r="C18" s="3" t="s">
        <v>69</v>
      </c>
      <c r="D18" s="60" t="s">
        <v>67</v>
      </c>
      <c r="E18" s="3" t="s">
        <v>66</v>
      </c>
      <c r="F18" s="61" t="s">
        <v>68</v>
      </c>
      <c r="G18" s="3" t="s">
        <v>71</v>
      </c>
      <c r="H18" s="3" t="s">
        <v>72</v>
      </c>
      <c r="I18" s="3" t="s">
        <v>73</v>
      </c>
    </row>
    <row r="19" spans="1:9" x14ac:dyDescent="0.25">
      <c r="A19" s="5">
        <f>IF($A$9="","",$A$9)</f>
        <v>1543.1451184129176</v>
      </c>
      <c r="B19" s="5">
        <v>0.71904807777628821</v>
      </c>
      <c r="C19" s="5">
        <v>88.849617952557821</v>
      </c>
      <c r="D19" s="5">
        <v>7047.491341093526</v>
      </c>
      <c r="E19" s="5">
        <v>510</v>
      </c>
      <c r="F19" s="5">
        <v>475.67669816551984</v>
      </c>
      <c r="G19" s="5">
        <v>5151.31657009225</v>
      </c>
      <c r="H19" s="5">
        <v>62.157358501222056</v>
      </c>
      <c r="I19" s="5">
        <v>1.7396275951208431</v>
      </c>
    </row>
    <row r="20" spans="1:9" x14ac:dyDescent="0.25">
      <c r="A20" s="65" t="s">
        <v>75</v>
      </c>
      <c r="B20" s="85" t="s">
        <v>74</v>
      </c>
      <c r="C20" s="66" t="s">
        <v>69</v>
      </c>
      <c r="D20" s="67" t="s">
        <v>67</v>
      </c>
      <c r="E20" s="66" t="s">
        <v>66</v>
      </c>
      <c r="F20" s="68" t="s">
        <v>68</v>
      </c>
      <c r="G20" s="66" t="s">
        <v>71</v>
      </c>
      <c r="H20" s="66" t="s">
        <v>72</v>
      </c>
      <c r="I20" s="42" t="s">
        <v>73</v>
      </c>
    </row>
    <row r="21" spans="1:9" x14ac:dyDescent="0.25">
      <c r="A21" s="5">
        <f>IF(D9="","",A3*(D9-D6)/3600)</f>
        <v>209.0042407792661</v>
      </c>
      <c r="B21" s="86"/>
      <c r="C21" s="5">
        <v>69.642543892112883</v>
      </c>
      <c r="D21" s="5">
        <v>6852.7873068931431</v>
      </c>
      <c r="E21" s="5">
        <v>424.69545640972188</v>
      </c>
      <c r="F21" s="5">
        <v>469.05981520626455</v>
      </c>
      <c r="G21" s="5">
        <v>5079.6593731729417</v>
      </c>
      <c r="H21" s="5">
        <v>62.594240553444379</v>
      </c>
      <c r="I21" s="5">
        <v>1.7274857100665773</v>
      </c>
    </row>
    <row r="23" spans="1:9" ht="18.75" x14ac:dyDescent="0.3">
      <c r="A23" s="1" t="s">
        <v>76</v>
      </c>
    </row>
    <row r="24" spans="1:9" ht="15.75" thickBot="1" x14ac:dyDescent="0.3">
      <c r="A24" s="3" t="s">
        <v>105</v>
      </c>
      <c r="B24" s="65" t="s">
        <v>78</v>
      </c>
      <c r="C24" s="76" t="s">
        <v>79</v>
      </c>
      <c r="D24" s="74" t="s">
        <v>79</v>
      </c>
      <c r="E24" s="74" t="s">
        <v>80</v>
      </c>
    </row>
    <row r="25" spans="1:9" ht="15.75" thickBot="1" x14ac:dyDescent="0.3">
      <c r="A25" s="38">
        <f>IF(B15=0,"",B15+A27)</f>
        <v>22.881269161487012</v>
      </c>
      <c r="B25" s="75">
        <f>(D6-N15)*A3/3600</f>
        <v>1695.8361947497867</v>
      </c>
      <c r="C25" s="33" t="s">
        <v>100</v>
      </c>
      <c r="D25" s="30">
        <v>182.60978407212349</v>
      </c>
      <c r="E25" s="5">
        <v>3719.7319178088001</v>
      </c>
    </row>
    <row r="26" spans="1:9" x14ac:dyDescent="0.25">
      <c r="A26" s="3" t="s">
        <v>77</v>
      </c>
      <c r="B26" s="77" t="s">
        <v>113</v>
      </c>
      <c r="C26" s="77" t="s">
        <v>114</v>
      </c>
      <c r="D26" s="79" t="s">
        <v>115</v>
      </c>
    </row>
    <row r="27" spans="1:9" x14ac:dyDescent="0.25">
      <c r="A27" s="5"/>
      <c r="B27" s="38">
        <f>E31</f>
        <v>30</v>
      </c>
      <c r="C27" s="38"/>
      <c r="D27" s="38">
        <f>F31</f>
        <v>81909.048828291809</v>
      </c>
    </row>
    <row r="29" spans="1:9" ht="18.75" x14ac:dyDescent="0.3">
      <c r="A29" s="1" t="s">
        <v>106</v>
      </c>
    </row>
    <row r="30" spans="1:9" ht="15.75" thickBot="1" x14ac:dyDescent="0.3">
      <c r="A30" s="3" t="s">
        <v>105</v>
      </c>
      <c r="B30" s="3" t="s">
        <v>107</v>
      </c>
      <c r="C30" s="65" t="s">
        <v>108</v>
      </c>
      <c r="D30" s="77" t="s">
        <v>110</v>
      </c>
      <c r="E30" s="34" t="s">
        <v>109</v>
      </c>
      <c r="F30" s="79" t="s">
        <v>111</v>
      </c>
      <c r="G30" s="3" t="s">
        <v>112</v>
      </c>
    </row>
    <row r="31" spans="1:9" ht="15.75" thickBot="1" x14ac:dyDescent="0.3">
      <c r="A31" s="38">
        <f>IF(B9=0,"",B9)</f>
        <v>61.389113659397218</v>
      </c>
      <c r="B31" s="38">
        <f>IF(B12=0,"",B12)</f>
        <v>46.372023651577415</v>
      </c>
      <c r="C31" s="75">
        <f>IF(AND(N12&lt;&gt;0,A3&lt;&gt;0),-A3*(N12-D9)/3600,"")</f>
        <v>1904.8404355290529</v>
      </c>
      <c r="D31" s="80">
        <v>10</v>
      </c>
      <c r="E31" s="81">
        <v>30</v>
      </c>
      <c r="F31" s="78">
        <v>81909.048828291809</v>
      </c>
      <c r="G31" s="38">
        <f>(ABS(A31-E31)-ABS(B31-D31))/LN(ABS(A31-E31)/ABS(B31-D31))</f>
        <v>33.819409463531343</v>
      </c>
    </row>
    <row r="34" spans="7:7" x14ac:dyDescent="0.25">
      <c r="G34" s="82"/>
    </row>
  </sheetData>
  <mergeCells count="3">
    <mergeCell ref="I13:M13"/>
    <mergeCell ref="G10:M10"/>
    <mergeCell ref="B20:B21"/>
  </mergeCells>
  <conditionalFormatting sqref="A16:I16">
    <cfRule type="colorScale" priority="1">
      <colorScale>
        <cfvo type="num" val="0"/>
        <cfvo type="num" val="1"/>
        <color theme="0"/>
        <color rgb="FF01FF5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Listas!$A$2:$A$24</xm:f>
          </x14:formula1>
          <xm:sqref>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AE106"/>
  <sheetViews>
    <sheetView workbookViewId="0">
      <selection activeCell="D13" sqref="D13"/>
    </sheetView>
  </sheetViews>
  <sheetFormatPr defaultRowHeight="15" x14ac:dyDescent="0.25"/>
  <cols>
    <col min="1" max="1" width="8" customWidth="1"/>
    <col min="2" max="2" width="17.7109375" bestFit="1" customWidth="1"/>
    <col min="3" max="3" width="26" bestFit="1" customWidth="1"/>
    <col min="4" max="4" width="22.42578125" customWidth="1"/>
    <col min="5" max="5" width="16.7109375" customWidth="1"/>
    <col min="9" max="9" width="9.140625" customWidth="1"/>
  </cols>
  <sheetData>
    <row r="1" spans="2:31" x14ac:dyDescent="0.25">
      <c r="D1">
        <v>663</v>
      </c>
      <c r="E1">
        <v>384</v>
      </c>
      <c r="F1">
        <v>264</v>
      </c>
      <c r="G1">
        <v>165</v>
      </c>
    </row>
    <row r="2" spans="2:31" x14ac:dyDescent="0.25">
      <c r="D2">
        <v>0</v>
      </c>
    </row>
    <row r="3" spans="2:31" ht="15.75" thickBot="1" x14ac:dyDescent="0.3">
      <c r="B3" s="6" t="s">
        <v>25</v>
      </c>
      <c r="C3" s="7" t="s">
        <v>26</v>
      </c>
      <c r="D3" s="7" t="s">
        <v>27</v>
      </c>
      <c r="E3" s="8" t="s">
        <v>28</v>
      </c>
      <c r="F3" s="9" t="s">
        <v>29</v>
      </c>
      <c r="G3" s="8" t="s">
        <v>30</v>
      </c>
      <c r="H3" s="9" t="s">
        <v>31</v>
      </c>
      <c r="I3" s="9" t="s">
        <v>32</v>
      </c>
      <c r="J3" s="8" t="s">
        <v>33</v>
      </c>
      <c r="K3" s="9" t="s">
        <v>34</v>
      </c>
      <c r="L3" s="9" t="s">
        <v>35</v>
      </c>
      <c r="M3" s="8" t="s">
        <v>36</v>
      </c>
      <c r="N3" s="9" t="s">
        <v>37</v>
      </c>
      <c r="O3" s="9" t="s">
        <v>38</v>
      </c>
      <c r="P3" s="9" t="s">
        <v>39</v>
      </c>
      <c r="Q3" s="8" t="s">
        <v>40</v>
      </c>
      <c r="R3" s="9" t="s">
        <v>41</v>
      </c>
      <c r="S3" s="9" t="s">
        <v>42</v>
      </c>
      <c r="T3" s="9" t="s">
        <v>43</v>
      </c>
      <c r="U3" s="9" t="s">
        <v>44</v>
      </c>
      <c r="V3" s="9" t="s">
        <v>45</v>
      </c>
      <c r="W3" s="9" t="s">
        <v>46</v>
      </c>
      <c r="X3" s="9" t="s">
        <v>47</v>
      </c>
      <c r="Y3" s="9" t="s">
        <v>48</v>
      </c>
      <c r="Z3" s="9" t="s">
        <v>49</v>
      </c>
      <c r="AA3" s="9" t="s">
        <v>50</v>
      </c>
      <c r="AB3" s="9" t="s">
        <v>51</v>
      </c>
      <c r="AC3" s="9" t="s">
        <v>52</v>
      </c>
      <c r="AD3" s="9" t="s">
        <v>53</v>
      </c>
      <c r="AE3" s="9" t="s">
        <v>54</v>
      </c>
    </row>
    <row r="4" spans="2:31" ht="15.75" thickBot="1" x14ac:dyDescent="0.3">
      <c r="B4" s="10" t="s">
        <v>55</v>
      </c>
      <c r="C4" s="11">
        <v>625</v>
      </c>
      <c r="D4" s="12">
        <f>IFERROR(IF(E4=1,VLOOKUP(C4,C5:D30,2,FALSE),SUM(E5:E30)),SUM(E5:E30))</f>
        <v>0</v>
      </c>
      <c r="E4" s="13">
        <f>COUNTIF(C5:C30,C4)</f>
        <v>0</v>
      </c>
      <c r="F4" s="4">
        <f>IF(OR($C4-$C$5=0,AND($C$5=0,$D$5=0)),1,$C4-$C$5)</f>
        <v>1</v>
      </c>
      <c r="G4" s="4">
        <f>IF(OR($C4-$C$6=0,AND($C$6=0,$D$6=0)),1,$C4-$C$6)</f>
        <v>1</v>
      </c>
      <c r="H4" s="4">
        <f>IF(OR($C4-$C$7=0,AND($C$7=0,$D$7=0)),1,$C4-$C$7)</f>
        <v>1</v>
      </c>
      <c r="I4" s="4">
        <f>IF(OR($C4-$C$8=0,AND($C$8=0,$D$8=0)),1,$C4-$C$8)</f>
        <v>1</v>
      </c>
      <c r="J4" s="4">
        <f>IF(OR($C4-$C$9=0,AND($C$9=0,$D$9=0)),1,$C4-$C$9)</f>
        <v>1</v>
      </c>
      <c r="K4" s="4">
        <f>IF(OR($C4-$C$10=0,AND($C$10=0,$D$10=0)),1,$C4-$C$10)</f>
        <v>1</v>
      </c>
      <c r="L4" s="4">
        <f>IF(OR($C4-$C$11=0,AND($C$11=0,$D$11=0)),1,$C4-$C$11)</f>
        <v>1</v>
      </c>
      <c r="M4" s="4">
        <f t="shared" ref="M4:M11" si="0">IF(OR($C4-$C$12=0,AND($C$12=0,$D$12=0)),1,$C4-$C$12)</f>
        <v>1</v>
      </c>
      <c r="N4" s="4">
        <f>IF(OR($C4-$C$13=0,AND($C$13=0,$D$13=0)),1,$C4-$C$13)</f>
        <v>1</v>
      </c>
      <c r="O4" s="4">
        <f>IF(OR($C4-$C$14=0,AND($C$14=0,$D$14=0)),1,$C4-$C$14)</f>
        <v>1</v>
      </c>
      <c r="P4" s="4">
        <f t="shared" ref="P4:P14" si="1">IF(OR($C4-$C$15=0,AND($C$15=0,$D$15=0)),1,$C4-$C$15)</f>
        <v>1</v>
      </c>
      <c r="Q4" s="4">
        <f t="shared" ref="Q4:Q15" si="2">IF(OR($C4-$C$16=0,AND($C$16=0,$D$16=0)),1,$C4-$C$16)</f>
        <v>1</v>
      </c>
      <c r="R4" s="4">
        <f t="shared" ref="R4:R16" si="3">IF(OR($C4-$C$17=0,AND($C$17=0,$D$17=0)),1,$C4-$C$17)</f>
        <v>1</v>
      </c>
      <c r="S4" s="4">
        <f t="shared" ref="S4:S17" si="4">IF(OR($C4-$C$18=0,AND($C$18=0,$D$18=0)),1,$C4-$C$18)</f>
        <v>1</v>
      </c>
      <c r="T4" s="4">
        <f t="shared" ref="T4:T18" si="5">IF(OR($C4-$C$19=0,AND($C$19=0,$D$19=0)),1,$C4-$C$19)</f>
        <v>1</v>
      </c>
      <c r="U4" s="4">
        <f t="shared" ref="U4:U19" si="6">IF(OR($C4-$C$20=0,AND($C$20=0,$D$20=0)),1,$C4-$C$20)</f>
        <v>1</v>
      </c>
      <c r="V4" s="4">
        <f t="shared" ref="V4:V20" si="7">IF(OR($C4-$C$21=0,AND($C$21=0,$D$21=0)),1,$C4-$C$21)</f>
        <v>1</v>
      </c>
      <c r="W4" s="4">
        <f>IF(OR($C4-$C$22=0,AND($C$22=0,$D$22=0)),1,$C4-$C$22)</f>
        <v>1</v>
      </c>
      <c r="X4" s="4">
        <f>IF(OR($C4-$C$23=0,AND($C$23=0,$D$23=0)),1,$C4-$C$23)</f>
        <v>1</v>
      </c>
      <c r="Y4" s="4">
        <f>IF(OR($C4-$C$24=0,AND($C$24=0,$D$24=0)),1,$C4-$C$24)</f>
        <v>1</v>
      </c>
      <c r="Z4" s="4">
        <f>IF(OR($C4-$C$25=0,AND($C$25=0,$D$25=0)),1,$C4-$C$25)</f>
        <v>1</v>
      </c>
      <c r="AA4" s="4">
        <f>IF(OR($C4-$C$26=0,AND($C$26=0,$D$26=0)),1,$C4-$C$26)</f>
        <v>1</v>
      </c>
      <c r="AB4" s="4">
        <f>IF(OR($C4-$C$27=0,AND($C$27=0,$D$27=0)),1,$C4-$C$27)</f>
        <v>1</v>
      </c>
      <c r="AC4" s="4">
        <f>IF(OR($C4-$C$28=0,AND($C$28=0,$D$28=0)),1,$C4-$C$28)</f>
        <v>1</v>
      </c>
      <c r="AD4" s="4">
        <f>IF(OR($C4-$C$29=0,AND($C$29=0,$D$29=0)),1,$C4-$C$29)</f>
        <v>1</v>
      </c>
      <c r="AE4" s="4">
        <f>IF(OR($C4-$C$30=0,AND($C$30=0,$D$30=0)),1,$C4-$C$30)</f>
        <v>1</v>
      </c>
    </row>
    <row r="5" spans="2:31" x14ac:dyDescent="0.25">
      <c r="B5" s="10">
        <v>0</v>
      </c>
      <c r="C5" s="62"/>
      <c r="D5" s="28"/>
      <c r="E5" s="16">
        <f>IF(AND(F4&lt;0.00000000001,F4&gt;-0.00000000001),0,(D5*PRODUCT($F$4:$AE$4)/F4)/(PRODUCT(F5:AE5)))</f>
        <v>0</v>
      </c>
      <c r="F5" s="17">
        <v>1</v>
      </c>
      <c r="G5" s="4">
        <f t="shared" ref="G5:G30" si="8">IF(OR($C5-$C$6=0,AND($C$6=0,$D$6=0)),1,$C5-$C$6)</f>
        <v>1</v>
      </c>
      <c r="H5" s="4">
        <f>IF(OR($C5-$C$7=0,AND($C$7=0,$D$7=0)),1,$C5-$C$7)</f>
        <v>1</v>
      </c>
      <c r="I5" s="4">
        <f t="shared" ref="I5:I30" si="9">IF(OR($C5-$C$8=0,AND($C$8=0,$D$8=0)),1,$C5-$C$8)</f>
        <v>1</v>
      </c>
      <c r="J5" s="4">
        <f t="shared" ref="J5:J30" si="10">IF(OR($C5-$C$9=0,AND($C$9=0,$D$9=0)),1,$C5-$C$9)</f>
        <v>1</v>
      </c>
      <c r="K5" s="4">
        <f t="shared" ref="K5:K30" si="11">IF(OR($C5-$C$10=0,AND($C$10=0,$D$10=0)),1,$C5-$C$10)</f>
        <v>1</v>
      </c>
      <c r="L5" s="4">
        <f t="shared" ref="L5:L30" si="12">IF(OR($C5-$C$11=0,AND($C$11=0,$D$11=0)),1,$C5-$C$11)</f>
        <v>1</v>
      </c>
      <c r="M5" s="4">
        <f t="shared" si="0"/>
        <v>1</v>
      </c>
      <c r="N5" s="4">
        <f t="shared" ref="N5:N30" si="13">IF(OR($C5-$C$13=0,AND($C$13=0,$D$13=0)),1,$C5-$C$13)</f>
        <v>1</v>
      </c>
      <c r="O5" s="4">
        <f t="shared" ref="O5:O30" si="14">IF(OR($C5-$C$14=0,AND($C$14=0,$D$14=0)),1,$C5-$C$14)</f>
        <v>1</v>
      </c>
      <c r="P5" s="4">
        <f t="shared" si="1"/>
        <v>1</v>
      </c>
      <c r="Q5" s="4">
        <f t="shared" si="2"/>
        <v>1</v>
      </c>
      <c r="R5" s="4">
        <f t="shared" si="3"/>
        <v>1</v>
      </c>
      <c r="S5" s="4">
        <f t="shared" si="4"/>
        <v>1</v>
      </c>
      <c r="T5" s="4">
        <f t="shared" si="5"/>
        <v>1</v>
      </c>
      <c r="U5" s="4">
        <f t="shared" si="6"/>
        <v>1</v>
      </c>
      <c r="V5" s="4">
        <f t="shared" si="7"/>
        <v>1</v>
      </c>
      <c r="W5" s="4">
        <f t="shared" ref="W5:W30" si="15">IF(OR($C5-$C$22=0,AND($C$22=0,$D$22=0)),1,$C5-$C$22)</f>
        <v>1</v>
      </c>
      <c r="X5" s="4">
        <f t="shared" ref="X5:X30" si="16">IF(OR($C5-$C$23=0,AND($C$23=0,$D$23=0)),1,$C5-$C$23)</f>
        <v>1</v>
      </c>
      <c r="Y5" s="4">
        <f t="shared" ref="Y5:Y30" si="17">IF(OR($C5-$C$24=0,AND($C$24=0,$D$24=0)),1,$C5-$C$24)</f>
        <v>1</v>
      </c>
      <c r="Z5" s="4">
        <f t="shared" ref="Z5:Z30" si="18">IF(OR($C5-$C$25=0,AND($C$25=0,$D$25=0)),1,$C5-$C$25)</f>
        <v>1</v>
      </c>
      <c r="AA5" s="4">
        <f t="shared" ref="AA5:AA30" si="19">IF(OR($C5-$C$26=0,AND($C$26=0,$D$26=0)),1,$C5-$C$26)</f>
        <v>1</v>
      </c>
      <c r="AB5" s="4">
        <f t="shared" ref="AB5:AB30" si="20">IF(OR($C5-$C$27=0,AND($C$27=0,$D$27=0)),1,$C5-$C$27)</f>
        <v>1</v>
      </c>
      <c r="AC5" s="4">
        <f t="shared" ref="AC5:AC30" si="21">IF(OR($C5-$C$28=0,AND($C$28=0,$D$28=0)),1,$C5-$C$28)</f>
        <v>1</v>
      </c>
      <c r="AD5" s="4">
        <f t="shared" ref="AD5:AD30" si="22">IF(OR($C5-$C$29=0,AND($C$29=0,$D$29=0)),1,$C5-$C$29)</f>
        <v>1</v>
      </c>
      <c r="AE5" s="4">
        <f t="shared" ref="AE5:AE29" si="23">IF(OR($C5-$C$30=0,AND($C$30=0,$D$30=0)),1,$C5-$C$30)</f>
        <v>1</v>
      </c>
    </row>
    <row r="6" spans="2:31" x14ac:dyDescent="0.25">
      <c r="B6" s="10">
        <v>1</v>
      </c>
      <c r="C6" s="63"/>
      <c r="D6" s="28"/>
      <c r="E6" s="16">
        <f>IF(AND(G4&lt;0.0000000001,G4&gt;-0.0000000001),0,(D6*PRODUCT($F$4:$AE$4)/G4)/(PRODUCT(F6:AE6)))</f>
        <v>0</v>
      </c>
      <c r="F6" s="4">
        <f t="shared" ref="F6:F30" si="24">IF(OR($C6-$C$5=0,AND($C$5=0,$D$5=0)),1,$C6-$C$5)</f>
        <v>1</v>
      </c>
      <c r="G6" s="17">
        <v>1</v>
      </c>
      <c r="H6" s="4">
        <f>IF(OR($C6-$C$7=0,AND($C$7=0,$D$7=0)),1,$C6-$C$7)</f>
        <v>1</v>
      </c>
      <c r="I6" s="4">
        <f t="shared" si="9"/>
        <v>1</v>
      </c>
      <c r="J6" s="4">
        <f t="shared" si="10"/>
        <v>1</v>
      </c>
      <c r="K6" s="4">
        <f t="shared" si="11"/>
        <v>1</v>
      </c>
      <c r="L6" s="4">
        <f t="shared" si="12"/>
        <v>1</v>
      </c>
      <c r="M6" s="4">
        <f t="shared" si="0"/>
        <v>1</v>
      </c>
      <c r="N6" s="4">
        <f t="shared" si="13"/>
        <v>1</v>
      </c>
      <c r="O6" s="4">
        <f t="shared" si="14"/>
        <v>1</v>
      </c>
      <c r="P6" s="4">
        <f t="shared" si="1"/>
        <v>1</v>
      </c>
      <c r="Q6" s="4">
        <f t="shared" si="2"/>
        <v>1</v>
      </c>
      <c r="R6" s="4">
        <f t="shared" si="3"/>
        <v>1</v>
      </c>
      <c r="S6" s="4">
        <f t="shared" si="4"/>
        <v>1</v>
      </c>
      <c r="T6" s="4">
        <f t="shared" si="5"/>
        <v>1</v>
      </c>
      <c r="U6" s="4">
        <f t="shared" si="6"/>
        <v>1</v>
      </c>
      <c r="V6" s="4">
        <f t="shared" si="7"/>
        <v>1</v>
      </c>
      <c r="W6" s="4">
        <f t="shared" si="15"/>
        <v>1</v>
      </c>
      <c r="X6" s="4">
        <f t="shared" si="16"/>
        <v>1</v>
      </c>
      <c r="Y6" s="4">
        <f t="shared" si="17"/>
        <v>1</v>
      </c>
      <c r="Z6" s="4">
        <f t="shared" si="18"/>
        <v>1</v>
      </c>
      <c r="AA6" s="4">
        <f t="shared" si="19"/>
        <v>1</v>
      </c>
      <c r="AB6" s="4">
        <f t="shared" si="20"/>
        <v>1</v>
      </c>
      <c r="AC6" s="4">
        <f t="shared" si="21"/>
        <v>1</v>
      </c>
      <c r="AD6" s="4">
        <f t="shared" si="22"/>
        <v>1</v>
      </c>
      <c r="AE6" s="4">
        <f t="shared" si="23"/>
        <v>1</v>
      </c>
    </row>
    <row r="7" spans="2:31" x14ac:dyDescent="0.25">
      <c r="B7" s="10">
        <v>2</v>
      </c>
      <c r="C7" s="63"/>
      <c r="D7" s="28"/>
      <c r="E7" s="16">
        <f>IF(AND(H4&lt;0.0000000001,H4&gt;-0.0000000001),0,(D7*PRODUCT($F$4:$AE$4)/H4)/(PRODUCT(F7:AE7)))</f>
        <v>0</v>
      </c>
      <c r="F7" s="4">
        <f>IF(OR($C7-$C$5=0,AND($C$5=0,$D$5=0)),1,$C7-$C$5)</f>
        <v>1</v>
      </c>
      <c r="G7" s="4">
        <f>IF(OR($C7-$C$6=0,AND($C$6=0,$D$6=0)),1,$C7-$C$6)</f>
        <v>1</v>
      </c>
      <c r="H7" s="17">
        <v>1</v>
      </c>
      <c r="I7" s="4">
        <f>IF(OR($C7-$C$8=0,AND($C$8=0,$D$8=0)),1,$C7-$C$8)</f>
        <v>1</v>
      </c>
      <c r="J7" s="4">
        <f>IF(OR($C7-$C$9=0,AND($C$9=0,$D$9=0)),1,$C7-$C$9)</f>
        <v>1</v>
      </c>
      <c r="K7" s="4">
        <f>IF(OR($C7-$C$10=0,AND($C$10=0,$D$10=0)),1,$C7-$C$10)</f>
        <v>1</v>
      </c>
      <c r="L7" s="4">
        <f>IF(OR($C7-$C$11=0,AND($C$11=0,$D$11=0)),1,$C7-$C$11)</f>
        <v>1</v>
      </c>
      <c r="M7" s="4">
        <f t="shared" si="0"/>
        <v>1</v>
      </c>
      <c r="N7" s="4">
        <f>IF(OR($C7-$C$13=0,AND($C$13=0,$D$13=0)),1,$C7-$C$13)</f>
        <v>1</v>
      </c>
      <c r="O7" s="4">
        <f>IF(OR($C7-$C$14=0,AND($C$14=0,$D$14=0)),1,$C7-$C$14)</f>
        <v>1</v>
      </c>
      <c r="P7" s="4">
        <f t="shared" si="1"/>
        <v>1</v>
      </c>
      <c r="Q7" s="4">
        <f t="shared" si="2"/>
        <v>1</v>
      </c>
      <c r="R7" s="4">
        <f t="shared" si="3"/>
        <v>1</v>
      </c>
      <c r="S7" s="4">
        <f t="shared" si="4"/>
        <v>1</v>
      </c>
      <c r="T7" s="4">
        <f t="shared" si="5"/>
        <v>1</v>
      </c>
      <c r="U7" s="4">
        <f t="shared" si="6"/>
        <v>1</v>
      </c>
      <c r="V7" s="4">
        <f t="shared" si="7"/>
        <v>1</v>
      </c>
      <c r="W7" s="4">
        <f>IF(OR($C7-$C$22=0,AND($C$22=0,$D$22=0)),1,$C7-$C$22)</f>
        <v>1</v>
      </c>
      <c r="X7" s="4">
        <f>IF(OR($C7-$C$23=0,AND($C$23=0,$D$23=0)),1,$C7-$C$23)</f>
        <v>1</v>
      </c>
      <c r="Y7" s="4">
        <f>IF(OR($C7-$C$24=0,AND($C$24=0,$D$24=0)),1,$C7-$C$24)</f>
        <v>1</v>
      </c>
      <c r="Z7" s="4">
        <f>IF(OR($C7-$C$25=0,AND($C$25=0,$D$25=0)),1,$C7-$C$25)</f>
        <v>1</v>
      </c>
      <c r="AA7" s="4">
        <f>IF(OR($C7-$C$26=0,AND($C$26=0,$D$26=0)),1,$C7-$C$26)</f>
        <v>1</v>
      </c>
      <c r="AB7" s="4">
        <f>IF(OR($C7-$C$27=0,AND($C$27=0,$D$27=0)),1,$C7-$C$27)</f>
        <v>1</v>
      </c>
      <c r="AC7" s="4">
        <f>IF(OR($C7-$C$28=0,AND($C$28=0,$D$28=0)),1,$C7-$C$28)</f>
        <v>1</v>
      </c>
      <c r="AD7" s="4">
        <f>IF(OR($C7-$C$29=0,AND($C$29=0,$D$29=0)),1,$C7-$C$29)</f>
        <v>1</v>
      </c>
      <c r="AE7" s="4">
        <f>IF(OR($C7-$C$30=0,AND($C$30=0,$D$30=0)),1,$C7-$C$30)</f>
        <v>1</v>
      </c>
    </row>
    <row r="8" spans="2:31" x14ac:dyDescent="0.25">
      <c r="B8" s="10">
        <v>3</v>
      </c>
      <c r="C8" s="63"/>
      <c r="D8" s="28"/>
      <c r="E8" s="16">
        <f>IF(AND(I4&lt;0.0000000001,I4&gt;-0.0000000001),0,(D8*PRODUCT($F$4:$AE$4)/I4)/(PRODUCT(F8:AE8)))</f>
        <v>0</v>
      </c>
      <c r="F8" s="4">
        <f t="shared" si="24"/>
        <v>1</v>
      </c>
      <c r="G8" s="4">
        <f t="shared" si="8"/>
        <v>1</v>
      </c>
      <c r="H8" s="4">
        <f t="shared" ref="H8:H30" si="25">IF(OR($C8-$C$7=0,AND($C$7=0,$D$7=0)),1,$C8-$C$7)</f>
        <v>1</v>
      </c>
      <c r="I8" s="17">
        <v>1</v>
      </c>
      <c r="J8" s="4">
        <f t="shared" si="10"/>
        <v>1</v>
      </c>
      <c r="K8" s="4">
        <f t="shared" si="11"/>
        <v>1</v>
      </c>
      <c r="L8" s="4">
        <f t="shared" si="12"/>
        <v>1</v>
      </c>
      <c r="M8" s="4">
        <f t="shared" si="0"/>
        <v>1</v>
      </c>
      <c r="N8" s="4">
        <f t="shared" si="13"/>
        <v>1</v>
      </c>
      <c r="O8" s="4">
        <f t="shared" si="14"/>
        <v>1</v>
      </c>
      <c r="P8" s="4">
        <f t="shared" si="1"/>
        <v>1</v>
      </c>
      <c r="Q8" s="4">
        <f t="shared" si="2"/>
        <v>1</v>
      </c>
      <c r="R8" s="4">
        <f t="shared" si="3"/>
        <v>1</v>
      </c>
      <c r="S8" s="4">
        <f t="shared" si="4"/>
        <v>1</v>
      </c>
      <c r="T8" s="4">
        <f t="shared" si="5"/>
        <v>1</v>
      </c>
      <c r="U8" s="4">
        <f t="shared" si="6"/>
        <v>1</v>
      </c>
      <c r="V8" s="4">
        <f t="shared" si="7"/>
        <v>1</v>
      </c>
      <c r="W8" s="4">
        <f t="shared" si="15"/>
        <v>1</v>
      </c>
      <c r="X8" s="4">
        <f t="shared" si="16"/>
        <v>1</v>
      </c>
      <c r="Y8" s="4">
        <f t="shared" si="17"/>
        <v>1</v>
      </c>
      <c r="Z8" s="4">
        <f t="shared" si="18"/>
        <v>1</v>
      </c>
      <c r="AA8" s="4">
        <f t="shared" si="19"/>
        <v>1</v>
      </c>
      <c r="AB8" s="4">
        <f t="shared" si="20"/>
        <v>1</v>
      </c>
      <c r="AC8" s="4">
        <f t="shared" si="21"/>
        <v>1</v>
      </c>
      <c r="AD8" s="4">
        <f t="shared" si="22"/>
        <v>1</v>
      </c>
      <c r="AE8" s="4">
        <f t="shared" si="23"/>
        <v>1</v>
      </c>
    </row>
    <row r="9" spans="2:31" x14ac:dyDescent="0.25">
      <c r="B9" s="10">
        <v>4</v>
      </c>
      <c r="C9" s="63"/>
      <c r="D9" s="28"/>
      <c r="E9" s="16">
        <f>IF(AND(J4&lt;0.0000000001,J4&gt;-0.0000000001),0,(D9*PRODUCT($F$4:$AE$4)/J4)/(PRODUCT(F9:AE9)))</f>
        <v>0</v>
      </c>
      <c r="F9" s="4">
        <f t="shared" si="24"/>
        <v>1</v>
      </c>
      <c r="G9" s="4">
        <f t="shared" si="8"/>
        <v>1</v>
      </c>
      <c r="H9" s="4">
        <f t="shared" si="25"/>
        <v>1</v>
      </c>
      <c r="I9" s="4">
        <f t="shared" si="9"/>
        <v>1</v>
      </c>
      <c r="J9" s="17">
        <v>1</v>
      </c>
      <c r="K9" s="4">
        <f t="shared" si="11"/>
        <v>1</v>
      </c>
      <c r="L9" s="4">
        <f t="shared" si="12"/>
        <v>1</v>
      </c>
      <c r="M9" s="4">
        <f t="shared" si="0"/>
        <v>1</v>
      </c>
      <c r="N9" s="4">
        <f t="shared" si="13"/>
        <v>1</v>
      </c>
      <c r="O9" s="4">
        <f t="shared" si="14"/>
        <v>1</v>
      </c>
      <c r="P9" s="4">
        <f t="shared" si="1"/>
        <v>1</v>
      </c>
      <c r="Q9" s="4">
        <f t="shared" si="2"/>
        <v>1</v>
      </c>
      <c r="R9" s="4">
        <f t="shared" si="3"/>
        <v>1</v>
      </c>
      <c r="S9" s="4">
        <f t="shared" si="4"/>
        <v>1</v>
      </c>
      <c r="T9" s="4">
        <f t="shared" si="5"/>
        <v>1</v>
      </c>
      <c r="U9" s="4">
        <f t="shared" si="6"/>
        <v>1</v>
      </c>
      <c r="V9" s="4">
        <f t="shared" si="7"/>
        <v>1</v>
      </c>
      <c r="W9" s="4">
        <f t="shared" si="15"/>
        <v>1</v>
      </c>
      <c r="X9" s="4">
        <f t="shared" si="16"/>
        <v>1</v>
      </c>
      <c r="Y9" s="4">
        <f t="shared" si="17"/>
        <v>1</v>
      </c>
      <c r="Z9" s="4">
        <f t="shared" si="18"/>
        <v>1</v>
      </c>
      <c r="AA9" s="4">
        <f t="shared" si="19"/>
        <v>1</v>
      </c>
      <c r="AB9" s="4">
        <f t="shared" si="20"/>
        <v>1</v>
      </c>
      <c r="AC9" s="4">
        <f t="shared" si="21"/>
        <v>1</v>
      </c>
      <c r="AD9" s="4">
        <f t="shared" si="22"/>
        <v>1</v>
      </c>
      <c r="AE9" s="4">
        <f t="shared" si="23"/>
        <v>1</v>
      </c>
    </row>
    <row r="10" spans="2:31" x14ac:dyDescent="0.25">
      <c r="B10" s="10">
        <v>5</v>
      </c>
      <c r="C10" s="63"/>
      <c r="D10" s="28"/>
      <c r="E10" s="16">
        <f>IF(AND(K4&lt;0.0000000001,K4&gt;-0.0000000001),0,(D10*PRODUCT($F$4:$AE$4)/K4)/(PRODUCT(F10:AE10)))</f>
        <v>0</v>
      </c>
      <c r="F10" s="4">
        <f t="shared" si="24"/>
        <v>1</v>
      </c>
      <c r="G10" s="4">
        <f t="shared" si="8"/>
        <v>1</v>
      </c>
      <c r="H10" s="4">
        <f t="shared" si="25"/>
        <v>1</v>
      </c>
      <c r="I10" s="4">
        <f t="shared" si="9"/>
        <v>1</v>
      </c>
      <c r="J10" s="4">
        <f t="shared" si="10"/>
        <v>1</v>
      </c>
      <c r="K10" s="17">
        <v>1</v>
      </c>
      <c r="L10" s="4">
        <f t="shared" si="12"/>
        <v>1</v>
      </c>
      <c r="M10" s="4">
        <f t="shared" si="0"/>
        <v>1</v>
      </c>
      <c r="N10" s="4">
        <f t="shared" si="13"/>
        <v>1</v>
      </c>
      <c r="O10" s="4">
        <f t="shared" si="14"/>
        <v>1</v>
      </c>
      <c r="P10" s="4">
        <f t="shared" si="1"/>
        <v>1</v>
      </c>
      <c r="Q10" s="4">
        <f t="shared" si="2"/>
        <v>1</v>
      </c>
      <c r="R10" s="4">
        <f t="shared" si="3"/>
        <v>1</v>
      </c>
      <c r="S10" s="4">
        <f t="shared" si="4"/>
        <v>1</v>
      </c>
      <c r="T10" s="4">
        <f t="shared" si="5"/>
        <v>1</v>
      </c>
      <c r="U10" s="4">
        <f t="shared" si="6"/>
        <v>1</v>
      </c>
      <c r="V10" s="4">
        <f t="shared" si="7"/>
        <v>1</v>
      </c>
      <c r="W10" s="4">
        <f t="shared" si="15"/>
        <v>1</v>
      </c>
      <c r="X10" s="4">
        <f t="shared" si="16"/>
        <v>1</v>
      </c>
      <c r="Y10" s="4">
        <f t="shared" si="17"/>
        <v>1</v>
      </c>
      <c r="Z10" s="4">
        <f t="shared" si="18"/>
        <v>1</v>
      </c>
      <c r="AA10" s="4">
        <f t="shared" si="19"/>
        <v>1</v>
      </c>
      <c r="AB10" s="4">
        <f t="shared" si="20"/>
        <v>1</v>
      </c>
      <c r="AC10" s="4">
        <f t="shared" si="21"/>
        <v>1</v>
      </c>
      <c r="AD10" s="4">
        <f t="shared" si="22"/>
        <v>1</v>
      </c>
      <c r="AE10" s="4">
        <f t="shared" si="23"/>
        <v>1</v>
      </c>
    </row>
    <row r="11" spans="2:31" x14ac:dyDescent="0.25">
      <c r="B11" s="10">
        <v>6</v>
      </c>
      <c r="C11" s="63"/>
      <c r="D11" s="28"/>
      <c r="E11" s="16">
        <f>IF(AND(L4&lt;0.0000000001,L4&gt;-0.0000000001),0,(D11*PRODUCT($F$4:$AE$4)/L4)/(PRODUCT(F11:AE11)))</f>
        <v>0</v>
      </c>
      <c r="F11" s="4">
        <f t="shared" si="24"/>
        <v>1</v>
      </c>
      <c r="G11" s="4">
        <f t="shared" si="8"/>
        <v>1</v>
      </c>
      <c r="H11" s="4">
        <f t="shared" si="25"/>
        <v>1</v>
      </c>
      <c r="I11" s="4">
        <f t="shared" si="9"/>
        <v>1</v>
      </c>
      <c r="J11" s="4">
        <f t="shared" si="10"/>
        <v>1</v>
      </c>
      <c r="K11" s="4">
        <f t="shared" si="11"/>
        <v>1</v>
      </c>
      <c r="L11" s="17">
        <v>1</v>
      </c>
      <c r="M11" s="4">
        <f t="shared" si="0"/>
        <v>1</v>
      </c>
      <c r="N11" s="4">
        <f t="shared" si="13"/>
        <v>1</v>
      </c>
      <c r="O11" s="4">
        <f t="shared" si="14"/>
        <v>1</v>
      </c>
      <c r="P11" s="4">
        <f t="shared" si="1"/>
        <v>1</v>
      </c>
      <c r="Q11" s="4">
        <f t="shared" si="2"/>
        <v>1</v>
      </c>
      <c r="R11" s="4">
        <f t="shared" si="3"/>
        <v>1</v>
      </c>
      <c r="S11" s="4">
        <f t="shared" si="4"/>
        <v>1</v>
      </c>
      <c r="T11" s="4">
        <f t="shared" si="5"/>
        <v>1</v>
      </c>
      <c r="U11" s="4">
        <f t="shared" si="6"/>
        <v>1</v>
      </c>
      <c r="V11" s="4">
        <f t="shared" si="7"/>
        <v>1</v>
      </c>
      <c r="W11" s="4">
        <f t="shared" si="15"/>
        <v>1</v>
      </c>
      <c r="X11" s="4">
        <f t="shared" si="16"/>
        <v>1</v>
      </c>
      <c r="Y11" s="4">
        <f t="shared" si="17"/>
        <v>1</v>
      </c>
      <c r="Z11" s="4">
        <f t="shared" si="18"/>
        <v>1</v>
      </c>
      <c r="AA11" s="4">
        <f t="shared" si="19"/>
        <v>1</v>
      </c>
      <c r="AB11" s="4">
        <f t="shared" si="20"/>
        <v>1</v>
      </c>
      <c r="AC11" s="4">
        <f t="shared" si="21"/>
        <v>1</v>
      </c>
      <c r="AD11" s="4">
        <f t="shared" si="22"/>
        <v>1</v>
      </c>
      <c r="AE11" s="4">
        <f t="shared" si="23"/>
        <v>1</v>
      </c>
    </row>
    <row r="12" spans="2:31" x14ac:dyDescent="0.25">
      <c r="B12" s="10">
        <v>7</v>
      </c>
      <c r="C12" s="63"/>
      <c r="D12" s="28"/>
      <c r="E12" s="16">
        <f>IF(AND(M4&lt;0.0000000001,M4&gt;-0.0000000001),0,(D12*PRODUCT($F$4:$AE$4)/M4)/(PRODUCT(F12:AE12)))</f>
        <v>0</v>
      </c>
      <c r="F12" s="4">
        <f>IF(OR($C12-$C$5=0,AND($C$5=0,$D$5=0)),1,$C12-$C$5)</f>
        <v>1</v>
      </c>
      <c r="G12" s="4">
        <f>IF(OR($C12-$C$6=0,AND($C$6=0,$D$6=0)),1,$C12-$C$6)</f>
        <v>1</v>
      </c>
      <c r="H12" s="4">
        <f t="shared" si="25"/>
        <v>1</v>
      </c>
      <c r="I12" s="4">
        <f>IF(OR($C12-$C$8=0,AND($C$8=0,$D$8=0)),1,$C12-$C$8)</f>
        <v>1</v>
      </c>
      <c r="J12" s="4">
        <f>IF(OR($C12-$C$9=0,AND($C$9=0,$D$9=0)),1,$C12-$C$9)</f>
        <v>1</v>
      </c>
      <c r="K12" s="4">
        <f>IF(OR($C12-$C$10=0,AND($C$10=0,$D$10=0)),1,$C12-$C$10)</f>
        <v>1</v>
      </c>
      <c r="L12" s="4">
        <f>IF(OR($C12-$C$11=0,AND($C$11=0,$D$11=0)),1,$C12-$C$11)</f>
        <v>1</v>
      </c>
      <c r="M12" s="17">
        <v>1</v>
      </c>
      <c r="N12" s="4">
        <f>IF(OR($C12-$C$13=0,AND($C$13=0,$D$13=0)),1,$C12-$C$13)</f>
        <v>1</v>
      </c>
      <c r="O12" s="4">
        <f>IF(OR($C12-$C$14=0,AND($C$14=0,$D$14=0)),1,$C12-$C$14)</f>
        <v>1</v>
      </c>
      <c r="P12" s="4">
        <f t="shared" si="1"/>
        <v>1</v>
      </c>
      <c r="Q12" s="4">
        <f t="shared" si="2"/>
        <v>1</v>
      </c>
      <c r="R12" s="4">
        <f t="shared" si="3"/>
        <v>1</v>
      </c>
      <c r="S12" s="4">
        <f t="shared" si="4"/>
        <v>1</v>
      </c>
      <c r="T12" s="4">
        <f t="shared" si="5"/>
        <v>1</v>
      </c>
      <c r="U12" s="4">
        <f t="shared" si="6"/>
        <v>1</v>
      </c>
      <c r="V12" s="4">
        <f t="shared" si="7"/>
        <v>1</v>
      </c>
      <c r="W12" s="4">
        <f>IF(OR($C12-$C$22=0,AND($C$22=0,$D$22=0)),1,$C12-$C$22)</f>
        <v>1</v>
      </c>
      <c r="X12" s="4">
        <f>IF(OR($C12-$C$23=0,AND($C$23=0,$D$23=0)),1,$C12-$C$23)</f>
        <v>1</v>
      </c>
      <c r="Y12" s="4">
        <f>IF(OR($C12-$C$24=0,AND($C$24=0,$D$24=0)),1,$C12-$C$24)</f>
        <v>1</v>
      </c>
      <c r="Z12" s="4">
        <f>IF(OR($C12-$C$25=0,AND($C$25=0,$D$25=0)),1,$C12-$C$25)</f>
        <v>1</v>
      </c>
      <c r="AA12" s="4">
        <f>IF(OR($C12-$C$26=0,AND($C$26=0,$D$26=0)),1,$C12-$C$26)</f>
        <v>1</v>
      </c>
      <c r="AB12" s="4">
        <f>IF(OR($C12-$C$27=0,AND($C$27=0,$D$27=0)),1,$C12-$C$27)</f>
        <v>1</v>
      </c>
      <c r="AC12" s="4">
        <f>IF(OR($C12-$C$28=0,AND($C$28=0,$D$28=0)),1,$C12-$C$28)</f>
        <v>1</v>
      </c>
      <c r="AD12" s="4">
        <f>IF(OR($C12-$C$29=0,AND($C$29=0,$D$29=0)),1,$C12-$C$29)</f>
        <v>1</v>
      </c>
      <c r="AE12" s="4">
        <f>IF(OR($C12-$C$30=0,AND($C$30=0,$D$30=0)),1,$C12-$C$30)</f>
        <v>1</v>
      </c>
    </row>
    <row r="13" spans="2:31" x14ac:dyDescent="0.25">
      <c r="B13" s="10">
        <v>8</v>
      </c>
      <c r="C13" s="63"/>
      <c r="D13" s="28"/>
      <c r="E13" s="16">
        <f>IF(AND(N4&lt;0.0000000001,N4&gt;-0.0000000001),0,(D13*PRODUCT($F$4:$AE$4)/N4)/(PRODUCT(F13:AE13)))</f>
        <v>0</v>
      </c>
      <c r="F13" s="4">
        <f t="shared" si="24"/>
        <v>1</v>
      </c>
      <c r="G13" s="4">
        <f t="shared" si="8"/>
        <v>1</v>
      </c>
      <c r="H13" s="4">
        <f t="shared" si="25"/>
        <v>1</v>
      </c>
      <c r="I13" s="4">
        <f t="shared" si="9"/>
        <v>1</v>
      </c>
      <c r="J13" s="4">
        <f t="shared" si="10"/>
        <v>1</v>
      </c>
      <c r="K13" s="4">
        <f t="shared" si="11"/>
        <v>1</v>
      </c>
      <c r="L13" s="4">
        <f t="shared" si="12"/>
        <v>1</v>
      </c>
      <c r="M13" s="4">
        <f t="shared" ref="M13:M30" si="26">IF(OR($C13-$C$12=0,AND($C$12=0,$D$12=0)),1,$C13-$C$12)</f>
        <v>1</v>
      </c>
      <c r="N13" s="17">
        <v>1</v>
      </c>
      <c r="O13" s="4">
        <f t="shared" si="14"/>
        <v>1</v>
      </c>
      <c r="P13" s="4">
        <f t="shared" si="1"/>
        <v>1</v>
      </c>
      <c r="Q13" s="4">
        <f t="shared" si="2"/>
        <v>1</v>
      </c>
      <c r="R13" s="4">
        <f t="shared" si="3"/>
        <v>1</v>
      </c>
      <c r="S13" s="4">
        <f t="shared" si="4"/>
        <v>1</v>
      </c>
      <c r="T13" s="4">
        <f t="shared" si="5"/>
        <v>1</v>
      </c>
      <c r="U13" s="4">
        <f t="shared" si="6"/>
        <v>1</v>
      </c>
      <c r="V13" s="4">
        <f t="shared" si="7"/>
        <v>1</v>
      </c>
      <c r="W13" s="4">
        <f t="shared" si="15"/>
        <v>1</v>
      </c>
      <c r="X13" s="4">
        <f t="shared" si="16"/>
        <v>1</v>
      </c>
      <c r="Y13" s="4">
        <f t="shared" si="17"/>
        <v>1</v>
      </c>
      <c r="Z13" s="4">
        <f t="shared" si="18"/>
        <v>1</v>
      </c>
      <c r="AA13" s="4">
        <f t="shared" si="19"/>
        <v>1</v>
      </c>
      <c r="AB13" s="4">
        <f t="shared" si="20"/>
        <v>1</v>
      </c>
      <c r="AC13" s="4">
        <f t="shared" si="21"/>
        <v>1</v>
      </c>
      <c r="AD13" s="4">
        <f t="shared" si="22"/>
        <v>1</v>
      </c>
      <c r="AE13" s="4">
        <f t="shared" si="23"/>
        <v>1</v>
      </c>
    </row>
    <row r="14" spans="2:31" x14ac:dyDescent="0.25">
      <c r="B14" s="10">
        <v>9</v>
      </c>
      <c r="C14" s="63"/>
      <c r="D14" s="28"/>
      <c r="E14" s="16">
        <f>IF(AND(O4&lt;0.0000000001,O4&gt;-0.0000000001),0,(D14*PRODUCT($F$4:$AE$4)/O4)/(PRODUCT(F14:AE14)))</f>
        <v>0</v>
      </c>
      <c r="F14" s="4">
        <f t="shared" si="24"/>
        <v>1</v>
      </c>
      <c r="G14" s="4">
        <f t="shared" si="8"/>
        <v>1</v>
      </c>
      <c r="H14" s="4">
        <f t="shared" si="25"/>
        <v>1</v>
      </c>
      <c r="I14" s="4">
        <f t="shared" si="9"/>
        <v>1</v>
      </c>
      <c r="J14" s="4">
        <f t="shared" si="10"/>
        <v>1</v>
      </c>
      <c r="K14" s="4">
        <f t="shared" si="11"/>
        <v>1</v>
      </c>
      <c r="L14" s="4">
        <f t="shared" si="12"/>
        <v>1</v>
      </c>
      <c r="M14" s="4">
        <f t="shared" si="26"/>
        <v>1</v>
      </c>
      <c r="N14" s="4">
        <f t="shared" si="13"/>
        <v>1</v>
      </c>
      <c r="O14" s="17">
        <v>1</v>
      </c>
      <c r="P14" s="4">
        <f t="shared" si="1"/>
        <v>1</v>
      </c>
      <c r="Q14" s="4">
        <f t="shared" si="2"/>
        <v>1</v>
      </c>
      <c r="R14" s="4">
        <f t="shared" si="3"/>
        <v>1</v>
      </c>
      <c r="S14" s="4">
        <f t="shared" si="4"/>
        <v>1</v>
      </c>
      <c r="T14" s="4">
        <f t="shared" si="5"/>
        <v>1</v>
      </c>
      <c r="U14" s="4">
        <f t="shared" si="6"/>
        <v>1</v>
      </c>
      <c r="V14" s="4">
        <f t="shared" si="7"/>
        <v>1</v>
      </c>
      <c r="W14" s="4">
        <f t="shared" si="15"/>
        <v>1</v>
      </c>
      <c r="X14" s="4">
        <f t="shared" si="16"/>
        <v>1</v>
      </c>
      <c r="Y14" s="4">
        <f t="shared" si="17"/>
        <v>1</v>
      </c>
      <c r="Z14" s="4">
        <f t="shared" si="18"/>
        <v>1</v>
      </c>
      <c r="AA14" s="4">
        <f t="shared" si="19"/>
        <v>1</v>
      </c>
      <c r="AB14" s="4">
        <f t="shared" si="20"/>
        <v>1</v>
      </c>
      <c r="AC14" s="4">
        <f t="shared" si="21"/>
        <v>1</v>
      </c>
      <c r="AD14" s="4">
        <f t="shared" si="22"/>
        <v>1</v>
      </c>
      <c r="AE14" s="4">
        <f t="shared" si="23"/>
        <v>1</v>
      </c>
    </row>
    <row r="15" spans="2:31" x14ac:dyDescent="0.25">
      <c r="B15" s="10">
        <v>10</v>
      </c>
      <c r="C15" s="63"/>
      <c r="D15" s="28"/>
      <c r="E15" s="16">
        <f>IF(AND(P4&lt;0.0000000001,P4&gt;-0.0000000001),0,(D15*PRODUCT($F$4:$AE$4)/P4)/(PRODUCT(F15:AE15)))</f>
        <v>0</v>
      </c>
      <c r="F15" s="4">
        <f t="shared" si="24"/>
        <v>1</v>
      </c>
      <c r="G15" s="4">
        <f t="shared" si="8"/>
        <v>1</v>
      </c>
      <c r="H15" s="4">
        <f t="shared" si="25"/>
        <v>1</v>
      </c>
      <c r="I15" s="4">
        <f t="shared" si="9"/>
        <v>1</v>
      </c>
      <c r="J15" s="4">
        <f t="shared" si="10"/>
        <v>1</v>
      </c>
      <c r="K15" s="4">
        <f t="shared" si="11"/>
        <v>1</v>
      </c>
      <c r="L15" s="4">
        <f t="shared" si="12"/>
        <v>1</v>
      </c>
      <c r="M15" s="4">
        <f t="shared" si="26"/>
        <v>1</v>
      </c>
      <c r="N15" s="4">
        <f t="shared" si="13"/>
        <v>1</v>
      </c>
      <c r="O15" s="4">
        <f t="shared" ref="O15:O21" si="27">IF(OR($C15-$C$14=0,AND($C$14=0,$D$14=0)),1,$C15-$C$14)</f>
        <v>1</v>
      </c>
      <c r="P15" s="17">
        <v>1</v>
      </c>
      <c r="Q15" s="4">
        <f t="shared" si="2"/>
        <v>1</v>
      </c>
      <c r="R15" s="4">
        <f t="shared" si="3"/>
        <v>1</v>
      </c>
      <c r="S15" s="4">
        <f t="shared" si="4"/>
        <v>1</v>
      </c>
      <c r="T15" s="4">
        <f t="shared" si="5"/>
        <v>1</v>
      </c>
      <c r="U15" s="4">
        <f t="shared" si="6"/>
        <v>1</v>
      </c>
      <c r="V15" s="4">
        <f t="shared" si="7"/>
        <v>1</v>
      </c>
      <c r="W15" s="4">
        <f t="shared" si="15"/>
        <v>1</v>
      </c>
      <c r="X15" s="4">
        <f t="shared" si="16"/>
        <v>1</v>
      </c>
      <c r="Y15" s="4">
        <f t="shared" si="17"/>
        <v>1</v>
      </c>
      <c r="Z15" s="4">
        <f t="shared" si="18"/>
        <v>1</v>
      </c>
      <c r="AA15" s="4">
        <f t="shared" si="19"/>
        <v>1</v>
      </c>
      <c r="AB15" s="4">
        <f t="shared" si="20"/>
        <v>1</v>
      </c>
      <c r="AC15" s="4">
        <f t="shared" si="21"/>
        <v>1</v>
      </c>
      <c r="AD15" s="4">
        <f t="shared" si="22"/>
        <v>1</v>
      </c>
      <c r="AE15" s="4">
        <f t="shared" si="23"/>
        <v>1</v>
      </c>
    </row>
    <row r="16" spans="2:31" x14ac:dyDescent="0.25">
      <c r="B16" s="10">
        <v>11</v>
      </c>
      <c r="C16" s="63"/>
      <c r="D16" s="28"/>
      <c r="E16" s="16">
        <f>IF(AND(Q4&lt;0.0000000001,Q4&gt;-0.0000000001),0,(D16*PRODUCT($F$4:$AE$4)/Q4)/(PRODUCT(F16:AE16)))</f>
        <v>0</v>
      </c>
      <c r="F16" s="4">
        <f t="shared" si="24"/>
        <v>1</v>
      </c>
      <c r="G16" s="4">
        <f t="shared" si="8"/>
        <v>1</v>
      </c>
      <c r="H16" s="4">
        <f t="shared" si="25"/>
        <v>1</v>
      </c>
      <c r="I16" s="4">
        <f t="shared" si="9"/>
        <v>1</v>
      </c>
      <c r="J16" s="4">
        <f t="shared" si="10"/>
        <v>1</v>
      </c>
      <c r="K16" s="4">
        <f t="shared" si="11"/>
        <v>1</v>
      </c>
      <c r="L16" s="4">
        <f t="shared" si="12"/>
        <v>1</v>
      </c>
      <c r="M16" s="4">
        <f t="shared" si="26"/>
        <v>1</v>
      </c>
      <c r="N16" s="4">
        <f t="shared" si="13"/>
        <v>1</v>
      </c>
      <c r="O16" s="4">
        <f t="shared" si="27"/>
        <v>1</v>
      </c>
      <c r="P16" s="4">
        <f t="shared" ref="P16:P30" si="28">IF(OR($C16-$C$15=0,AND($C$15=0,$D$15=0)),1,$C16-$C$15)</f>
        <v>1</v>
      </c>
      <c r="Q16" s="17">
        <v>1</v>
      </c>
      <c r="R16" s="4">
        <f t="shared" si="3"/>
        <v>1</v>
      </c>
      <c r="S16" s="4">
        <f t="shared" si="4"/>
        <v>1</v>
      </c>
      <c r="T16" s="4">
        <f t="shared" si="5"/>
        <v>1</v>
      </c>
      <c r="U16" s="4">
        <f t="shared" si="6"/>
        <v>1</v>
      </c>
      <c r="V16" s="4">
        <f t="shared" si="7"/>
        <v>1</v>
      </c>
      <c r="W16" s="4">
        <f t="shared" si="15"/>
        <v>1</v>
      </c>
      <c r="X16" s="4">
        <f t="shared" si="16"/>
        <v>1</v>
      </c>
      <c r="Y16" s="4">
        <f t="shared" si="17"/>
        <v>1</v>
      </c>
      <c r="Z16" s="4">
        <f t="shared" si="18"/>
        <v>1</v>
      </c>
      <c r="AA16" s="4">
        <f t="shared" si="19"/>
        <v>1</v>
      </c>
      <c r="AB16" s="4">
        <f t="shared" si="20"/>
        <v>1</v>
      </c>
      <c r="AC16" s="4">
        <f t="shared" si="21"/>
        <v>1</v>
      </c>
      <c r="AD16" s="4">
        <f t="shared" si="22"/>
        <v>1</v>
      </c>
      <c r="AE16" s="4">
        <f t="shared" si="23"/>
        <v>1</v>
      </c>
    </row>
    <row r="17" spans="2:31" x14ac:dyDescent="0.25">
      <c r="B17" s="10">
        <v>12</v>
      </c>
      <c r="C17" s="63"/>
      <c r="D17" s="28"/>
      <c r="E17" s="16">
        <f>IF(AND(R4&lt;0.0000000001,R4&gt;-0.0000000001),0,(D17*PRODUCT($F$4:$AE$4)/R4)/(PRODUCT(F17:AE17)))</f>
        <v>0</v>
      </c>
      <c r="F17" s="4">
        <f t="shared" si="24"/>
        <v>1</v>
      </c>
      <c r="G17" s="4">
        <f t="shared" si="8"/>
        <v>1</v>
      </c>
      <c r="H17" s="4">
        <f t="shared" si="25"/>
        <v>1</v>
      </c>
      <c r="I17" s="4">
        <f t="shared" si="9"/>
        <v>1</v>
      </c>
      <c r="J17" s="4">
        <f t="shared" si="10"/>
        <v>1</v>
      </c>
      <c r="K17" s="4">
        <f t="shared" si="11"/>
        <v>1</v>
      </c>
      <c r="L17" s="4">
        <f t="shared" si="12"/>
        <v>1</v>
      </c>
      <c r="M17" s="4">
        <f t="shared" si="26"/>
        <v>1</v>
      </c>
      <c r="N17" s="4">
        <f t="shared" si="13"/>
        <v>1</v>
      </c>
      <c r="O17" s="4">
        <f t="shared" si="27"/>
        <v>1</v>
      </c>
      <c r="P17" s="4">
        <f t="shared" si="28"/>
        <v>1</v>
      </c>
      <c r="Q17" s="4">
        <f t="shared" ref="Q17:Q30" si="29">IF(OR($C17-$C$16=0,AND($C$16=0,$D$16=0)),1,$C17-$C$16)</f>
        <v>1</v>
      </c>
      <c r="R17" s="17">
        <v>1</v>
      </c>
      <c r="S17" s="4">
        <f t="shared" si="4"/>
        <v>1</v>
      </c>
      <c r="T17" s="4">
        <f t="shared" si="5"/>
        <v>1</v>
      </c>
      <c r="U17" s="4">
        <f t="shared" si="6"/>
        <v>1</v>
      </c>
      <c r="V17" s="4">
        <f t="shared" si="7"/>
        <v>1</v>
      </c>
      <c r="W17" s="4">
        <f t="shared" si="15"/>
        <v>1</v>
      </c>
      <c r="X17" s="4">
        <f t="shared" si="16"/>
        <v>1</v>
      </c>
      <c r="Y17" s="4">
        <f t="shared" si="17"/>
        <v>1</v>
      </c>
      <c r="Z17" s="4">
        <f t="shared" si="18"/>
        <v>1</v>
      </c>
      <c r="AA17" s="4">
        <f t="shared" si="19"/>
        <v>1</v>
      </c>
      <c r="AB17" s="4">
        <f t="shared" si="20"/>
        <v>1</v>
      </c>
      <c r="AC17" s="4">
        <f t="shared" si="21"/>
        <v>1</v>
      </c>
      <c r="AD17" s="4">
        <f t="shared" si="22"/>
        <v>1</v>
      </c>
      <c r="AE17" s="4">
        <f t="shared" si="23"/>
        <v>1</v>
      </c>
    </row>
    <row r="18" spans="2:31" x14ac:dyDescent="0.25">
      <c r="B18" s="10">
        <v>13</v>
      </c>
      <c r="C18" s="63"/>
      <c r="D18" s="28"/>
      <c r="E18" s="16">
        <f>IF(AND(S4&lt;0.0000000001,S4&gt;-0.0000000001),0,(D18*PRODUCT($F$4:$AE$4)/S4)/(PRODUCT(F18:AE18)))</f>
        <v>0</v>
      </c>
      <c r="F18" s="4">
        <f t="shared" si="24"/>
        <v>1</v>
      </c>
      <c r="G18" s="4">
        <f t="shared" si="8"/>
        <v>1</v>
      </c>
      <c r="H18" s="4">
        <f t="shared" si="25"/>
        <v>1</v>
      </c>
      <c r="I18" s="4">
        <f t="shared" si="9"/>
        <v>1</v>
      </c>
      <c r="J18" s="4">
        <f t="shared" si="10"/>
        <v>1</v>
      </c>
      <c r="K18" s="4">
        <f t="shared" si="11"/>
        <v>1</v>
      </c>
      <c r="L18" s="4">
        <f t="shared" si="12"/>
        <v>1</v>
      </c>
      <c r="M18" s="4">
        <f t="shared" si="26"/>
        <v>1</v>
      </c>
      <c r="N18" s="4">
        <f t="shared" si="13"/>
        <v>1</v>
      </c>
      <c r="O18" s="4">
        <f t="shared" si="27"/>
        <v>1</v>
      </c>
      <c r="P18" s="4">
        <f t="shared" si="28"/>
        <v>1</v>
      </c>
      <c r="Q18" s="4">
        <f t="shared" si="29"/>
        <v>1</v>
      </c>
      <c r="R18" s="4">
        <f t="shared" ref="R18:R30" si="30">IF(OR($C18-$C$17=0,AND($C$17=0,$D$17=0)),1,$C18-$C$17)</f>
        <v>1</v>
      </c>
      <c r="S18" s="17">
        <v>1</v>
      </c>
      <c r="T18" s="4">
        <f t="shared" si="5"/>
        <v>1</v>
      </c>
      <c r="U18" s="4">
        <f t="shared" si="6"/>
        <v>1</v>
      </c>
      <c r="V18" s="4">
        <f t="shared" si="7"/>
        <v>1</v>
      </c>
      <c r="W18" s="4">
        <f t="shared" si="15"/>
        <v>1</v>
      </c>
      <c r="X18" s="4">
        <f t="shared" si="16"/>
        <v>1</v>
      </c>
      <c r="Y18" s="4">
        <f t="shared" si="17"/>
        <v>1</v>
      </c>
      <c r="Z18" s="4">
        <f t="shared" si="18"/>
        <v>1</v>
      </c>
      <c r="AA18" s="4">
        <f t="shared" si="19"/>
        <v>1</v>
      </c>
      <c r="AB18" s="4">
        <f t="shared" si="20"/>
        <v>1</v>
      </c>
      <c r="AC18" s="4">
        <f t="shared" si="21"/>
        <v>1</v>
      </c>
      <c r="AD18" s="4">
        <f t="shared" si="22"/>
        <v>1</v>
      </c>
      <c r="AE18" s="4">
        <f t="shared" si="23"/>
        <v>1</v>
      </c>
    </row>
    <row r="19" spans="2:31" x14ac:dyDescent="0.25">
      <c r="B19" s="10">
        <v>14</v>
      </c>
      <c r="C19" s="63"/>
      <c r="D19" s="28"/>
      <c r="E19" s="16">
        <f>IF(AND(T4&lt;0.0000000001,T4&gt;-0.0000000001),0,(D19*PRODUCT($F$4:$AE$4)/T4)/(PRODUCT(F19:AE19)))</f>
        <v>0</v>
      </c>
      <c r="F19" s="4">
        <f t="shared" si="24"/>
        <v>1</v>
      </c>
      <c r="G19" s="4">
        <f t="shared" si="8"/>
        <v>1</v>
      </c>
      <c r="H19" s="4">
        <f t="shared" si="25"/>
        <v>1</v>
      </c>
      <c r="I19" s="4">
        <f t="shared" si="9"/>
        <v>1</v>
      </c>
      <c r="J19" s="4">
        <f t="shared" si="10"/>
        <v>1</v>
      </c>
      <c r="K19" s="4">
        <f t="shared" si="11"/>
        <v>1</v>
      </c>
      <c r="L19" s="4">
        <f t="shared" si="12"/>
        <v>1</v>
      </c>
      <c r="M19" s="4">
        <f t="shared" si="26"/>
        <v>1</v>
      </c>
      <c r="N19" s="4">
        <f t="shared" si="13"/>
        <v>1</v>
      </c>
      <c r="O19" s="4">
        <f t="shared" si="27"/>
        <v>1</v>
      </c>
      <c r="P19" s="4">
        <f t="shared" si="28"/>
        <v>1</v>
      </c>
      <c r="Q19" s="4">
        <f t="shared" si="29"/>
        <v>1</v>
      </c>
      <c r="R19" s="4">
        <f t="shared" si="30"/>
        <v>1</v>
      </c>
      <c r="S19" s="4">
        <f t="shared" ref="S19:S30" si="31">IF(OR($C19-$C$18=0,AND($C$18=0,$D$18=0)),1,$C19-$C$18)</f>
        <v>1</v>
      </c>
      <c r="T19" s="17">
        <v>1</v>
      </c>
      <c r="U19" s="4">
        <f t="shared" si="6"/>
        <v>1</v>
      </c>
      <c r="V19" s="4">
        <f t="shared" si="7"/>
        <v>1</v>
      </c>
      <c r="W19" s="4">
        <f t="shared" si="15"/>
        <v>1</v>
      </c>
      <c r="X19" s="4">
        <f t="shared" si="16"/>
        <v>1</v>
      </c>
      <c r="Y19" s="4">
        <f t="shared" si="17"/>
        <v>1</v>
      </c>
      <c r="Z19" s="4">
        <f t="shared" si="18"/>
        <v>1</v>
      </c>
      <c r="AA19" s="4">
        <f t="shared" si="19"/>
        <v>1</v>
      </c>
      <c r="AB19" s="4">
        <f t="shared" si="20"/>
        <v>1</v>
      </c>
      <c r="AC19" s="4">
        <f t="shared" si="21"/>
        <v>1</v>
      </c>
      <c r="AD19" s="4">
        <f t="shared" si="22"/>
        <v>1</v>
      </c>
      <c r="AE19" s="4">
        <f t="shared" si="23"/>
        <v>1</v>
      </c>
    </row>
    <row r="20" spans="2:31" x14ac:dyDescent="0.25">
      <c r="B20" s="10">
        <v>15</v>
      </c>
      <c r="C20" s="63"/>
      <c r="D20" s="28"/>
      <c r="E20" s="16">
        <f>IF(AND(U4&lt;0.0000000001,U4&gt;-0.0000000001),0,(D20*PRODUCT($F$4:$AE$4)/U4)/(PRODUCT(F20:AE20)))</f>
        <v>0</v>
      </c>
      <c r="F20" s="4">
        <f t="shared" si="24"/>
        <v>1</v>
      </c>
      <c r="G20" s="4">
        <f t="shared" si="8"/>
        <v>1</v>
      </c>
      <c r="H20" s="4">
        <f t="shared" si="25"/>
        <v>1</v>
      </c>
      <c r="I20" s="4">
        <f t="shared" si="9"/>
        <v>1</v>
      </c>
      <c r="J20" s="4">
        <f t="shared" si="10"/>
        <v>1</v>
      </c>
      <c r="K20" s="4">
        <f t="shared" si="11"/>
        <v>1</v>
      </c>
      <c r="L20" s="4">
        <f t="shared" si="12"/>
        <v>1</v>
      </c>
      <c r="M20" s="4">
        <f t="shared" si="26"/>
        <v>1</v>
      </c>
      <c r="N20" s="4">
        <f t="shared" si="13"/>
        <v>1</v>
      </c>
      <c r="O20" s="4">
        <f t="shared" si="27"/>
        <v>1</v>
      </c>
      <c r="P20" s="4">
        <f t="shared" si="28"/>
        <v>1</v>
      </c>
      <c r="Q20" s="4">
        <f t="shared" si="29"/>
        <v>1</v>
      </c>
      <c r="R20" s="4">
        <f t="shared" si="30"/>
        <v>1</v>
      </c>
      <c r="S20" s="4">
        <f t="shared" si="31"/>
        <v>1</v>
      </c>
      <c r="T20" s="4">
        <f t="shared" ref="T20:T30" si="32">IF(OR($C20-$C$19=0,AND($C$19=0,$D$19=0)),1,$C20-$C$19)</f>
        <v>1</v>
      </c>
      <c r="U20" s="17">
        <v>1</v>
      </c>
      <c r="V20" s="4">
        <f t="shared" si="7"/>
        <v>1</v>
      </c>
      <c r="W20" s="4">
        <f t="shared" si="15"/>
        <v>1</v>
      </c>
      <c r="X20" s="4">
        <f t="shared" si="16"/>
        <v>1</v>
      </c>
      <c r="Y20" s="4">
        <f t="shared" si="17"/>
        <v>1</v>
      </c>
      <c r="Z20" s="4">
        <f t="shared" si="18"/>
        <v>1</v>
      </c>
      <c r="AA20" s="4">
        <f t="shared" si="19"/>
        <v>1</v>
      </c>
      <c r="AB20" s="4">
        <f t="shared" si="20"/>
        <v>1</v>
      </c>
      <c r="AC20" s="4">
        <f t="shared" si="21"/>
        <v>1</v>
      </c>
      <c r="AD20" s="4">
        <f t="shared" si="22"/>
        <v>1</v>
      </c>
      <c r="AE20" s="4">
        <f t="shared" si="23"/>
        <v>1</v>
      </c>
    </row>
    <row r="21" spans="2:31" x14ac:dyDescent="0.25">
      <c r="B21" s="10">
        <v>16</v>
      </c>
      <c r="C21" s="63"/>
      <c r="D21" s="28"/>
      <c r="E21" s="16">
        <f>IF(AND(V4&lt;0.0000000001,V4&gt;-0.0000000001),0,(D21*PRODUCT($F$4:$AE$4)/V4)/(PRODUCT(F21:AE21)))</f>
        <v>0</v>
      </c>
      <c r="F21" s="4">
        <f t="shared" si="24"/>
        <v>1</v>
      </c>
      <c r="G21" s="4">
        <f t="shared" si="8"/>
        <v>1</v>
      </c>
      <c r="H21" s="4">
        <f t="shared" si="25"/>
        <v>1</v>
      </c>
      <c r="I21" s="4">
        <f t="shared" si="9"/>
        <v>1</v>
      </c>
      <c r="J21" s="4">
        <f t="shared" si="10"/>
        <v>1</v>
      </c>
      <c r="K21" s="4">
        <f t="shared" si="11"/>
        <v>1</v>
      </c>
      <c r="L21" s="4">
        <f t="shared" si="12"/>
        <v>1</v>
      </c>
      <c r="M21" s="4">
        <f t="shared" si="26"/>
        <v>1</v>
      </c>
      <c r="N21" s="4">
        <f t="shared" si="13"/>
        <v>1</v>
      </c>
      <c r="O21" s="4">
        <f t="shared" si="27"/>
        <v>1</v>
      </c>
      <c r="P21" s="4">
        <f t="shared" si="28"/>
        <v>1</v>
      </c>
      <c r="Q21" s="4">
        <f t="shared" si="29"/>
        <v>1</v>
      </c>
      <c r="R21" s="4">
        <f t="shared" si="30"/>
        <v>1</v>
      </c>
      <c r="S21" s="4">
        <f t="shared" si="31"/>
        <v>1</v>
      </c>
      <c r="T21" s="4">
        <f t="shared" si="32"/>
        <v>1</v>
      </c>
      <c r="U21" s="4">
        <f t="shared" ref="U21:U30" si="33">IF(OR($C21-$C$20=0,AND($C$20=0,$D$20=0)),1,$C21-$C$20)</f>
        <v>1</v>
      </c>
      <c r="V21" s="17">
        <v>1</v>
      </c>
      <c r="W21" s="4">
        <f t="shared" si="15"/>
        <v>1</v>
      </c>
      <c r="X21" s="4">
        <f t="shared" si="16"/>
        <v>1</v>
      </c>
      <c r="Y21" s="4">
        <f t="shared" si="17"/>
        <v>1</v>
      </c>
      <c r="Z21" s="4">
        <f t="shared" si="18"/>
        <v>1</v>
      </c>
      <c r="AA21" s="4">
        <f t="shared" si="19"/>
        <v>1</v>
      </c>
      <c r="AB21" s="4">
        <f t="shared" si="20"/>
        <v>1</v>
      </c>
      <c r="AC21" s="4">
        <f t="shared" si="21"/>
        <v>1</v>
      </c>
      <c r="AD21" s="4">
        <f t="shared" si="22"/>
        <v>1</v>
      </c>
      <c r="AE21" s="4">
        <f t="shared" si="23"/>
        <v>1</v>
      </c>
    </row>
    <row r="22" spans="2:31" x14ac:dyDescent="0.25">
      <c r="B22" s="10">
        <v>17</v>
      </c>
      <c r="C22" s="63"/>
      <c r="D22" s="28"/>
      <c r="E22" s="16">
        <f>IF(AND(W4&lt;0.0000000001,W4&gt;-0.0000000001),0,(D22*PRODUCT($F$4:$AE$4)/W4)/(PRODUCT(F22:AE22)))</f>
        <v>0</v>
      </c>
      <c r="F22" s="4">
        <f t="shared" si="24"/>
        <v>1</v>
      </c>
      <c r="G22" s="4">
        <f t="shared" si="8"/>
        <v>1</v>
      </c>
      <c r="H22" s="4">
        <f t="shared" si="25"/>
        <v>1</v>
      </c>
      <c r="I22" s="4">
        <f t="shared" si="9"/>
        <v>1</v>
      </c>
      <c r="J22" s="4">
        <f t="shared" si="10"/>
        <v>1</v>
      </c>
      <c r="K22" s="4">
        <f t="shared" si="11"/>
        <v>1</v>
      </c>
      <c r="L22" s="4">
        <f t="shared" si="12"/>
        <v>1</v>
      </c>
      <c r="M22" s="4">
        <f t="shared" si="26"/>
        <v>1</v>
      </c>
      <c r="N22" s="4">
        <f t="shared" si="13"/>
        <v>1</v>
      </c>
      <c r="O22" s="4">
        <f t="shared" si="14"/>
        <v>1</v>
      </c>
      <c r="P22" s="4">
        <f t="shared" si="28"/>
        <v>1</v>
      </c>
      <c r="Q22" s="4">
        <f t="shared" si="29"/>
        <v>1</v>
      </c>
      <c r="R22" s="4">
        <f t="shared" si="30"/>
        <v>1</v>
      </c>
      <c r="S22" s="4">
        <f t="shared" si="31"/>
        <v>1</v>
      </c>
      <c r="T22" s="4">
        <f t="shared" si="32"/>
        <v>1</v>
      </c>
      <c r="U22" s="4">
        <f t="shared" si="33"/>
        <v>1</v>
      </c>
      <c r="V22" s="4">
        <f t="shared" ref="V22:V30" si="34">IF(OR($C22-$C$21=0,AND($C$21=0,$D$21=0)),1,$C22-$C$21)</f>
        <v>1</v>
      </c>
      <c r="W22" s="17">
        <v>1</v>
      </c>
      <c r="X22" s="4">
        <f t="shared" si="16"/>
        <v>1</v>
      </c>
      <c r="Y22" s="4">
        <f t="shared" si="17"/>
        <v>1</v>
      </c>
      <c r="Z22" s="4">
        <f t="shared" si="18"/>
        <v>1</v>
      </c>
      <c r="AA22" s="4">
        <f t="shared" si="19"/>
        <v>1</v>
      </c>
      <c r="AB22" s="4">
        <f t="shared" si="20"/>
        <v>1</v>
      </c>
      <c r="AC22" s="4">
        <f t="shared" si="21"/>
        <v>1</v>
      </c>
      <c r="AD22" s="4">
        <f t="shared" si="22"/>
        <v>1</v>
      </c>
      <c r="AE22" s="4">
        <f t="shared" si="23"/>
        <v>1</v>
      </c>
    </row>
    <row r="23" spans="2:31" x14ac:dyDescent="0.25">
      <c r="B23" s="10">
        <v>18</v>
      </c>
      <c r="C23" s="63"/>
      <c r="D23" s="28"/>
      <c r="E23" s="16">
        <f>IF(AND(X4&lt;0.0000000001,X4&gt;-0.0000000001),0,(D23*PRODUCT($F$4:$AE$4)/X4)/(PRODUCT(F23:AE23)))</f>
        <v>0</v>
      </c>
      <c r="F23" s="4">
        <f t="shared" si="24"/>
        <v>1</v>
      </c>
      <c r="G23" s="4">
        <f t="shared" si="8"/>
        <v>1</v>
      </c>
      <c r="H23" s="4">
        <f t="shared" si="25"/>
        <v>1</v>
      </c>
      <c r="I23" s="4">
        <f t="shared" si="9"/>
        <v>1</v>
      </c>
      <c r="J23" s="4">
        <f t="shared" si="10"/>
        <v>1</v>
      </c>
      <c r="K23" s="4">
        <f t="shared" si="11"/>
        <v>1</v>
      </c>
      <c r="L23" s="4">
        <f t="shared" si="12"/>
        <v>1</v>
      </c>
      <c r="M23" s="4">
        <f t="shared" si="26"/>
        <v>1</v>
      </c>
      <c r="N23" s="4">
        <f t="shared" si="13"/>
        <v>1</v>
      </c>
      <c r="O23" s="4">
        <f t="shared" si="14"/>
        <v>1</v>
      </c>
      <c r="P23" s="4">
        <f t="shared" si="28"/>
        <v>1</v>
      </c>
      <c r="Q23" s="4">
        <f t="shared" si="29"/>
        <v>1</v>
      </c>
      <c r="R23" s="4">
        <f t="shared" si="30"/>
        <v>1</v>
      </c>
      <c r="S23" s="4">
        <f t="shared" si="31"/>
        <v>1</v>
      </c>
      <c r="T23" s="4">
        <f t="shared" si="32"/>
        <v>1</v>
      </c>
      <c r="U23" s="4">
        <f t="shared" si="33"/>
        <v>1</v>
      </c>
      <c r="V23" s="4">
        <f t="shared" si="34"/>
        <v>1</v>
      </c>
      <c r="W23" s="4">
        <f>IF(OR($C23-$C$22=0,AND($C$22=0,$D$22=0)),1,$C23-$C$22)</f>
        <v>1</v>
      </c>
      <c r="X23" s="17">
        <v>1</v>
      </c>
      <c r="Y23" s="4">
        <f>IF(OR($C23-$C$24=0,AND($C$24=0,$D$24=0)),1,$C23-$C$24)</f>
        <v>1</v>
      </c>
      <c r="Z23" s="4">
        <f>IF(OR($C23-$C$25=0,AND($C$25=0,$D$25=0)),1,$C23-$C$25)</f>
        <v>1</v>
      </c>
      <c r="AA23" s="4">
        <f t="shared" si="19"/>
        <v>1</v>
      </c>
      <c r="AB23" s="4">
        <f t="shared" si="20"/>
        <v>1</v>
      </c>
      <c r="AC23" s="4">
        <f t="shared" si="21"/>
        <v>1</v>
      </c>
      <c r="AD23" s="4">
        <f t="shared" si="22"/>
        <v>1</v>
      </c>
      <c r="AE23" s="4">
        <f t="shared" si="23"/>
        <v>1</v>
      </c>
    </row>
    <row r="24" spans="2:31" x14ac:dyDescent="0.25">
      <c r="B24" s="10">
        <v>19</v>
      </c>
      <c r="C24" s="63"/>
      <c r="D24" s="28"/>
      <c r="E24" s="16">
        <f>IF(AND(Y4&lt;0.0000000001,Y4&gt;-0.0000000001),0,(D24*PRODUCT($F$4:$AE$4)/Y4)/(PRODUCT(F24:AE24)))</f>
        <v>0</v>
      </c>
      <c r="F24" s="4">
        <f t="shared" si="24"/>
        <v>1</v>
      </c>
      <c r="G24" s="4">
        <f t="shared" si="8"/>
        <v>1</v>
      </c>
      <c r="H24" s="4">
        <f t="shared" si="25"/>
        <v>1</v>
      </c>
      <c r="I24" s="4">
        <f t="shared" si="9"/>
        <v>1</v>
      </c>
      <c r="J24" s="4">
        <f t="shared" si="10"/>
        <v>1</v>
      </c>
      <c r="K24" s="4">
        <f t="shared" si="11"/>
        <v>1</v>
      </c>
      <c r="L24" s="4">
        <f t="shared" si="12"/>
        <v>1</v>
      </c>
      <c r="M24" s="4">
        <f t="shared" si="26"/>
        <v>1</v>
      </c>
      <c r="N24" s="4">
        <f t="shared" si="13"/>
        <v>1</v>
      </c>
      <c r="O24" s="4">
        <f t="shared" si="14"/>
        <v>1</v>
      </c>
      <c r="P24" s="4">
        <f t="shared" si="28"/>
        <v>1</v>
      </c>
      <c r="Q24" s="4">
        <f t="shared" si="29"/>
        <v>1</v>
      </c>
      <c r="R24" s="4">
        <f t="shared" si="30"/>
        <v>1</v>
      </c>
      <c r="S24" s="4">
        <f t="shared" si="31"/>
        <v>1</v>
      </c>
      <c r="T24" s="4">
        <f t="shared" si="32"/>
        <v>1</v>
      </c>
      <c r="U24" s="4">
        <f t="shared" si="33"/>
        <v>1</v>
      </c>
      <c r="V24" s="4">
        <f t="shared" si="34"/>
        <v>1</v>
      </c>
      <c r="W24" s="4">
        <f t="shared" si="15"/>
        <v>1</v>
      </c>
      <c r="X24" s="4">
        <f t="shared" si="16"/>
        <v>1</v>
      </c>
      <c r="Y24" s="17">
        <v>1</v>
      </c>
      <c r="Z24" s="4">
        <f t="shared" si="18"/>
        <v>1</v>
      </c>
      <c r="AA24" s="4">
        <f t="shared" si="19"/>
        <v>1</v>
      </c>
      <c r="AB24" s="4">
        <f t="shared" si="20"/>
        <v>1</v>
      </c>
      <c r="AC24" s="4">
        <f t="shared" si="21"/>
        <v>1</v>
      </c>
      <c r="AD24" s="4">
        <f t="shared" si="22"/>
        <v>1</v>
      </c>
      <c r="AE24" s="4">
        <f t="shared" si="23"/>
        <v>1</v>
      </c>
    </row>
    <row r="25" spans="2:31" x14ac:dyDescent="0.25">
      <c r="B25" s="20">
        <v>20</v>
      </c>
      <c r="C25" s="63"/>
      <c r="D25" s="28"/>
      <c r="E25" s="21">
        <f>IF(AND(Z4&lt;0.0000000001,Z4&gt;-0.0000000001),0,(D25*PRODUCT($F$4:$AE$4)/Z4)/(PRODUCT(F25:AE25)))</f>
        <v>0</v>
      </c>
      <c r="F25" s="22">
        <f t="shared" si="24"/>
        <v>1</v>
      </c>
      <c r="G25" s="22">
        <f t="shared" si="8"/>
        <v>1</v>
      </c>
      <c r="H25" s="22">
        <f t="shared" si="25"/>
        <v>1</v>
      </c>
      <c r="I25" s="22">
        <f t="shared" si="9"/>
        <v>1</v>
      </c>
      <c r="J25" s="22">
        <f t="shared" si="10"/>
        <v>1</v>
      </c>
      <c r="K25" s="22">
        <f t="shared" si="11"/>
        <v>1</v>
      </c>
      <c r="L25" s="22">
        <f t="shared" si="12"/>
        <v>1</v>
      </c>
      <c r="M25" s="22">
        <f t="shared" si="26"/>
        <v>1</v>
      </c>
      <c r="N25" s="22">
        <f t="shared" si="13"/>
        <v>1</v>
      </c>
      <c r="O25" s="22">
        <f t="shared" si="14"/>
        <v>1</v>
      </c>
      <c r="P25" s="22">
        <f t="shared" si="28"/>
        <v>1</v>
      </c>
      <c r="Q25" s="22">
        <f t="shared" si="29"/>
        <v>1</v>
      </c>
      <c r="R25" s="22">
        <f t="shared" si="30"/>
        <v>1</v>
      </c>
      <c r="S25" s="22">
        <f t="shared" si="31"/>
        <v>1</v>
      </c>
      <c r="T25" s="22">
        <f t="shared" si="32"/>
        <v>1</v>
      </c>
      <c r="U25" s="22">
        <f t="shared" si="33"/>
        <v>1</v>
      </c>
      <c r="V25" s="22">
        <f t="shared" si="34"/>
        <v>1</v>
      </c>
      <c r="W25" s="22">
        <f t="shared" si="15"/>
        <v>1</v>
      </c>
      <c r="X25" s="22">
        <f t="shared" si="16"/>
        <v>1</v>
      </c>
      <c r="Y25" s="22">
        <f t="shared" si="17"/>
        <v>1</v>
      </c>
      <c r="Z25" s="17">
        <v>1</v>
      </c>
      <c r="AA25" s="4">
        <f t="shared" si="19"/>
        <v>1</v>
      </c>
      <c r="AB25" s="4">
        <f t="shared" si="20"/>
        <v>1</v>
      </c>
      <c r="AC25" s="4">
        <f t="shared" si="21"/>
        <v>1</v>
      </c>
      <c r="AD25" s="4">
        <f t="shared" si="22"/>
        <v>1</v>
      </c>
      <c r="AE25" s="4">
        <f t="shared" si="23"/>
        <v>1</v>
      </c>
    </row>
    <row r="26" spans="2:31" x14ac:dyDescent="0.25">
      <c r="B26" s="10">
        <v>21</v>
      </c>
      <c r="C26" s="63"/>
      <c r="D26" s="28"/>
      <c r="E26" s="16">
        <f>IF(AND(AA4&lt;0.0000000001,AA4&gt;-0.0000000001),0,(D26*PRODUCT($F$4:$AE$4)/AA4)/(PRODUCT(F26:AE26)))</f>
        <v>0</v>
      </c>
      <c r="F26" s="4">
        <f t="shared" si="24"/>
        <v>1</v>
      </c>
      <c r="G26" s="4">
        <f t="shared" si="8"/>
        <v>1</v>
      </c>
      <c r="H26" s="4">
        <f t="shared" si="25"/>
        <v>1</v>
      </c>
      <c r="I26" s="4">
        <f t="shared" si="9"/>
        <v>1</v>
      </c>
      <c r="J26" s="4">
        <f t="shared" si="10"/>
        <v>1</v>
      </c>
      <c r="K26" s="4">
        <f t="shared" si="11"/>
        <v>1</v>
      </c>
      <c r="L26" s="4">
        <f t="shared" si="12"/>
        <v>1</v>
      </c>
      <c r="M26" s="4">
        <f t="shared" si="26"/>
        <v>1</v>
      </c>
      <c r="N26" s="4">
        <f t="shared" si="13"/>
        <v>1</v>
      </c>
      <c r="O26" s="4">
        <f t="shared" si="14"/>
        <v>1</v>
      </c>
      <c r="P26" s="4">
        <f t="shared" si="28"/>
        <v>1</v>
      </c>
      <c r="Q26" s="4">
        <f t="shared" si="29"/>
        <v>1</v>
      </c>
      <c r="R26" s="4">
        <f t="shared" si="30"/>
        <v>1</v>
      </c>
      <c r="S26" s="4">
        <f t="shared" si="31"/>
        <v>1</v>
      </c>
      <c r="T26" s="4">
        <f t="shared" si="32"/>
        <v>1</v>
      </c>
      <c r="U26" s="4">
        <f t="shared" si="33"/>
        <v>1</v>
      </c>
      <c r="V26" s="4">
        <f t="shared" si="34"/>
        <v>1</v>
      </c>
      <c r="W26" s="4">
        <f t="shared" si="15"/>
        <v>1</v>
      </c>
      <c r="X26" s="4">
        <f t="shared" si="16"/>
        <v>1</v>
      </c>
      <c r="Y26" s="22">
        <f t="shared" si="17"/>
        <v>1</v>
      </c>
      <c r="Z26" s="4">
        <f t="shared" si="18"/>
        <v>1</v>
      </c>
      <c r="AA26" s="23">
        <v>1</v>
      </c>
      <c r="AB26" s="4">
        <f t="shared" si="20"/>
        <v>1</v>
      </c>
      <c r="AC26" s="4">
        <f t="shared" si="21"/>
        <v>1</v>
      </c>
      <c r="AD26" s="4">
        <f t="shared" si="22"/>
        <v>1</v>
      </c>
      <c r="AE26" s="4">
        <f t="shared" si="23"/>
        <v>1</v>
      </c>
    </row>
    <row r="27" spans="2:31" x14ac:dyDescent="0.25">
      <c r="B27" s="10">
        <v>22</v>
      </c>
      <c r="C27" s="63"/>
      <c r="D27" s="28"/>
      <c r="E27" s="16">
        <f>IF(AND(AB4&lt;0.0000000001,AB4&gt;-0.0000000001),0,(D27*PRODUCT($F$4:$AE$4)/AB4)/(PRODUCT(F27:AE27)))</f>
        <v>0</v>
      </c>
      <c r="F27" s="22">
        <f t="shared" si="24"/>
        <v>1</v>
      </c>
      <c r="G27" s="22">
        <f t="shared" si="8"/>
        <v>1</v>
      </c>
      <c r="H27" s="22">
        <f t="shared" si="25"/>
        <v>1</v>
      </c>
      <c r="I27" s="22">
        <f t="shared" si="9"/>
        <v>1</v>
      </c>
      <c r="J27" s="22">
        <f t="shared" si="10"/>
        <v>1</v>
      </c>
      <c r="K27" s="22">
        <f t="shared" si="11"/>
        <v>1</v>
      </c>
      <c r="L27" s="22">
        <f t="shared" si="12"/>
        <v>1</v>
      </c>
      <c r="M27" s="22">
        <f t="shared" si="26"/>
        <v>1</v>
      </c>
      <c r="N27" s="22">
        <f t="shared" si="13"/>
        <v>1</v>
      </c>
      <c r="O27" s="22">
        <f t="shared" si="14"/>
        <v>1</v>
      </c>
      <c r="P27" s="22">
        <f t="shared" si="28"/>
        <v>1</v>
      </c>
      <c r="Q27" s="22">
        <f t="shared" si="29"/>
        <v>1</v>
      </c>
      <c r="R27" s="22">
        <f t="shared" si="30"/>
        <v>1</v>
      </c>
      <c r="S27" s="22">
        <f t="shared" si="31"/>
        <v>1</v>
      </c>
      <c r="T27" s="22">
        <f t="shared" si="32"/>
        <v>1</v>
      </c>
      <c r="U27" s="22">
        <f t="shared" si="33"/>
        <v>1</v>
      </c>
      <c r="V27" s="22">
        <f t="shared" si="34"/>
        <v>1</v>
      </c>
      <c r="W27" s="22">
        <f t="shared" si="15"/>
        <v>1</v>
      </c>
      <c r="X27" s="22">
        <f t="shared" si="16"/>
        <v>1</v>
      </c>
      <c r="Y27" s="22">
        <f t="shared" si="17"/>
        <v>1</v>
      </c>
      <c r="Z27" s="4">
        <f t="shared" si="18"/>
        <v>1</v>
      </c>
      <c r="AA27" s="4">
        <f t="shared" si="19"/>
        <v>1</v>
      </c>
      <c r="AB27" s="23">
        <v>1</v>
      </c>
      <c r="AC27" s="4">
        <f t="shared" si="21"/>
        <v>1</v>
      </c>
      <c r="AD27" s="4">
        <f t="shared" si="22"/>
        <v>1</v>
      </c>
      <c r="AE27" s="4">
        <f t="shared" si="23"/>
        <v>1</v>
      </c>
    </row>
    <row r="28" spans="2:31" x14ac:dyDescent="0.25">
      <c r="B28" s="10">
        <v>23</v>
      </c>
      <c r="C28" s="63"/>
      <c r="D28" s="29"/>
      <c r="E28" s="16">
        <f>IF(AND(AC4&lt;0.0000000001,AC4&gt;-0.0000000001),0,(D28*PRODUCT($F$4:$AE$4)/AC4)/(PRODUCT(F28:AE28)))</f>
        <v>0</v>
      </c>
      <c r="F28" s="4">
        <f t="shared" si="24"/>
        <v>1</v>
      </c>
      <c r="G28" s="4">
        <f t="shared" si="8"/>
        <v>1</v>
      </c>
      <c r="H28" s="4">
        <f t="shared" si="25"/>
        <v>1</v>
      </c>
      <c r="I28" s="4">
        <f t="shared" si="9"/>
        <v>1</v>
      </c>
      <c r="J28" s="4">
        <f t="shared" si="10"/>
        <v>1</v>
      </c>
      <c r="K28" s="4">
        <f t="shared" si="11"/>
        <v>1</v>
      </c>
      <c r="L28" s="4">
        <f t="shared" si="12"/>
        <v>1</v>
      </c>
      <c r="M28" s="4">
        <f t="shared" si="26"/>
        <v>1</v>
      </c>
      <c r="N28" s="4">
        <f t="shared" si="13"/>
        <v>1</v>
      </c>
      <c r="O28" s="4">
        <f t="shared" si="14"/>
        <v>1</v>
      </c>
      <c r="P28" s="4">
        <f t="shared" si="28"/>
        <v>1</v>
      </c>
      <c r="Q28" s="4">
        <f t="shared" si="29"/>
        <v>1</v>
      </c>
      <c r="R28" s="4">
        <f t="shared" si="30"/>
        <v>1</v>
      </c>
      <c r="S28" s="4">
        <f t="shared" si="31"/>
        <v>1</v>
      </c>
      <c r="T28" s="4">
        <f t="shared" si="32"/>
        <v>1</v>
      </c>
      <c r="U28" s="4">
        <f t="shared" si="33"/>
        <v>1</v>
      </c>
      <c r="V28" s="4">
        <f t="shared" si="34"/>
        <v>1</v>
      </c>
      <c r="W28" s="4">
        <f t="shared" si="15"/>
        <v>1</v>
      </c>
      <c r="X28" s="4">
        <f t="shared" si="16"/>
        <v>1</v>
      </c>
      <c r="Y28" s="22">
        <f t="shared" si="17"/>
        <v>1</v>
      </c>
      <c r="Z28" s="4">
        <f t="shared" si="18"/>
        <v>1</v>
      </c>
      <c r="AA28" s="4">
        <f t="shared" si="19"/>
        <v>1</v>
      </c>
      <c r="AB28" s="4">
        <f t="shared" si="20"/>
        <v>1</v>
      </c>
      <c r="AC28" s="23">
        <v>1</v>
      </c>
      <c r="AD28" s="4">
        <f t="shared" si="22"/>
        <v>1</v>
      </c>
      <c r="AE28" s="4">
        <f t="shared" si="23"/>
        <v>1</v>
      </c>
    </row>
    <row r="29" spans="2:31" x14ac:dyDescent="0.25">
      <c r="B29" s="10">
        <v>24</v>
      </c>
      <c r="C29" s="63"/>
      <c r="D29" s="28"/>
      <c r="E29" s="16">
        <f>IF(AND(AD4&lt;0.0000000001,AD4&gt;-0.0000000001),0,(D29*PRODUCT($F$4:$AE$4)/AD4)/(PRODUCT(F29:AE29)))</f>
        <v>0</v>
      </c>
      <c r="F29" s="22">
        <f t="shared" si="24"/>
        <v>1</v>
      </c>
      <c r="G29" s="22">
        <f t="shared" si="8"/>
        <v>1</v>
      </c>
      <c r="H29" s="22">
        <f t="shared" si="25"/>
        <v>1</v>
      </c>
      <c r="I29" s="22">
        <f t="shared" si="9"/>
        <v>1</v>
      </c>
      <c r="J29" s="22">
        <f t="shared" si="10"/>
        <v>1</v>
      </c>
      <c r="K29" s="22">
        <f t="shared" si="11"/>
        <v>1</v>
      </c>
      <c r="L29" s="22">
        <f t="shared" si="12"/>
        <v>1</v>
      </c>
      <c r="M29" s="22">
        <f t="shared" si="26"/>
        <v>1</v>
      </c>
      <c r="N29" s="22">
        <f t="shared" si="13"/>
        <v>1</v>
      </c>
      <c r="O29" s="22">
        <f t="shared" si="14"/>
        <v>1</v>
      </c>
      <c r="P29" s="22">
        <f t="shared" si="28"/>
        <v>1</v>
      </c>
      <c r="Q29" s="22">
        <f t="shared" si="29"/>
        <v>1</v>
      </c>
      <c r="R29" s="22">
        <f t="shared" si="30"/>
        <v>1</v>
      </c>
      <c r="S29" s="22">
        <f t="shared" si="31"/>
        <v>1</v>
      </c>
      <c r="T29" s="22">
        <f t="shared" si="32"/>
        <v>1</v>
      </c>
      <c r="U29" s="22">
        <f t="shared" si="33"/>
        <v>1</v>
      </c>
      <c r="V29" s="22">
        <f t="shared" si="34"/>
        <v>1</v>
      </c>
      <c r="W29" s="22">
        <f t="shared" si="15"/>
        <v>1</v>
      </c>
      <c r="X29" s="22">
        <f t="shared" si="16"/>
        <v>1</v>
      </c>
      <c r="Y29" s="22">
        <f t="shared" si="17"/>
        <v>1</v>
      </c>
      <c r="Z29" s="4">
        <f t="shared" si="18"/>
        <v>1</v>
      </c>
      <c r="AA29" s="4">
        <f t="shared" si="19"/>
        <v>1</v>
      </c>
      <c r="AB29" s="4">
        <f t="shared" si="20"/>
        <v>1</v>
      </c>
      <c r="AC29" s="4">
        <f t="shared" si="21"/>
        <v>1</v>
      </c>
      <c r="AD29" s="23">
        <v>1</v>
      </c>
      <c r="AE29" s="4">
        <f t="shared" si="23"/>
        <v>1</v>
      </c>
    </row>
    <row r="30" spans="2:31" x14ac:dyDescent="0.25">
      <c r="B30" s="20">
        <v>25</v>
      </c>
      <c r="C30" s="64"/>
      <c r="D30" s="27"/>
      <c r="E30" s="16">
        <f>IF(AND(AE4&lt;0.0000000001,AE4&gt;-0.0000000001),0,(D30*PRODUCT($F$4:$AE$4)/AE4)/(PRODUCT(F30:AE30)))</f>
        <v>0</v>
      </c>
      <c r="F30" s="4">
        <f t="shared" si="24"/>
        <v>1</v>
      </c>
      <c r="G30" s="4">
        <f t="shared" si="8"/>
        <v>1</v>
      </c>
      <c r="H30" s="4">
        <f t="shared" si="25"/>
        <v>1</v>
      </c>
      <c r="I30" s="4">
        <f t="shared" si="9"/>
        <v>1</v>
      </c>
      <c r="J30" s="4">
        <f t="shared" si="10"/>
        <v>1</v>
      </c>
      <c r="K30" s="4">
        <f t="shared" si="11"/>
        <v>1</v>
      </c>
      <c r="L30" s="4">
        <f t="shared" si="12"/>
        <v>1</v>
      </c>
      <c r="M30" s="4">
        <f t="shared" si="26"/>
        <v>1</v>
      </c>
      <c r="N30" s="4">
        <f t="shared" si="13"/>
        <v>1</v>
      </c>
      <c r="O30" s="4">
        <f t="shared" si="14"/>
        <v>1</v>
      </c>
      <c r="P30" s="4">
        <f t="shared" si="28"/>
        <v>1</v>
      </c>
      <c r="Q30" s="4">
        <f t="shared" si="29"/>
        <v>1</v>
      </c>
      <c r="R30" s="4">
        <f t="shared" si="30"/>
        <v>1</v>
      </c>
      <c r="S30" s="4">
        <f t="shared" si="31"/>
        <v>1</v>
      </c>
      <c r="T30" s="4">
        <f t="shared" si="32"/>
        <v>1</v>
      </c>
      <c r="U30" s="4">
        <f t="shared" si="33"/>
        <v>1</v>
      </c>
      <c r="V30" s="4">
        <f t="shared" si="34"/>
        <v>1</v>
      </c>
      <c r="W30" s="4">
        <f t="shared" si="15"/>
        <v>1</v>
      </c>
      <c r="X30" s="4">
        <f t="shared" si="16"/>
        <v>1</v>
      </c>
      <c r="Y30" s="4">
        <f t="shared" si="17"/>
        <v>1</v>
      </c>
      <c r="Z30" s="4">
        <f t="shared" si="18"/>
        <v>1</v>
      </c>
      <c r="AA30" s="4">
        <f t="shared" si="19"/>
        <v>1</v>
      </c>
      <c r="AB30" s="4">
        <f t="shared" si="20"/>
        <v>1</v>
      </c>
      <c r="AC30" s="4">
        <f t="shared" si="21"/>
        <v>1</v>
      </c>
      <c r="AD30" s="4">
        <f t="shared" si="22"/>
        <v>1</v>
      </c>
      <c r="AE30" s="17">
        <v>1</v>
      </c>
    </row>
    <row r="32" spans="2:31" x14ac:dyDescent="0.25">
      <c r="D32" s="69">
        <v>0.99638459613799091</v>
      </c>
    </row>
    <row r="33" spans="2:31" ht="15.75" thickBot="1" x14ac:dyDescent="0.3">
      <c r="B33" s="6" t="s">
        <v>25</v>
      </c>
      <c r="C33" s="7" t="s">
        <v>26</v>
      </c>
      <c r="D33" s="7" t="s">
        <v>27</v>
      </c>
      <c r="E33" s="8" t="s">
        <v>28</v>
      </c>
      <c r="F33" s="9" t="s">
        <v>29</v>
      </c>
      <c r="G33" s="8" t="s">
        <v>30</v>
      </c>
      <c r="H33" s="9" t="s">
        <v>31</v>
      </c>
      <c r="I33" s="9" t="s">
        <v>32</v>
      </c>
      <c r="J33" s="8" t="s">
        <v>33</v>
      </c>
      <c r="K33" s="9" t="s">
        <v>34</v>
      </c>
      <c r="L33" s="9" t="s">
        <v>35</v>
      </c>
      <c r="M33" s="8" t="s">
        <v>36</v>
      </c>
      <c r="N33" s="9" t="s">
        <v>37</v>
      </c>
      <c r="O33" s="9" t="s">
        <v>38</v>
      </c>
      <c r="P33" s="9" t="s">
        <v>39</v>
      </c>
      <c r="Q33" s="8" t="s">
        <v>40</v>
      </c>
      <c r="R33" s="9" t="s">
        <v>41</v>
      </c>
      <c r="S33" s="9" t="s">
        <v>42</v>
      </c>
      <c r="T33" s="9" t="s">
        <v>43</v>
      </c>
      <c r="U33" s="9" t="s">
        <v>44</v>
      </c>
      <c r="V33" s="9" t="s">
        <v>45</v>
      </c>
      <c r="W33" s="9" t="s">
        <v>46</v>
      </c>
      <c r="X33" s="9" t="s">
        <v>47</v>
      </c>
      <c r="Y33" s="9" t="s">
        <v>48</v>
      </c>
      <c r="Z33" s="9" t="s">
        <v>49</v>
      </c>
      <c r="AA33" s="9" t="s">
        <v>50</v>
      </c>
      <c r="AB33" s="9" t="s">
        <v>51</v>
      </c>
      <c r="AC33" s="9" t="s">
        <v>52</v>
      </c>
      <c r="AD33" s="9" t="s">
        <v>53</v>
      </c>
      <c r="AE33" s="9" t="s">
        <v>54</v>
      </c>
    </row>
    <row r="34" spans="2:31" ht="15.75" thickBot="1" x14ac:dyDescent="0.3">
      <c r="B34" s="10" t="s">
        <v>55</v>
      </c>
      <c r="C34" s="11">
        <v>46.372023651577415</v>
      </c>
      <c r="D34" s="12">
        <f>IFERROR(IF(E34=1,VLOOKUP(C34,C35:D60,2,FALSE),SUM(E35:E60)),SUM(E35:E60))</f>
        <v>0</v>
      </c>
      <c r="E34" s="13">
        <f>COUNTIF(C35:C60,C34)</f>
        <v>0</v>
      </c>
      <c r="F34" s="4">
        <f>IF(OR($C34-$C$35=0,AND($C$35=0,$D$35=0)),1,$C34-$C$35)</f>
        <v>1</v>
      </c>
      <c r="G34" s="4">
        <f>IF(OR($C34-$C$36=0,AND($C$36=0,$D$36=0)),1,$C34-$C$36)</f>
        <v>1</v>
      </c>
      <c r="H34" s="4">
        <f>IF(OR($C34-$C$37=0,AND($C$37=0,$D$37=0)),1,$C34-$C$37)</f>
        <v>1</v>
      </c>
      <c r="I34" s="4">
        <f>IF(OR($C34-$C$38=0,AND($C$38=0,$D$38=0)),1,$C34-$C$38)</f>
        <v>1</v>
      </c>
      <c r="J34" s="4">
        <f>IF(OR($C34-$C$39=0,AND($C$39=0,$D$39=0)),1,$C34-$C$39)</f>
        <v>1</v>
      </c>
      <c r="K34" s="4">
        <f>IF(OR($C34-$C$40=0,AND($C$40=0,$D$40=0)),1,$C34-$C$40)</f>
        <v>1</v>
      </c>
      <c r="L34" s="4">
        <f>IF(OR($C34-$C$41=0,AND($C$41=0,$D$41=0)),1,$C34-$C$41)</f>
        <v>1</v>
      </c>
      <c r="M34" s="4">
        <f t="shared" ref="M34:M41" si="35">IF(OR($C34-$C$42=0,AND($C$42=0,$D$42=0)),1,$C34-$C$42)</f>
        <v>1</v>
      </c>
      <c r="N34" s="4">
        <f>IF(OR($C34-$C$43=0,AND($C$43=0,$D$43=0)),1,$C34-$C$43)</f>
        <v>1</v>
      </c>
      <c r="O34" s="4">
        <f>IF(OR($C34-$C$44=0,AND($C$44=0,$D$44=0)),1,$C34-$C$44)</f>
        <v>1</v>
      </c>
      <c r="P34" s="4">
        <f t="shared" ref="P34:P44" si="36">IF(OR($C34-$C$45=0,AND($C$45=0,$D$45=0)),1,$C34-$C$45)</f>
        <v>1</v>
      </c>
      <c r="Q34" s="4">
        <f t="shared" ref="Q34:Q45" si="37">IF(OR($C34-$C$46=0,AND($C$46=0,$D$46=0)),1,$C34-$C$46)</f>
        <v>1</v>
      </c>
      <c r="R34" s="4">
        <f t="shared" ref="R34:R46" si="38">IF(OR($C34-$C$47=0,AND($C$47=0,$D$47=0)),1,$C34-$C$47)</f>
        <v>1</v>
      </c>
      <c r="S34" s="4">
        <f t="shared" ref="S34:S47" si="39">IF(OR($C34-$C$48=0,AND($C$48=0,$D$48=0)),1,$C34-$C$48)</f>
        <v>1</v>
      </c>
      <c r="T34" s="4">
        <f t="shared" ref="T34:T48" si="40">IF(OR($C34-$C$49=0,AND($C$49=0,$D$49=0)),1,$C34-$C$49)</f>
        <v>1</v>
      </c>
      <c r="U34" s="4">
        <f t="shared" ref="U34:U49" si="41">IF(OR($C34-$C$50=0,AND($C$50=0,$D$50=0)),1,$C34-$C$50)</f>
        <v>1</v>
      </c>
      <c r="V34" s="4">
        <f t="shared" ref="V34:V50" si="42">IF(OR($C34-$C$51=0,AND($C$51=0,$D$51=0)),1,$C34-$C$51)</f>
        <v>1</v>
      </c>
      <c r="W34" s="4">
        <f>IF(OR($C34-$C$52=0,AND($C$52=0,$D$52=0)),1,$C34-$C$52)</f>
        <v>1</v>
      </c>
      <c r="X34" s="4">
        <f>IF(OR($C34-$C$53=0,AND($C$53=0,$D$53=0)),1,$C34-$C$53)</f>
        <v>1</v>
      </c>
      <c r="Y34" s="4">
        <f>IF(OR($C34-$C$54=0,AND($C$54=0,$D$54=0)),1,$C34-$C$54)</f>
        <v>1</v>
      </c>
      <c r="Z34" s="4">
        <f>IF(OR($C34-$C$55=0,AND($C$55=0,$D$55=0)),1,$C34-$C$55)</f>
        <v>1</v>
      </c>
      <c r="AA34" s="4">
        <f>IF(OR($C34-$C$56=0,AND($C$56=0,$D$56=0)),1,$C34-$C$56)</f>
        <v>1</v>
      </c>
      <c r="AB34" s="4">
        <f>IF(OR($C34-$C$57=0,AND($C$57=0,$D$57=0)),1,$C34-$C$57)</f>
        <v>1</v>
      </c>
      <c r="AC34" s="4">
        <f>IF(OR($C34-$C$58=0,AND($C$58=0,$D$58=0)),1,$C34-$C$58)</f>
        <v>1</v>
      </c>
      <c r="AD34" s="4">
        <f>IF(OR($C34-$C$59=0,AND($C$59=0,$D$59=0)),1,$C34-$C$59)</f>
        <v>1</v>
      </c>
      <c r="AE34" s="4">
        <f>IF(OR($C34-$C$60=0,AND($C$60=0,$D$60=0)),1,$C34-$C$60)</f>
        <v>1</v>
      </c>
    </row>
    <row r="35" spans="2:31" x14ac:dyDescent="0.25">
      <c r="B35" s="10">
        <v>0</v>
      </c>
      <c r="C35" s="14"/>
      <c r="D35" s="69"/>
      <c r="E35" s="16">
        <f>(D35*PRODUCT($F$34:$AE$34)/F34)/(PRODUCT(F35:AE35))</f>
        <v>0</v>
      </c>
      <c r="F35" s="17">
        <v>1</v>
      </c>
      <c r="G35" s="4">
        <f t="shared" ref="G35:G60" si="43">IF(OR($C35-$C$36=0,AND($C$36=0,$D$36=0)),1,$C35-$C$36)</f>
        <v>1</v>
      </c>
      <c r="H35" s="4">
        <f>IF(OR($C35-$C$37=0,AND($C$37=0,$D$37=0)),1,$C35-$C$37)</f>
        <v>1</v>
      </c>
      <c r="I35" s="4">
        <f t="shared" ref="I35:I60" si="44">IF(OR($C35-$C$38=0,AND($C$38=0,$D$38=0)),1,$C35-$C$38)</f>
        <v>1</v>
      </c>
      <c r="J35" s="4">
        <f t="shared" ref="J35:J60" si="45">IF(OR($C35-$C$39=0,AND($C$39=0,$D$39=0)),1,$C35-$C$39)</f>
        <v>1</v>
      </c>
      <c r="K35" s="4">
        <f t="shared" ref="K35:K60" si="46">IF(OR($C35-$C$40=0,AND($C$40=0,$D$40=0)),1,$C35-$C$40)</f>
        <v>1</v>
      </c>
      <c r="L35" s="4">
        <f t="shared" ref="L35:L60" si="47">IF(OR($C35-$C$41=0,AND($C$41=0,$D$41=0)),1,$C35-$C$41)</f>
        <v>1</v>
      </c>
      <c r="M35" s="4">
        <f t="shared" si="35"/>
        <v>1</v>
      </c>
      <c r="N35" s="4">
        <f t="shared" ref="N35:N60" si="48">IF(OR($C35-$C$43=0,AND($C$43=0,$D$43=0)),1,$C35-$C$43)</f>
        <v>1</v>
      </c>
      <c r="O35" s="4">
        <f t="shared" ref="O35:O60" si="49">IF(OR($C35-$C$44=0,AND($C$44=0,$D$44=0)),1,$C35-$C$44)</f>
        <v>1</v>
      </c>
      <c r="P35" s="4">
        <f t="shared" si="36"/>
        <v>1</v>
      </c>
      <c r="Q35" s="4">
        <f t="shared" si="37"/>
        <v>1</v>
      </c>
      <c r="R35" s="4">
        <f t="shared" si="38"/>
        <v>1</v>
      </c>
      <c r="S35" s="4">
        <f t="shared" si="39"/>
        <v>1</v>
      </c>
      <c r="T35" s="4">
        <f t="shared" si="40"/>
        <v>1</v>
      </c>
      <c r="U35" s="4">
        <f t="shared" si="41"/>
        <v>1</v>
      </c>
      <c r="V35" s="4">
        <f t="shared" si="42"/>
        <v>1</v>
      </c>
      <c r="W35" s="4">
        <f t="shared" ref="W35:W60" si="50">IF(OR($C35-$C$52=0,AND($C$52=0,$D$52=0)),1,$C35-$C$52)</f>
        <v>1</v>
      </c>
      <c r="X35" s="4">
        <f t="shared" ref="X35:X60" si="51">IF(OR($C35-$C$53=0,AND($C$53=0,$D$53=0)),1,$C35-$C$53)</f>
        <v>1</v>
      </c>
      <c r="Y35" s="4">
        <f t="shared" ref="Y35:Y60" si="52">IF(OR($C35-$C$54=0,AND($C$54=0,$D$54=0)),1,$C35-$C$54)</f>
        <v>1</v>
      </c>
      <c r="Z35" s="4">
        <f t="shared" ref="Z35:Z60" si="53">IF(OR($C35-$C$55=0,AND($C$55=0,$D$55=0)),1,$C35-$C$55)</f>
        <v>1</v>
      </c>
      <c r="AA35" s="4">
        <f t="shared" ref="AA35:AA60" si="54">IF(OR($C35-$C$56=0,AND($C$56=0,$D$56=0)),1,$C35-$C$56)</f>
        <v>1</v>
      </c>
      <c r="AB35" s="4">
        <f t="shared" ref="AB35:AB60" si="55">IF(OR($C35-$C$57=0,AND($C$57=0,$D$57=0)),1,$C35-$C$57)</f>
        <v>1</v>
      </c>
      <c r="AC35" s="4">
        <f t="shared" ref="AC35:AC60" si="56">IF(OR($C35-$C$58=0,AND($C$58=0,$D$58=0)),1,$C35-$C$58)</f>
        <v>1</v>
      </c>
      <c r="AD35" s="4">
        <f t="shared" ref="AD35:AD60" si="57">IF(OR($C35-$C$59=0,AND($C$59=0,$D$59=0)),1,$C35-$C$59)</f>
        <v>1</v>
      </c>
      <c r="AE35" s="4">
        <f t="shared" ref="AE35:AE59" si="58">IF(OR($C35-$C$60=0,AND($C$60=0,$D$60=0)),1,$C35-$C$60)</f>
        <v>1</v>
      </c>
    </row>
    <row r="36" spans="2:31" x14ac:dyDescent="0.25">
      <c r="B36" s="10">
        <v>1</v>
      </c>
      <c r="C36" s="14"/>
      <c r="D36" s="69"/>
      <c r="E36" s="16">
        <f>(D36*PRODUCT($F$34:$AE$34)/G34)/(PRODUCT(F36:AE36))</f>
        <v>0</v>
      </c>
      <c r="F36" s="4">
        <f t="shared" ref="F36:F60" si="59">IF(OR($C36-$C$35=0,AND($C$35=0,$D$35=0)),1,$C36-$C$35)</f>
        <v>1</v>
      </c>
      <c r="G36" s="17">
        <v>1</v>
      </c>
      <c r="H36" s="4">
        <f>IF(OR($C36-$C$37=0,AND($C$37=0,$D$37=0)),1,$C36-$C$37)</f>
        <v>1</v>
      </c>
      <c r="I36" s="4">
        <f t="shared" si="44"/>
        <v>1</v>
      </c>
      <c r="J36" s="4">
        <f t="shared" si="45"/>
        <v>1</v>
      </c>
      <c r="K36" s="4">
        <f t="shared" si="46"/>
        <v>1</v>
      </c>
      <c r="L36" s="4">
        <f t="shared" si="47"/>
        <v>1</v>
      </c>
      <c r="M36" s="4">
        <f t="shared" si="35"/>
        <v>1</v>
      </c>
      <c r="N36" s="4">
        <f t="shared" si="48"/>
        <v>1</v>
      </c>
      <c r="O36" s="4">
        <f t="shared" si="49"/>
        <v>1</v>
      </c>
      <c r="P36" s="4">
        <f t="shared" si="36"/>
        <v>1</v>
      </c>
      <c r="Q36" s="4">
        <f t="shared" si="37"/>
        <v>1</v>
      </c>
      <c r="R36" s="4">
        <f t="shared" si="38"/>
        <v>1</v>
      </c>
      <c r="S36" s="4">
        <f t="shared" si="39"/>
        <v>1</v>
      </c>
      <c r="T36" s="4">
        <f t="shared" si="40"/>
        <v>1</v>
      </c>
      <c r="U36" s="4">
        <f t="shared" si="41"/>
        <v>1</v>
      </c>
      <c r="V36" s="4">
        <f t="shared" si="42"/>
        <v>1</v>
      </c>
      <c r="W36" s="4">
        <f t="shared" si="50"/>
        <v>1</v>
      </c>
      <c r="X36" s="4">
        <f t="shared" si="51"/>
        <v>1</v>
      </c>
      <c r="Y36" s="4">
        <f t="shared" si="52"/>
        <v>1</v>
      </c>
      <c r="Z36" s="4">
        <f t="shared" si="53"/>
        <v>1</v>
      </c>
      <c r="AA36" s="4">
        <f t="shared" si="54"/>
        <v>1</v>
      </c>
      <c r="AB36" s="4">
        <f t="shared" si="55"/>
        <v>1</v>
      </c>
      <c r="AC36" s="4">
        <f t="shared" si="56"/>
        <v>1</v>
      </c>
      <c r="AD36" s="4">
        <f t="shared" si="57"/>
        <v>1</v>
      </c>
      <c r="AE36" s="4">
        <f t="shared" si="58"/>
        <v>1</v>
      </c>
    </row>
    <row r="37" spans="2:31" x14ac:dyDescent="0.25">
      <c r="B37" s="10">
        <v>2</v>
      </c>
      <c r="C37" s="14"/>
      <c r="D37" s="69"/>
      <c r="E37" s="16">
        <f>(D37*PRODUCT($F$34:$AE$34)/H34)/(PRODUCT(F37:AE37))</f>
        <v>0</v>
      </c>
      <c r="F37" s="4">
        <f>IF(OR($C37-$C$35=0,AND($C$35=0,$D$35=0)),1,$C37-$C$35)</f>
        <v>1</v>
      </c>
      <c r="G37" s="4">
        <f>IF(OR($C37-$C$36=0,AND($C$36=0,$D$36=0)),1,$C37-$C$36)</f>
        <v>1</v>
      </c>
      <c r="H37" s="17">
        <v>1</v>
      </c>
      <c r="I37" s="4">
        <f>IF(OR($C37-$C$38=0,AND($C$38=0,$D$38=0)),1,$C37-$C$38)</f>
        <v>1</v>
      </c>
      <c r="J37" s="4">
        <f>IF(OR($C37-$C$39=0,AND($C$39=0,$D$39=0)),1,$C37-$C$39)</f>
        <v>1</v>
      </c>
      <c r="K37" s="4">
        <f>IF(OR($C37-$C$40=0,AND($C$40=0,$D$40=0)),1,$C37-$C$40)</f>
        <v>1</v>
      </c>
      <c r="L37" s="4">
        <f>IF(OR($C37-$C$41=0,AND($C$41=0,$D$41=0)),1,$C37-$C$41)</f>
        <v>1</v>
      </c>
      <c r="M37" s="4">
        <f t="shared" si="35"/>
        <v>1</v>
      </c>
      <c r="N37" s="4">
        <f>IF(OR($C37-$C$43=0,AND($C$43=0,$D$43=0)),1,$C37-$C$43)</f>
        <v>1</v>
      </c>
      <c r="O37" s="4">
        <f>IF(OR($C37-$C$44=0,AND($C$44=0,$D$44=0)),1,$C37-$C$44)</f>
        <v>1</v>
      </c>
      <c r="P37" s="4">
        <f t="shared" si="36"/>
        <v>1</v>
      </c>
      <c r="Q37" s="4">
        <f t="shared" si="37"/>
        <v>1</v>
      </c>
      <c r="R37" s="4">
        <f t="shared" si="38"/>
        <v>1</v>
      </c>
      <c r="S37" s="4">
        <f t="shared" si="39"/>
        <v>1</v>
      </c>
      <c r="T37" s="4">
        <f t="shared" si="40"/>
        <v>1</v>
      </c>
      <c r="U37" s="4">
        <f t="shared" si="41"/>
        <v>1</v>
      </c>
      <c r="V37" s="4">
        <f t="shared" si="42"/>
        <v>1</v>
      </c>
      <c r="W37" s="4">
        <f>IF(OR($C37-$C$52=0,AND($C$52=0,$D$52=0)),1,$C37-$C$52)</f>
        <v>1</v>
      </c>
      <c r="X37" s="4">
        <f>IF(OR($C37-$C$53=0,AND($C$53=0,$D$53=0)),1,$C37-$C$53)</f>
        <v>1</v>
      </c>
      <c r="Y37" s="4">
        <f>IF(OR($C37-$C$54=0,AND($C$54=0,$D$54=0)),1,$C37-$C$54)</f>
        <v>1</v>
      </c>
      <c r="Z37" s="4">
        <f>IF(OR($C37-$C$55=0,AND($C$55=0,$D$55=0)),1,$C37-$C$55)</f>
        <v>1</v>
      </c>
      <c r="AA37" s="4">
        <f>IF(OR($C37-$C$56=0,AND($C$56=0,$D$56=0)),1,$C37-$C$56)</f>
        <v>1</v>
      </c>
      <c r="AB37" s="4">
        <f>IF(OR($C37-$C$57=0,AND($C$57=0,$D$57=0)),1,$C37-$C$57)</f>
        <v>1</v>
      </c>
      <c r="AC37" s="4">
        <f>IF(OR($C37-$C$58=0,AND($C$58=0,$D$58=0)),1,$C37-$C$58)</f>
        <v>1</v>
      </c>
      <c r="AD37" s="4">
        <f>IF(OR($C37-$C$59=0,AND($C$59=0,$D$59=0)),1,$C37-$C$59)</f>
        <v>1</v>
      </c>
      <c r="AE37" s="4">
        <f>IF(OR($C37-$C$60=0,AND($C$60=0,$D$60=0)),1,$C37-$C$60)</f>
        <v>1</v>
      </c>
    </row>
    <row r="38" spans="2:31" x14ac:dyDescent="0.25">
      <c r="B38" s="10">
        <v>3</v>
      </c>
      <c r="C38" s="14"/>
      <c r="D38" s="69"/>
      <c r="E38" s="16">
        <f>(D38*PRODUCT($F$34:$AE$34)/I34)/(PRODUCT(F38:AE38))</f>
        <v>0</v>
      </c>
      <c r="F38" s="4">
        <f t="shared" si="59"/>
        <v>1</v>
      </c>
      <c r="G38" s="4">
        <f t="shared" si="43"/>
        <v>1</v>
      </c>
      <c r="H38" s="4">
        <f t="shared" ref="H38:H60" si="60">IF(OR($C38-$C$37=0,AND($C$37=0,$D$37=0)),1,$C38-$C$37)</f>
        <v>1</v>
      </c>
      <c r="I38" s="17">
        <v>1</v>
      </c>
      <c r="J38" s="4">
        <f t="shared" si="45"/>
        <v>1</v>
      </c>
      <c r="K38" s="4">
        <f t="shared" si="46"/>
        <v>1</v>
      </c>
      <c r="L38" s="4">
        <f t="shared" si="47"/>
        <v>1</v>
      </c>
      <c r="M38" s="4">
        <f t="shared" si="35"/>
        <v>1</v>
      </c>
      <c r="N38" s="4">
        <f t="shared" si="48"/>
        <v>1</v>
      </c>
      <c r="O38" s="4">
        <f t="shared" si="49"/>
        <v>1</v>
      </c>
      <c r="P38" s="4">
        <f t="shared" si="36"/>
        <v>1</v>
      </c>
      <c r="Q38" s="4">
        <f t="shared" si="37"/>
        <v>1</v>
      </c>
      <c r="R38" s="4">
        <f t="shared" si="38"/>
        <v>1</v>
      </c>
      <c r="S38" s="4">
        <f t="shared" si="39"/>
        <v>1</v>
      </c>
      <c r="T38" s="4">
        <f t="shared" si="40"/>
        <v>1</v>
      </c>
      <c r="U38" s="4">
        <f t="shared" si="41"/>
        <v>1</v>
      </c>
      <c r="V38" s="4">
        <f t="shared" si="42"/>
        <v>1</v>
      </c>
      <c r="W38" s="4">
        <f t="shared" si="50"/>
        <v>1</v>
      </c>
      <c r="X38" s="4">
        <f t="shared" si="51"/>
        <v>1</v>
      </c>
      <c r="Y38" s="4">
        <f t="shared" si="52"/>
        <v>1</v>
      </c>
      <c r="Z38" s="4">
        <f t="shared" si="53"/>
        <v>1</v>
      </c>
      <c r="AA38" s="4">
        <f t="shared" si="54"/>
        <v>1</v>
      </c>
      <c r="AB38" s="4">
        <f t="shared" si="55"/>
        <v>1</v>
      </c>
      <c r="AC38" s="4">
        <f t="shared" si="56"/>
        <v>1</v>
      </c>
      <c r="AD38" s="4">
        <f t="shared" si="57"/>
        <v>1</v>
      </c>
      <c r="AE38" s="4">
        <f t="shared" si="58"/>
        <v>1</v>
      </c>
    </row>
    <row r="39" spans="2:31" x14ac:dyDescent="0.25">
      <c r="B39" s="10">
        <v>4</v>
      </c>
      <c r="C39" s="18"/>
      <c r="D39" s="69"/>
      <c r="E39" s="16">
        <f>(D39*PRODUCT($F$34:$AE$34)/J34)/(PRODUCT(F39:AE39))</f>
        <v>0</v>
      </c>
      <c r="F39" s="4">
        <f t="shared" si="59"/>
        <v>1</v>
      </c>
      <c r="G39" s="4">
        <f t="shared" si="43"/>
        <v>1</v>
      </c>
      <c r="H39" s="4">
        <f t="shared" si="60"/>
        <v>1</v>
      </c>
      <c r="I39" s="4">
        <f t="shared" si="44"/>
        <v>1</v>
      </c>
      <c r="J39" s="17">
        <v>1</v>
      </c>
      <c r="K39" s="4">
        <f t="shared" si="46"/>
        <v>1</v>
      </c>
      <c r="L39" s="4">
        <f t="shared" si="47"/>
        <v>1</v>
      </c>
      <c r="M39" s="4">
        <f t="shared" si="35"/>
        <v>1</v>
      </c>
      <c r="N39" s="4">
        <f t="shared" si="48"/>
        <v>1</v>
      </c>
      <c r="O39" s="4">
        <f t="shared" si="49"/>
        <v>1</v>
      </c>
      <c r="P39" s="4">
        <f t="shared" si="36"/>
        <v>1</v>
      </c>
      <c r="Q39" s="4">
        <f t="shared" si="37"/>
        <v>1</v>
      </c>
      <c r="R39" s="4">
        <f t="shared" si="38"/>
        <v>1</v>
      </c>
      <c r="S39" s="4">
        <f t="shared" si="39"/>
        <v>1</v>
      </c>
      <c r="T39" s="4">
        <f t="shared" si="40"/>
        <v>1</v>
      </c>
      <c r="U39" s="4">
        <f t="shared" si="41"/>
        <v>1</v>
      </c>
      <c r="V39" s="4">
        <f t="shared" si="42"/>
        <v>1</v>
      </c>
      <c r="W39" s="4">
        <f t="shared" si="50"/>
        <v>1</v>
      </c>
      <c r="X39" s="4">
        <f t="shared" si="51"/>
        <v>1</v>
      </c>
      <c r="Y39" s="4">
        <f t="shared" si="52"/>
        <v>1</v>
      </c>
      <c r="Z39" s="4">
        <f t="shared" si="53"/>
        <v>1</v>
      </c>
      <c r="AA39" s="4">
        <f t="shared" si="54"/>
        <v>1</v>
      </c>
      <c r="AB39" s="4">
        <f t="shared" si="55"/>
        <v>1</v>
      </c>
      <c r="AC39" s="4">
        <f t="shared" si="56"/>
        <v>1</v>
      </c>
      <c r="AD39" s="4">
        <f t="shared" si="57"/>
        <v>1</v>
      </c>
      <c r="AE39" s="4">
        <f t="shared" si="58"/>
        <v>1</v>
      </c>
    </row>
    <row r="40" spans="2:31" x14ac:dyDescent="0.25">
      <c r="B40" s="10">
        <v>5</v>
      </c>
      <c r="C40" s="18"/>
      <c r="D40" s="69"/>
      <c r="E40" s="16">
        <f>(D40*PRODUCT($F$34:$AE$34)/K34)/(PRODUCT(F40:AE40))</f>
        <v>0</v>
      </c>
      <c r="F40" s="4">
        <f t="shared" si="59"/>
        <v>1</v>
      </c>
      <c r="G40" s="4">
        <f t="shared" si="43"/>
        <v>1</v>
      </c>
      <c r="H40" s="4">
        <f t="shared" si="60"/>
        <v>1</v>
      </c>
      <c r="I40" s="4">
        <f t="shared" si="44"/>
        <v>1</v>
      </c>
      <c r="J40" s="4">
        <f t="shared" si="45"/>
        <v>1</v>
      </c>
      <c r="K40" s="17">
        <v>1</v>
      </c>
      <c r="L40" s="4">
        <f t="shared" si="47"/>
        <v>1</v>
      </c>
      <c r="M40" s="4">
        <f t="shared" si="35"/>
        <v>1</v>
      </c>
      <c r="N40" s="4">
        <f t="shared" si="48"/>
        <v>1</v>
      </c>
      <c r="O40" s="4">
        <f t="shared" si="49"/>
        <v>1</v>
      </c>
      <c r="P40" s="4">
        <f t="shared" si="36"/>
        <v>1</v>
      </c>
      <c r="Q40" s="4">
        <f t="shared" si="37"/>
        <v>1</v>
      </c>
      <c r="R40" s="4">
        <f t="shared" si="38"/>
        <v>1</v>
      </c>
      <c r="S40" s="4">
        <f t="shared" si="39"/>
        <v>1</v>
      </c>
      <c r="T40" s="4">
        <f t="shared" si="40"/>
        <v>1</v>
      </c>
      <c r="U40" s="4">
        <f t="shared" si="41"/>
        <v>1</v>
      </c>
      <c r="V40" s="4">
        <f t="shared" si="42"/>
        <v>1</v>
      </c>
      <c r="W40" s="4">
        <f t="shared" si="50"/>
        <v>1</v>
      </c>
      <c r="X40" s="4">
        <f t="shared" si="51"/>
        <v>1</v>
      </c>
      <c r="Y40" s="4">
        <f t="shared" si="52"/>
        <v>1</v>
      </c>
      <c r="Z40" s="4">
        <f t="shared" si="53"/>
        <v>1</v>
      </c>
      <c r="AA40" s="4">
        <f t="shared" si="54"/>
        <v>1</v>
      </c>
      <c r="AB40" s="4">
        <f t="shared" si="55"/>
        <v>1</v>
      </c>
      <c r="AC40" s="4">
        <f t="shared" si="56"/>
        <v>1</v>
      </c>
      <c r="AD40" s="4">
        <f t="shared" si="57"/>
        <v>1</v>
      </c>
      <c r="AE40" s="4">
        <f t="shared" si="58"/>
        <v>1</v>
      </c>
    </row>
    <row r="41" spans="2:31" x14ac:dyDescent="0.25">
      <c r="B41" s="10">
        <v>6</v>
      </c>
      <c r="C41" s="18"/>
      <c r="D41" s="69"/>
      <c r="E41" s="16">
        <f>(D41*PRODUCT($F$34:$AE$34)/L34)/(PRODUCT(F41:AE41))</f>
        <v>0</v>
      </c>
      <c r="F41" s="4">
        <f t="shared" si="59"/>
        <v>1</v>
      </c>
      <c r="G41" s="4">
        <f t="shared" si="43"/>
        <v>1</v>
      </c>
      <c r="H41" s="4">
        <f t="shared" si="60"/>
        <v>1</v>
      </c>
      <c r="I41" s="4">
        <f t="shared" si="44"/>
        <v>1</v>
      </c>
      <c r="J41" s="4">
        <f t="shared" si="45"/>
        <v>1</v>
      </c>
      <c r="K41" s="4">
        <f t="shared" si="46"/>
        <v>1</v>
      </c>
      <c r="L41" s="17">
        <v>1</v>
      </c>
      <c r="M41" s="4">
        <f t="shared" si="35"/>
        <v>1</v>
      </c>
      <c r="N41" s="4">
        <f t="shared" si="48"/>
        <v>1</v>
      </c>
      <c r="O41" s="4">
        <f t="shared" si="49"/>
        <v>1</v>
      </c>
      <c r="P41" s="4">
        <f t="shared" si="36"/>
        <v>1</v>
      </c>
      <c r="Q41" s="4">
        <f t="shared" si="37"/>
        <v>1</v>
      </c>
      <c r="R41" s="4">
        <f t="shared" si="38"/>
        <v>1</v>
      </c>
      <c r="S41" s="4">
        <f t="shared" si="39"/>
        <v>1</v>
      </c>
      <c r="T41" s="4">
        <f t="shared" si="40"/>
        <v>1</v>
      </c>
      <c r="U41" s="4">
        <f t="shared" si="41"/>
        <v>1</v>
      </c>
      <c r="V41" s="4">
        <f t="shared" si="42"/>
        <v>1</v>
      </c>
      <c r="W41" s="4">
        <f t="shared" si="50"/>
        <v>1</v>
      </c>
      <c r="X41" s="4">
        <f t="shared" si="51"/>
        <v>1</v>
      </c>
      <c r="Y41" s="4">
        <f t="shared" si="52"/>
        <v>1</v>
      </c>
      <c r="Z41" s="4">
        <f t="shared" si="53"/>
        <v>1</v>
      </c>
      <c r="AA41" s="4">
        <f t="shared" si="54"/>
        <v>1</v>
      </c>
      <c r="AB41" s="4">
        <f t="shared" si="55"/>
        <v>1</v>
      </c>
      <c r="AC41" s="4">
        <f t="shared" si="56"/>
        <v>1</v>
      </c>
      <c r="AD41" s="4">
        <f t="shared" si="57"/>
        <v>1</v>
      </c>
      <c r="AE41" s="4">
        <f t="shared" si="58"/>
        <v>1</v>
      </c>
    </row>
    <row r="42" spans="2:31" x14ac:dyDescent="0.25">
      <c r="B42" s="10">
        <v>7</v>
      </c>
      <c r="C42" s="18"/>
      <c r="D42" s="69"/>
      <c r="E42" s="16">
        <f>(D42*PRODUCT($F$34:$AE$34)/M34)/(PRODUCT(F42:AE42))</f>
        <v>0</v>
      </c>
      <c r="F42" s="4">
        <f>IF(OR($C42-$C$35=0,AND($C$35=0,$D$35=0)),1,$C42-$C$35)</f>
        <v>1</v>
      </c>
      <c r="G42" s="4">
        <f>IF(OR($C42-$C$36=0,AND($C$36=0,$D$36=0)),1,$C42-$C$36)</f>
        <v>1</v>
      </c>
      <c r="H42" s="4">
        <f t="shared" si="60"/>
        <v>1</v>
      </c>
      <c r="I42" s="4">
        <f>IF(OR($C42-$C$38=0,AND($C$38=0,$D$38=0)),1,$C42-$C$38)</f>
        <v>1</v>
      </c>
      <c r="J42" s="4">
        <f>IF(OR($C42-$C$39=0,AND($C$39=0,$D$39=0)),1,$C42-$C$39)</f>
        <v>1</v>
      </c>
      <c r="K42" s="4">
        <f>IF(OR($C42-$C$40=0,AND($C$40=0,$D$40=0)),1,$C42-$C$40)</f>
        <v>1</v>
      </c>
      <c r="L42" s="4">
        <f>IF(OR($C42-$C$41=0,AND($C$41=0,$D$41=0)),1,$C42-$C$41)</f>
        <v>1</v>
      </c>
      <c r="M42" s="17">
        <v>1</v>
      </c>
      <c r="N42" s="4">
        <f>IF(OR($C42-$C$43=0,AND($C$43=0,$D$43=0)),1,$C42-$C$43)</f>
        <v>1</v>
      </c>
      <c r="O42" s="4">
        <f>IF(OR($C42-$C$44=0,AND($C$44=0,$D$44=0)),1,$C42-$C$44)</f>
        <v>1</v>
      </c>
      <c r="P42" s="4">
        <f t="shared" si="36"/>
        <v>1</v>
      </c>
      <c r="Q42" s="4">
        <f t="shared" si="37"/>
        <v>1</v>
      </c>
      <c r="R42" s="4">
        <f t="shared" si="38"/>
        <v>1</v>
      </c>
      <c r="S42" s="4">
        <f t="shared" si="39"/>
        <v>1</v>
      </c>
      <c r="T42" s="4">
        <f t="shared" si="40"/>
        <v>1</v>
      </c>
      <c r="U42" s="4">
        <f t="shared" si="41"/>
        <v>1</v>
      </c>
      <c r="V42" s="4">
        <f t="shared" si="42"/>
        <v>1</v>
      </c>
      <c r="W42" s="4">
        <f>IF(OR($C42-$C$52=0,AND($C$52=0,$D$52=0)),1,$C42-$C$52)</f>
        <v>1</v>
      </c>
      <c r="X42" s="4">
        <f>IF(OR($C42-$C$53=0,AND($C$53=0,$D$53=0)),1,$C42-$C$53)</f>
        <v>1</v>
      </c>
      <c r="Y42" s="4">
        <f>IF(OR($C42-$C$54=0,AND($C$54=0,$D$54=0)),1,$C42-$C$54)</f>
        <v>1</v>
      </c>
      <c r="Z42" s="4">
        <f>IF(OR($C42-$C$55=0,AND($C$55=0,$D$55=0)),1,$C42-$C$55)</f>
        <v>1</v>
      </c>
      <c r="AA42" s="4">
        <f>IF(OR($C42-$C$56=0,AND($C$56=0,$D$56=0)),1,$C42-$C$56)</f>
        <v>1</v>
      </c>
      <c r="AB42" s="4">
        <f>IF(OR($C42-$C$57=0,AND($C$57=0,$D$57=0)),1,$C42-$C$57)</f>
        <v>1</v>
      </c>
      <c r="AC42" s="4">
        <f>IF(OR($C42-$C$58=0,AND($C$58=0,$D$58=0)),1,$C42-$C$58)</f>
        <v>1</v>
      </c>
      <c r="AD42" s="4">
        <f>IF(OR($C42-$C$59=0,AND($C$59=0,$D$59=0)),1,$C42-$C$59)</f>
        <v>1</v>
      </c>
      <c r="AE42" s="4">
        <f>IF(OR($C42-$C$60=0,AND($C$60=0,$D$60=0)),1,$C42-$C$60)</f>
        <v>1</v>
      </c>
    </row>
    <row r="43" spans="2:31" x14ac:dyDescent="0.25">
      <c r="B43" s="10">
        <v>8</v>
      </c>
      <c r="C43" s="18"/>
      <c r="D43" s="69"/>
      <c r="E43" s="16">
        <f>(D43*PRODUCT($F$34:$AE$34)/N34)/(PRODUCT(F43:AE43))</f>
        <v>0</v>
      </c>
      <c r="F43" s="4">
        <f t="shared" si="59"/>
        <v>1</v>
      </c>
      <c r="G43" s="4">
        <f t="shared" si="43"/>
        <v>1</v>
      </c>
      <c r="H43" s="4">
        <f t="shared" si="60"/>
        <v>1</v>
      </c>
      <c r="I43" s="4">
        <f t="shared" si="44"/>
        <v>1</v>
      </c>
      <c r="J43" s="4">
        <f t="shared" si="45"/>
        <v>1</v>
      </c>
      <c r="K43" s="4">
        <f t="shared" si="46"/>
        <v>1</v>
      </c>
      <c r="L43" s="4">
        <f t="shared" si="47"/>
        <v>1</v>
      </c>
      <c r="M43" s="4">
        <f t="shared" ref="M43:M60" si="61">IF(OR($C43-$C$42=0,AND($C$42=0,$D$42=0)),1,$C43-$C$42)</f>
        <v>1</v>
      </c>
      <c r="N43" s="17">
        <v>1</v>
      </c>
      <c r="O43" s="4">
        <f t="shared" si="49"/>
        <v>1</v>
      </c>
      <c r="P43" s="4">
        <f t="shared" si="36"/>
        <v>1</v>
      </c>
      <c r="Q43" s="4">
        <f t="shared" si="37"/>
        <v>1</v>
      </c>
      <c r="R43" s="4">
        <f t="shared" si="38"/>
        <v>1</v>
      </c>
      <c r="S43" s="4">
        <f t="shared" si="39"/>
        <v>1</v>
      </c>
      <c r="T43" s="4">
        <f t="shared" si="40"/>
        <v>1</v>
      </c>
      <c r="U43" s="4">
        <f t="shared" si="41"/>
        <v>1</v>
      </c>
      <c r="V43" s="4">
        <f t="shared" si="42"/>
        <v>1</v>
      </c>
      <c r="W43" s="4">
        <f t="shared" si="50"/>
        <v>1</v>
      </c>
      <c r="X43" s="4">
        <f t="shared" si="51"/>
        <v>1</v>
      </c>
      <c r="Y43" s="4">
        <f t="shared" si="52"/>
        <v>1</v>
      </c>
      <c r="Z43" s="4">
        <f t="shared" si="53"/>
        <v>1</v>
      </c>
      <c r="AA43" s="4">
        <f t="shared" si="54"/>
        <v>1</v>
      </c>
      <c r="AB43" s="4">
        <f t="shared" si="55"/>
        <v>1</v>
      </c>
      <c r="AC43" s="4">
        <f t="shared" si="56"/>
        <v>1</v>
      </c>
      <c r="AD43" s="4">
        <f t="shared" si="57"/>
        <v>1</v>
      </c>
      <c r="AE43" s="4">
        <f t="shared" si="58"/>
        <v>1</v>
      </c>
    </row>
    <row r="44" spans="2:31" x14ac:dyDescent="0.25">
      <c r="B44" s="10">
        <v>9</v>
      </c>
      <c r="C44" s="18"/>
      <c r="D44" s="69"/>
      <c r="E44" s="16">
        <f>(D44*PRODUCT($F$34:$AE$34)/O34)/(PRODUCT(F44:AE44))</f>
        <v>0</v>
      </c>
      <c r="F44" s="4">
        <f t="shared" si="59"/>
        <v>1</v>
      </c>
      <c r="G44" s="4">
        <f t="shared" si="43"/>
        <v>1</v>
      </c>
      <c r="H44" s="4">
        <f t="shared" si="60"/>
        <v>1</v>
      </c>
      <c r="I44" s="4">
        <f t="shared" si="44"/>
        <v>1</v>
      </c>
      <c r="J44" s="4">
        <f t="shared" si="45"/>
        <v>1</v>
      </c>
      <c r="K44" s="4">
        <f t="shared" si="46"/>
        <v>1</v>
      </c>
      <c r="L44" s="4">
        <f t="shared" si="47"/>
        <v>1</v>
      </c>
      <c r="M44" s="4">
        <f t="shared" si="61"/>
        <v>1</v>
      </c>
      <c r="N44" s="4">
        <f t="shared" si="48"/>
        <v>1</v>
      </c>
      <c r="O44" s="17">
        <v>1</v>
      </c>
      <c r="P44" s="4">
        <f t="shared" si="36"/>
        <v>1</v>
      </c>
      <c r="Q44" s="4">
        <f t="shared" si="37"/>
        <v>1</v>
      </c>
      <c r="R44" s="4">
        <f t="shared" si="38"/>
        <v>1</v>
      </c>
      <c r="S44" s="4">
        <f t="shared" si="39"/>
        <v>1</v>
      </c>
      <c r="T44" s="4">
        <f t="shared" si="40"/>
        <v>1</v>
      </c>
      <c r="U44" s="4">
        <f t="shared" si="41"/>
        <v>1</v>
      </c>
      <c r="V44" s="4">
        <f t="shared" si="42"/>
        <v>1</v>
      </c>
      <c r="W44" s="4">
        <f t="shared" si="50"/>
        <v>1</v>
      </c>
      <c r="X44" s="4">
        <f t="shared" si="51"/>
        <v>1</v>
      </c>
      <c r="Y44" s="4">
        <f t="shared" si="52"/>
        <v>1</v>
      </c>
      <c r="Z44" s="4">
        <f t="shared" si="53"/>
        <v>1</v>
      </c>
      <c r="AA44" s="4">
        <f t="shared" si="54"/>
        <v>1</v>
      </c>
      <c r="AB44" s="4">
        <f t="shared" si="55"/>
        <v>1</v>
      </c>
      <c r="AC44" s="4">
        <f t="shared" si="56"/>
        <v>1</v>
      </c>
      <c r="AD44" s="4">
        <f t="shared" si="57"/>
        <v>1</v>
      </c>
      <c r="AE44" s="4">
        <f t="shared" si="58"/>
        <v>1</v>
      </c>
    </row>
    <row r="45" spans="2:31" x14ac:dyDescent="0.25">
      <c r="B45" s="10">
        <v>10</v>
      </c>
      <c r="C45" s="18"/>
      <c r="E45" s="16">
        <f>(D45*PRODUCT($F$34:$AE$34)/P34)/(PRODUCT(F45:AE45))</f>
        <v>0</v>
      </c>
      <c r="F45" s="4">
        <f t="shared" si="59"/>
        <v>1</v>
      </c>
      <c r="G45" s="4">
        <f t="shared" si="43"/>
        <v>1</v>
      </c>
      <c r="H45" s="4">
        <f t="shared" si="60"/>
        <v>1</v>
      </c>
      <c r="I45" s="4">
        <f t="shared" si="44"/>
        <v>1</v>
      </c>
      <c r="J45" s="4">
        <f t="shared" si="45"/>
        <v>1</v>
      </c>
      <c r="K45" s="4">
        <f t="shared" si="46"/>
        <v>1</v>
      </c>
      <c r="L45" s="4">
        <f t="shared" si="47"/>
        <v>1</v>
      </c>
      <c r="M45" s="4">
        <f t="shared" si="61"/>
        <v>1</v>
      </c>
      <c r="N45" s="4">
        <f t="shared" si="48"/>
        <v>1</v>
      </c>
      <c r="O45" s="4">
        <f t="shared" ref="O45:O51" si="62">IF(OR($C45-$C$44=0,AND($C$44=0,$D$44=0)),1,$C45-$C$44)</f>
        <v>1</v>
      </c>
      <c r="P45" s="17">
        <v>1</v>
      </c>
      <c r="Q45" s="4">
        <f t="shared" si="37"/>
        <v>1</v>
      </c>
      <c r="R45" s="4">
        <f t="shared" si="38"/>
        <v>1</v>
      </c>
      <c r="S45" s="4">
        <f t="shared" si="39"/>
        <v>1</v>
      </c>
      <c r="T45" s="4">
        <f t="shared" si="40"/>
        <v>1</v>
      </c>
      <c r="U45" s="4">
        <f t="shared" si="41"/>
        <v>1</v>
      </c>
      <c r="V45" s="4">
        <f t="shared" si="42"/>
        <v>1</v>
      </c>
      <c r="W45" s="4">
        <f t="shared" si="50"/>
        <v>1</v>
      </c>
      <c r="X45" s="4">
        <f t="shared" si="51"/>
        <v>1</v>
      </c>
      <c r="Y45" s="4">
        <f t="shared" si="52"/>
        <v>1</v>
      </c>
      <c r="Z45" s="4">
        <f t="shared" si="53"/>
        <v>1</v>
      </c>
      <c r="AA45" s="4">
        <f t="shared" si="54"/>
        <v>1</v>
      </c>
      <c r="AB45" s="4">
        <f t="shared" si="55"/>
        <v>1</v>
      </c>
      <c r="AC45" s="4">
        <f t="shared" si="56"/>
        <v>1</v>
      </c>
      <c r="AD45" s="4">
        <f t="shared" si="57"/>
        <v>1</v>
      </c>
      <c r="AE45" s="4">
        <f t="shared" si="58"/>
        <v>1</v>
      </c>
    </row>
    <row r="46" spans="2:31" x14ac:dyDescent="0.25">
      <c r="B46" s="10">
        <v>11</v>
      </c>
      <c r="C46" s="18"/>
      <c r="D46" s="69"/>
      <c r="E46" s="16">
        <f>(D46*PRODUCT($F$34:$AE$34)/Q34)/(PRODUCT(F46:AE46))</f>
        <v>0</v>
      </c>
      <c r="F46" s="4">
        <f t="shared" si="59"/>
        <v>1</v>
      </c>
      <c r="G46" s="4">
        <f t="shared" si="43"/>
        <v>1</v>
      </c>
      <c r="H46" s="4">
        <f t="shared" si="60"/>
        <v>1</v>
      </c>
      <c r="I46" s="4">
        <f t="shared" si="44"/>
        <v>1</v>
      </c>
      <c r="J46" s="4">
        <f t="shared" si="45"/>
        <v>1</v>
      </c>
      <c r="K46" s="4">
        <f t="shared" si="46"/>
        <v>1</v>
      </c>
      <c r="L46" s="4">
        <f t="shared" si="47"/>
        <v>1</v>
      </c>
      <c r="M46" s="4">
        <f t="shared" si="61"/>
        <v>1</v>
      </c>
      <c r="N46" s="4">
        <f t="shared" si="48"/>
        <v>1</v>
      </c>
      <c r="O46" s="4">
        <f t="shared" si="62"/>
        <v>1</v>
      </c>
      <c r="P46" s="4">
        <f t="shared" ref="P46:P60" si="63">IF(OR($C46-$C$45=0,AND($C$45=0,$D$45=0)),1,$C46-$C$45)</f>
        <v>1</v>
      </c>
      <c r="Q46" s="17">
        <v>1</v>
      </c>
      <c r="R46" s="4">
        <f t="shared" si="38"/>
        <v>1</v>
      </c>
      <c r="S46" s="4">
        <f t="shared" si="39"/>
        <v>1</v>
      </c>
      <c r="T46" s="4">
        <f t="shared" si="40"/>
        <v>1</v>
      </c>
      <c r="U46" s="4">
        <f t="shared" si="41"/>
        <v>1</v>
      </c>
      <c r="V46" s="4">
        <f t="shared" si="42"/>
        <v>1</v>
      </c>
      <c r="W46" s="4">
        <f t="shared" si="50"/>
        <v>1</v>
      </c>
      <c r="X46" s="4">
        <f t="shared" si="51"/>
        <v>1</v>
      </c>
      <c r="Y46" s="4">
        <f t="shared" si="52"/>
        <v>1</v>
      </c>
      <c r="Z46" s="4">
        <f t="shared" si="53"/>
        <v>1</v>
      </c>
      <c r="AA46" s="4">
        <f t="shared" si="54"/>
        <v>1</v>
      </c>
      <c r="AB46" s="4">
        <f t="shared" si="55"/>
        <v>1</v>
      </c>
      <c r="AC46" s="4">
        <f t="shared" si="56"/>
        <v>1</v>
      </c>
      <c r="AD46" s="4">
        <f t="shared" si="57"/>
        <v>1</v>
      </c>
      <c r="AE46" s="4">
        <f t="shared" si="58"/>
        <v>1</v>
      </c>
    </row>
    <row r="47" spans="2:31" x14ac:dyDescent="0.25">
      <c r="B47" s="10">
        <v>12</v>
      </c>
      <c r="C47" s="18"/>
      <c r="D47" s="69"/>
      <c r="E47" s="16">
        <f>(D47*PRODUCT($F$34:$AE$34)/R34)/(PRODUCT(F47:AE47))</f>
        <v>0</v>
      </c>
      <c r="F47" s="4">
        <f t="shared" si="59"/>
        <v>1</v>
      </c>
      <c r="G47" s="4">
        <f t="shared" si="43"/>
        <v>1</v>
      </c>
      <c r="H47" s="4">
        <f t="shared" si="60"/>
        <v>1</v>
      </c>
      <c r="I47" s="4">
        <f t="shared" si="44"/>
        <v>1</v>
      </c>
      <c r="J47" s="4">
        <f t="shared" si="45"/>
        <v>1</v>
      </c>
      <c r="K47" s="4">
        <f t="shared" si="46"/>
        <v>1</v>
      </c>
      <c r="L47" s="4">
        <f t="shared" si="47"/>
        <v>1</v>
      </c>
      <c r="M47" s="4">
        <f t="shared" si="61"/>
        <v>1</v>
      </c>
      <c r="N47" s="4">
        <f t="shared" si="48"/>
        <v>1</v>
      </c>
      <c r="O47" s="4">
        <f t="shared" si="62"/>
        <v>1</v>
      </c>
      <c r="P47" s="4">
        <f t="shared" si="63"/>
        <v>1</v>
      </c>
      <c r="Q47" s="4">
        <f t="shared" ref="Q47:Q60" si="64">IF(OR($C47-$C$46=0,AND($C$46=0,$D$46=0)),1,$C47-$C$46)</f>
        <v>1</v>
      </c>
      <c r="R47" s="17">
        <v>1</v>
      </c>
      <c r="S47" s="4">
        <f t="shared" si="39"/>
        <v>1</v>
      </c>
      <c r="T47" s="4">
        <f t="shared" si="40"/>
        <v>1</v>
      </c>
      <c r="U47" s="4">
        <f t="shared" si="41"/>
        <v>1</v>
      </c>
      <c r="V47" s="4">
        <f t="shared" si="42"/>
        <v>1</v>
      </c>
      <c r="W47" s="4">
        <f t="shared" si="50"/>
        <v>1</v>
      </c>
      <c r="X47" s="4">
        <f t="shared" si="51"/>
        <v>1</v>
      </c>
      <c r="Y47" s="4">
        <f t="shared" si="52"/>
        <v>1</v>
      </c>
      <c r="Z47" s="4">
        <f t="shared" si="53"/>
        <v>1</v>
      </c>
      <c r="AA47" s="4">
        <f t="shared" si="54"/>
        <v>1</v>
      </c>
      <c r="AB47" s="4">
        <f t="shared" si="55"/>
        <v>1</v>
      </c>
      <c r="AC47" s="4">
        <f t="shared" si="56"/>
        <v>1</v>
      </c>
      <c r="AD47" s="4">
        <f t="shared" si="57"/>
        <v>1</v>
      </c>
      <c r="AE47" s="4">
        <f t="shared" si="58"/>
        <v>1</v>
      </c>
    </row>
    <row r="48" spans="2:31" x14ac:dyDescent="0.25">
      <c r="B48" s="10">
        <v>13</v>
      </c>
      <c r="C48" s="18"/>
      <c r="E48" s="16">
        <f>(D48*PRODUCT($F$34:$AE$34)/S34)/(PRODUCT(F48:AE48))</f>
        <v>0</v>
      </c>
      <c r="F48" s="4">
        <f t="shared" si="59"/>
        <v>1</v>
      </c>
      <c r="G48" s="4">
        <f t="shared" si="43"/>
        <v>1</v>
      </c>
      <c r="H48" s="4">
        <f t="shared" si="60"/>
        <v>1</v>
      </c>
      <c r="I48" s="4">
        <f t="shared" si="44"/>
        <v>1</v>
      </c>
      <c r="J48" s="4">
        <f t="shared" si="45"/>
        <v>1</v>
      </c>
      <c r="K48" s="4">
        <f t="shared" si="46"/>
        <v>1</v>
      </c>
      <c r="L48" s="4">
        <f t="shared" si="47"/>
        <v>1</v>
      </c>
      <c r="M48" s="4">
        <f t="shared" si="61"/>
        <v>1</v>
      </c>
      <c r="N48" s="4">
        <f t="shared" si="48"/>
        <v>1</v>
      </c>
      <c r="O48" s="4">
        <f t="shared" si="62"/>
        <v>1</v>
      </c>
      <c r="P48" s="4">
        <f t="shared" si="63"/>
        <v>1</v>
      </c>
      <c r="Q48" s="4">
        <f t="shared" si="64"/>
        <v>1</v>
      </c>
      <c r="R48" s="4">
        <f t="shared" ref="R48:R60" si="65">IF(OR($C48-$C$47=0,AND($C$47=0,$D$47=0)),1,$C48-$C$47)</f>
        <v>1</v>
      </c>
      <c r="S48" s="17">
        <v>1</v>
      </c>
      <c r="T48" s="4">
        <f t="shared" si="40"/>
        <v>1</v>
      </c>
      <c r="U48" s="4">
        <f t="shared" si="41"/>
        <v>1</v>
      </c>
      <c r="V48" s="4">
        <f t="shared" si="42"/>
        <v>1</v>
      </c>
      <c r="W48" s="4">
        <f t="shared" si="50"/>
        <v>1</v>
      </c>
      <c r="X48" s="4">
        <f t="shared" si="51"/>
        <v>1</v>
      </c>
      <c r="Y48" s="4">
        <f t="shared" si="52"/>
        <v>1</v>
      </c>
      <c r="Z48" s="4">
        <f t="shared" si="53"/>
        <v>1</v>
      </c>
      <c r="AA48" s="4">
        <f t="shared" si="54"/>
        <v>1</v>
      </c>
      <c r="AB48" s="4">
        <f t="shared" si="55"/>
        <v>1</v>
      </c>
      <c r="AC48" s="4">
        <f t="shared" si="56"/>
        <v>1</v>
      </c>
      <c r="AD48" s="4">
        <f t="shared" si="57"/>
        <v>1</v>
      </c>
      <c r="AE48" s="4">
        <f t="shared" si="58"/>
        <v>1</v>
      </c>
    </row>
    <row r="49" spans="2:31" x14ac:dyDescent="0.25">
      <c r="B49" s="10">
        <v>14</v>
      </c>
      <c r="C49" s="18"/>
      <c r="E49" s="16">
        <f>(D49*PRODUCT($F$34:$AE$34)/T34)/(PRODUCT(F49:AE49))</f>
        <v>0</v>
      </c>
      <c r="F49" s="4">
        <f t="shared" si="59"/>
        <v>1</v>
      </c>
      <c r="G49" s="4">
        <f t="shared" si="43"/>
        <v>1</v>
      </c>
      <c r="H49" s="4">
        <f t="shared" si="60"/>
        <v>1</v>
      </c>
      <c r="I49" s="4">
        <f t="shared" si="44"/>
        <v>1</v>
      </c>
      <c r="J49" s="4">
        <f t="shared" si="45"/>
        <v>1</v>
      </c>
      <c r="K49" s="4">
        <f t="shared" si="46"/>
        <v>1</v>
      </c>
      <c r="L49" s="4">
        <f t="shared" si="47"/>
        <v>1</v>
      </c>
      <c r="M49" s="4">
        <f t="shared" si="61"/>
        <v>1</v>
      </c>
      <c r="N49" s="4">
        <f t="shared" si="48"/>
        <v>1</v>
      </c>
      <c r="O49" s="4">
        <f t="shared" si="62"/>
        <v>1</v>
      </c>
      <c r="P49" s="4">
        <f t="shared" si="63"/>
        <v>1</v>
      </c>
      <c r="Q49" s="4">
        <f t="shared" si="64"/>
        <v>1</v>
      </c>
      <c r="R49" s="4">
        <f t="shared" si="65"/>
        <v>1</v>
      </c>
      <c r="S49" s="4">
        <f t="shared" ref="S49:S60" si="66">IF(OR($C49-$C$48=0,AND($C$48=0,$D$48=0)),1,$C49-$C$48)</f>
        <v>1</v>
      </c>
      <c r="T49" s="17">
        <v>1</v>
      </c>
      <c r="U49" s="4">
        <f t="shared" si="41"/>
        <v>1</v>
      </c>
      <c r="V49" s="4">
        <f t="shared" si="42"/>
        <v>1</v>
      </c>
      <c r="W49" s="4">
        <f t="shared" si="50"/>
        <v>1</v>
      </c>
      <c r="X49" s="4">
        <f t="shared" si="51"/>
        <v>1</v>
      </c>
      <c r="Y49" s="4">
        <f t="shared" si="52"/>
        <v>1</v>
      </c>
      <c r="Z49" s="4">
        <f t="shared" si="53"/>
        <v>1</v>
      </c>
      <c r="AA49" s="4">
        <f t="shared" si="54"/>
        <v>1</v>
      </c>
      <c r="AB49" s="4">
        <f t="shared" si="55"/>
        <v>1</v>
      </c>
      <c r="AC49" s="4">
        <f t="shared" si="56"/>
        <v>1</v>
      </c>
      <c r="AD49" s="4">
        <f t="shared" si="57"/>
        <v>1</v>
      </c>
      <c r="AE49" s="4">
        <f t="shared" si="58"/>
        <v>1</v>
      </c>
    </row>
    <row r="50" spans="2:31" x14ac:dyDescent="0.25">
      <c r="B50" s="10">
        <v>15</v>
      </c>
      <c r="C50" s="14"/>
      <c r="E50" s="16">
        <f>(D50*PRODUCT($F$34:$AE$34)/U34)/(PRODUCT(F50:AE50))</f>
        <v>0</v>
      </c>
      <c r="F50" s="4">
        <f t="shared" si="59"/>
        <v>1</v>
      </c>
      <c r="G50" s="4">
        <f t="shared" si="43"/>
        <v>1</v>
      </c>
      <c r="H50" s="4">
        <f t="shared" si="60"/>
        <v>1</v>
      </c>
      <c r="I50" s="4">
        <f t="shared" si="44"/>
        <v>1</v>
      </c>
      <c r="J50" s="4">
        <f t="shared" si="45"/>
        <v>1</v>
      </c>
      <c r="K50" s="4">
        <f t="shared" si="46"/>
        <v>1</v>
      </c>
      <c r="L50" s="4">
        <f t="shared" si="47"/>
        <v>1</v>
      </c>
      <c r="M50" s="4">
        <f t="shared" si="61"/>
        <v>1</v>
      </c>
      <c r="N50" s="4">
        <f t="shared" si="48"/>
        <v>1</v>
      </c>
      <c r="O50" s="4">
        <f t="shared" si="62"/>
        <v>1</v>
      </c>
      <c r="P50" s="4">
        <f t="shared" si="63"/>
        <v>1</v>
      </c>
      <c r="Q50" s="4">
        <f t="shared" si="64"/>
        <v>1</v>
      </c>
      <c r="R50" s="4">
        <f t="shared" si="65"/>
        <v>1</v>
      </c>
      <c r="S50" s="4">
        <f t="shared" si="66"/>
        <v>1</v>
      </c>
      <c r="T50" s="4">
        <f t="shared" ref="T50:T60" si="67">IF(OR($C50-$C$49=0,AND($C$49=0,$D$49=0)),1,$C50-$C$49)</f>
        <v>1</v>
      </c>
      <c r="U50" s="17">
        <v>1</v>
      </c>
      <c r="V50" s="4">
        <f t="shared" si="42"/>
        <v>1</v>
      </c>
      <c r="W50" s="4">
        <f t="shared" si="50"/>
        <v>1</v>
      </c>
      <c r="X50" s="4">
        <f t="shared" si="51"/>
        <v>1</v>
      </c>
      <c r="Y50" s="4">
        <f t="shared" si="52"/>
        <v>1</v>
      </c>
      <c r="Z50" s="4">
        <f t="shared" si="53"/>
        <v>1</v>
      </c>
      <c r="AA50" s="4">
        <f t="shared" si="54"/>
        <v>1</v>
      </c>
      <c r="AB50" s="4">
        <f t="shared" si="55"/>
        <v>1</v>
      </c>
      <c r="AC50" s="4">
        <f t="shared" si="56"/>
        <v>1</v>
      </c>
      <c r="AD50" s="4">
        <f t="shared" si="57"/>
        <v>1</v>
      </c>
      <c r="AE50" s="4">
        <f t="shared" si="58"/>
        <v>1</v>
      </c>
    </row>
    <row r="51" spans="2:31" x14ac:dyDescent="0.25">
      <c r="B51" s="10">
        <v>16</v>
      </c>
      <c r="C51" s="14"/>
      <c r="E51" s="16">
        <f>(D51*PRODUCT($F$34:$AE$34)/V34)/(PRODUCT(F51:AE51))</f>
        <v>0</v>
      </c>
      <c r="F51" s="4">
        <f t="shared" si="59"/>
        <v>1</v>
      </c>
      <c r="G51" s="4">
        <f t="shared" si="43"/>
        <v>1</v>
      </c>
      <c r="H51" s="4">
        <f t="shared" si="60"/>
        <v>1</v>
      </c>
      <c r="I51" s="4">
        <f t="shared" si="44"/>
        <v>1</v>
      </c>
      <c r="J51" s="4">
        <f t="shared" si="45"/>
        <v>1</v>
      </c>
      <c r="K51" s="4">
        <f t="shared" si="46"/>
        <v>1</v>
      </c>
      <c r="L51" s="4">
        <f t="shared" si="47"/>
        <v>1</v>
      </c>
      <c r="M51" s="4">
        <f t="shared" si="61"/>
        <v>1</v>
      </c>
      <c r="N51" s="4">
        <f t="shared" si="48"/>
        <v>1</v>
      </c>
      <c r="O51" s="4">
        <f t="shared" si="62"/>
        <v>1</v>
      </c>
      <c r="P51" s="4">
        <f t="shared" si="63"/>
        <v>1</v>
      </c>
      <c r="Q51" s="4">
        <f t="shared" si="64"/>
        <v>1</v>
      </c>
      <c r="R51" s="4">
        <f t="shared" si="65"/>
        <v>1</v>
      </c>
      <c r="S51" s="4">
        <f t="shared" si="66"/>
        <v>1</v>
      </c>
      <c r="T51" s="4">
        <f t="shared" si="67"/>
        <v>1</v>
      </c>
      <c r="U51" s="4">
        <f t="shared" ref="U51:U60" si="68">IF(OR($C51-$C$50=0,AND($C$50=0,$D$50=0)),1,$C51-$C$50)</f>
        <v>1</v>
      </c>
      <c r="V51" s="17">
        <v>1</v>
      </c>
      <c r="W51" s="4">
        <f t="shared" si="50"/>
        <v>1</v>
      </c>
      <c r="X51" s="4">
        <f t="shared" si="51"/>
        <v>1</v>
      </c>
      <c r="Y51" s="4">
        <f t="shared" si="52"/>
        <v>1</v>
      </c>
      <c r="Z51" s="4">
        <f t="shared" si="53"/>
        <v>1</v>
      </c>
      <c r="AA51" s="4">
        <f t="shared" si="54"/>
        <v>1</v>
      </c>
      <c r="AB51" s="4">
        <f t="shared" si="55"/>
        <v>1</v>
      </c>
      <c r="AC51" s="4">
        <f t="shared" si="56"/>
        <v>1</v>
      </c>
      <c r="AD51" s="4">
        <f t="shared" si="57"/>
        <v>1</v>
      </c>
      <c r="AE51" s="4">
        <f t="shared" si="58"/>
        <v>1</v>
      </c>
    </row>
    <row r="52" spans="2:31" x14ac:dyDescent="0.25">
      <c r="B52" s="10">
        <v>17</v>
      </c>
      <c r="C52" s="14"/>
      <c r="D52" s="19"/>
      <c r="E52" s="16">
        <f>(D52*PRODUCT($F$34:$AE$34)/W34)/(PRODUCT(F52:AE52))</f>
        <v>0</v>
      </c>
      <c r="F52" s="4">
        <f t="shared" si="59"/>
        <v>1</v>
      </c>
      <c r="G52" s="4">
        <f t="shared" si="43"/>
        <v>1</v>
      </c>
      <c r="H52" s="4">
        <f t="shared" si="60"/>
        <v>1</v>
      </c>
      <c r="I52" s="4">
        <f t="shared" si="44"/>
        <v>1</v>
      </c>
      <c r="J52" s="4">
        <f t="shared" si="45"/>
        <v>1</v>
      </c>
      <c r="K52" s="4">
        <f t="shared" si="46"/>
        <v>1</v>
      </c>
      <c r="L52" s="4">
        <f t="shared" si="47"/>
        <v>1</v>
      </c>
      <c r="M52" s="4">
        <f t="shared" si="61"/>
        <v>1</v>
      </c>
      <c r="N52" s="4">
        <f t="shared" si="48"/>
        <v>1</v>
      </c>
      <c r="O52" s="4">
        <f t="shared" si="49"/>
        <v>1</v>
      </c>
      <c r="P52" s="4">
        <f t="shared" si="63"/>
        <v>1</v>
      </c>
      <c r="Q52" s="4">
        <f t="shared" si="64"/>
        <v>1</v>
      </c>
      <c r="R52" s="4">
        <f t="shared" si="65"/>
        <v>1</v>
      </c>
      <c r="S52" s="4">
        <f t="shared" si="66"/>
        <v>1</v>
      </c>
      <c r="T52" s="4">
        <f t="shared" si="67"/>
        <v>1</v>
      </c>
      <c r="U52" s="4">
        <f t="shared" si="68"/>
        <v>1</v>
      </c>
      <c r="V52" s="4">
        <f t="shared" ref="V52:V60" si="69">IF(OR($C52-$C$51=0,AND($C$51=0,$D$51=0)),1,$C52-$C$51)</f>
        <v>1</v>
      </c>
      <c r="W52" s="17">
        <v>1</v>
      </c>
      <c r="X52" s="4">
        <f t="shared" si="51"/>
        <v>1</v>
      </c>
      <c r="Y52" s="4">
        <f t="shared" si="52"/>
        <v>1</v>
      </c>
      <c r="Z52" s="4">
        <f t="shared" si="53"/>
        <v>1</v>
      </c>
      <c r="AA52" s="4">
        <f t="shared" si="54"/>
        <v>1</v>
      </c>
      <c r="AB52" s="4">
        <f t="shared" si="55"/>
        <v>1</v>
      </c>
      <c r="AC52" s="4">
        <f t="shared" si="56"/>
        <v>1</v>
      </c>
      <c r="AD52" s="4">
        <f t="shared" si="57"/>
        <v>1</v>
      </c>
      <c r="AE52" s="4">
        <f t="shared" si="58"/>
        <v>1</v>
      </c>
    </row>
    <row r="53" spans="2:31" x14ac:dyDescent="0.25">
      <c r="B53" s="10">
        <v>18</v>
      </c>
      <c r="C53" s="14"/>
      <c r="D53" s="19"/>
      <c r="E53" s="16">
        <f>(D53*PRODUCT($F$34:$AE$34)/X34)/(PRODUCT(F53:AE53))</f>
        <v>0</v>
      </c>
      <c r="F53" s="4">
        <f t="shared" si="59"/>
        <v>1</v>
      </c>
      <c r="G53" s="4">
        <f t="shared" si="43"/>
        <v>1</v>
      </c>
      <c r="H53" s="4">
        <f t="shared" si="60"/>
        <v>1</v>
      </c>
      <c r="I53" s="4">
        <f t="shared" si="44"/>
        <v>1</v>
      </c>
      <c r="J53" s="4">
        <f t="shared" si="45"/>
        <v>1</v>
      </c>
      <c r="K53" s="4">
        <f t="shared" si="46"/>
        <v>1</v>
      </c>
      <c r="L53" s="4">
        <f t="shared" si="47"/>
        <v>1</v>
      </c>
      <c r="M53" s="4">
        <f t="shared" si="61"/>
        <v>1</v>
      </c>
      <c r="N53" s="4">
        <f t="shared" si="48"/>
        <v>1</v>
      </c>
      <c r="O53" s="4">
        <f t="shared" si="49"/>
        <v>1</v>
      </c>
      <c r="P53" s="4">
        <f t="shared" si="63"/>
        <v>1</v>
      </c>
      <c r="Q53" s="4">
        <f t="shared" si="64"/>
        <v>1</v>
      </c>
      <c r="R53" s="4">
        <f t="shared" si="65"/>
        <v>1</v>
      </c>
      <c r="S53" s="4">
        <f t="shared" si="66"/>
        <v>1</v>
      </c>
      <c r="T53" s="4">
        <f t="shared" si="67"/>
        <v>1</v>
      </c>
      <c r="U53" s="4">
        <f t="shared" si="68"/>
        <v>1</v>
      </c>
      <c r="V53" s="4">
        <f t="shared" si="69"/>
        <v>1</v>
      </c>
      <c r="W53" s="4">
        <f>IF(OR($C53-$C$52=0,AND($C$52=0,$D$52=0)),1,$C53-$C$52)</f>
        <v>1</v>
      </c>
      <c r="X53" s="17">
        <v>1</v>
      </c>
      <c r="Y53" s="4">
        <f>IF(OR($C53-$C$54=0,AND($C$54=0,$D$54=0)),1,$C53-$C$54)</f>
        <v>1</v>
      </c>
      <c r="Z53" s="4">
        <f>IF(OR($C53-$C$55=0,AND($C$55=0,$D$55=0)),1,$C53-$C$55)</f>
        <v>1</v>
      </c>
      <c r="AA53" s="4">
        <f t="shared" si="54"/>
        <v>1</v>
      </c>
      <c r="AB53" s="4">
        <f t="shared" si="55"/>
        <v>1</v>
      </c>
      <c r="AC53" s="4">
        <f t="shared" si="56"/>
        <v>1</v>
      </c>
      <c r="AD53" s="4">
        <f t="shared" si="57"/>
        <v>1</v>
      </c>
      <c r="AE53" s="4">
        <f t="shared" si="58"/>
        <v>1</v>
      </c>
    </row>
    <row r="54" spans="2:31" x14ac:dyDescent="0.25">
      <c r="B54" s="10">
        <v>19</v>
      </c>
      <c r="C54" s="14"/>
      <c r="D54" s="19"/>
      <c r="E54" s="16">
        <f>(D54*PRODUCT($F$34:$AE$34)/Y34)/(PRODUCT(F54:AE54))</f>
        <v>0</v>
      </c>
      <c r="F54" s="4">
        <f t="shared" si="59"/>
        <v>1</v>
      </c>
      <c r="G54" s="4">
        <f t="shared" si="43"/>
        <v>1</v>
      </c>
      <c r="H54" s="4">
        <f t="shared" si="60"/>
        <v>1</v>
      </c>
      <c r="I54" s="4">
        <f t="shared" si="44"/>
        <v>1</v>
      </c>
      <c r="J54" s="4">
        <f t="shared" si="45"/>
        <v>1</v>
      </c>
      <c r="K54" s="4">
        <f t="shared" si="46"/>
        <v>1</v>
      </c>
      <c r="L54" s="4">
        <f t="shared" si="47"/>
        <v>1</v>
      </c>
      <c r="M54" s="4">
        <f t="shared" si="61"/>
        <v>1</v>
      </c>
      <c r="N54" s="4">
        <f t="shared" si="48"/>
        <v>1</v>
      </c>
      <c r="O54" s="4">
        <f t="shared" si="49"/>
        <v>1</v>
      </c>
      <c r="P54" s="4">
        <f t="shared" si="63"/>
        <v>1</v>
      </c>
      <c r="Q54" s="4">
        <f t="shared" si="64"/>
        <v>1</v>
      </c>
      <c r="R54" s="4">
        <f t="shared" si="65"/>
        <v>1</v>
      </c>
      <c r="S54" s="4">
        <f t="shared" si="66"/>
        <v>1</v>
      </c>
      <c r="T54" s="4">
        <f t="shared" si="67"/>
        <v>1</v>
      </c>
      <c r="U54" s="4">
        <f t="shared" si="68"/>
        <v>1</v>
      </c>
      <c r="V54" s="4">
        <f t="shared" si="69"/>
        <v>1</v>
      </c>
      <c r="W54" s="4">
        <f t="shared" si="50"/>
        <v>1</v>
      </c>
      <c r="X54" s="4">
        <f t="shared" si="51"/>
        <v>1</v>
      </c>
      <c r="Y54" s="17">
        <v>1</v>
      </c>
      <c r="Z54" s="4">
        <f t="shared" si="53"/>
        <v>1</v>
      </c>
      <c r="AA54" s="4">
        <f t="shared" si="54"/>
        <v>1</v>
      </c>
      <c r="AB54" s="4">
        <f t="shared" si="55"/>
        <v>1</v>
      </c>
      <c r="AC54" s="4">
        <f t="shared" si="56"/>
        <v>1</v>
      </c>
      <c r="AD54" s="4">
        <f t="shared" si="57"/>
        <v>1</v>
      </c>
      <c r="AE54" s="4">
        <f t="shared" si="58"/>
        <v>1</v>
      </c>
    </row>
    <row r="55" spans="2:31" x14ac:dyDescent="0.25">
      <c r="B55" s="20">
        <v>20</v>
      </c>
      <c r="C55" s="14"/>
      <c r="D55" s="19"/>
      <c r="E55" s="21">
        <f>(D55*PRODUCT($F$34:$AE$34)/Z34)/(PRODUCT(F55:AE55))</f>
        <v>0</v>
      </c>
      <c r="F55" s="22">
        <f t="shared" si="59"/>
        <v>1</v>
      </c>
      <c r="G55" s="22">
        <f t="shared" si="43"/>
        <v>1</v>
      </c>
      <c r="H55" s="22">
        <f t="shared" si="60"/>
        <v>1</v>
      </c>
      <c r="I55" s="22">
        <f t="shared" si="44"/>
        <v>1</v>
      </c>
      <c r="J55" s="22">
        <f t="shared" si="45"/>
        <v>1</v>
      </c>
      <c r="K55" s="22">
        <f t="shared" si="46"/>
        <v>1</v>
      </c>
      <c r="L55" s="22">
        <f t="shared" si="47"/>
        <v>1</v>
      </c>
      <c r="M55" s="22">
        <f t="shared" si="61"/>
        <v>1</v>
      </c>
      <c r="N55" s="22">
        <f t="shared" si="48"/>
        <v>1</v>
      </c>
      <c r="O55" s="22">
        <f t="shared" si="49"/>
        <v>1</v>
      </c>
      <c r="P55" s="22">
        <f t="shared" si="63"/>
        <v>1</v>
      </c>
      <c r="Q55" s="22">
        <f t="shared" si="64"/>
        <v>1</v>
      </c>
      <c r="R55" s="22">
        <f t="shared" si="65"/>
        <v>1</v>
      </c>
      <c r="S55" s="22">
        <f t="shared" si="66"/>
        <v>1</v>
      </c>
      <c r="T55" s="22">
        <f t="shared" si="67"/>
        <v>1</v>
      </c>
      <c r="U55" s="22">
        <f t="shared" si="68"/>
        <v>1</v>
      </c>
      <c r="V55" s="22">
        <f t="shared" si="69"/>
        <v>1</v>
      </c>
      <c r="W55" s="22">
        <f t="shared" si="50"/>
        <v>1</v>
      </c>
      <c r="X55" s="22">
        <f t="shared" si="51"/>
        <v>1</v>
      </c>
      <c r="Y55" s="22">
        <f t="shared" si="52"/>
        <v>1</v>
      </c>
      <c r="Z55" s="17">
        <v>1</v>
      </c>
      <c r="AA55" s="4">
        <f t="shared" si="54"/>
        <v>1</v>
      </c>
      <c r="AB55" s="4">
        <f t="shared" si="55"/>
        <v>1</v>
      </c>
      <c r="AC55" s="4">
        <f t="shared" si="56"/>
        <v>1</v>
      </c>
      <c r="AD55" s="4">
        <f t="shared" si="57"/>
        <v>1</v>
      </c>
      <c r="AE55" s="4">
        <f t="shared" si="58"/>
        <v>1</v>
      </c>
    </row>
    <row r="56" spans="2:31" x14ac:dyDescent="0.25">
      <c r="B56" s="10">
        <v>21</v>
      </c>
      <c r="C56" s="14"/>
      <c r="D56" s="26"/>
      <c r="E56" s="16">
        <f>(D56*PRODUCT($F$34:$AE$34)/AA34)/(PRODUCT(F56:AE56))</f>
        <v>0</v>
      </c>
      <c r="F56" s="4">
        <f t="shared" si="59"/>
        <v>1</v>
      </c>
      <c r="G56" s="4">
        <f t="shared" si="43"/>
        <v>1</v>
      </c>
      <c r="H56" s="4">
        <f t="shared" si="60"/>
        <v>1</v>
      </c>
      <c r="I56" s="4">
        <f t="shared" si="44"/>
        <v>1</v>
      </c>
      <c r="J56" s="4">
        <f t="shared" si="45"/>
        <v>1</v>
      </c>
      <c r="K56" s="4">
        <f t="shared" si="46"/>
        <v>1</v>
      </c>
      <c r="L56" s="4">
        <f t="shared" si="47"/>
        <v>1</v>
      </c>
      <c r="M56" s="4">
        <f t="shared" si="61"/>
        <v>1</v>
      </c>
      <c r="N56" s="4">
        <f t="shared" si="48"/>
        <v>1</v>
      </c>
      <c r="O56" s="4">
        <f t="shared" si="49"/>
        <v>1</v>
      </c>
      <c r="P56" s="4">
        <f t="shared" si="63"/>
        <v>1</v>
      </c>
      <c r="Q56" s="4">
        <f t="shared" si="64"/>
        <v>1</v>
      </c>
      <c r="R56" s="4">
        <f t="shared" si="65"/>
        <v>1</v>
      </c>
      <c r="S56" s="4">
        <f t="shared" si="66"/>
        <v>1</v>
      </c>
      <c r="T56" s="4">
        <f t="shared" si="67"/>
        <v>1</v>
      </c>
      <c r="U56" s="4">
        <f t="shared" si="68"/>
        <v>1</v>
      </c>
      <c r="V56" s="4">
        <f t="shared" si="69"/>
        <v>1</v>
      </c>
      <c r="W56" s="4">
        <f t="shared" si="50"/>
        <v>1</v>
      </c>
      <c r="X56" s="4">
        <f t="shared" si="51"/>
        <v>1</v>
      </c>
      <c r="Y56" s="22">
        <f t="shared" si="52"/>
        <v>1</v>
      </c>
      <c r="Z56" s="4">
        <f t="shared" si="53"/>
        <v>1</v>
      </c>
      <c r="AA56" s="23">
        <v>1</v>
      </c>
      <c r="AB56" s="4">
        <f t="shared" si="55"/>
        <v>1</v>
      </c>
      <c r="AC56" s="4">
        <f t="shared" si="56"/>
        <v>1</v>
      </c>
      <c r="AD56" s="4">
        <f t="shared" si="57"/>
        <v>1</v>
      </c>
      <c r="AE56" s="4">
        <f t="shared" si="58"/>
        <v>1</v>
      </c>
    </row>
    <row r="57" spans="2:31" x14ac:dyDescent="0.25">
      <c r="B57" s="10">
        <v>22</v>
      </c>
      <c r="C57" s="14"/>
      <c r="D57" s="26"/>
      <c r="E57" s="16">
        <f>(D57*PRODUCT($F$34:$AE$34)/AB34)/(PRODUCT(F57:AE57))</f>
        <v>0</v>
      </c>
      <c r="F57" s="22">
        <f t="shared" si="59"/>
        <v>1</v>
      </c>
      <c r="G57" s="22">
        <f t="shared" si="43"/>
        <v>1</v>
      </c>
      <c r="H57" s="22">
        <f t="shared" si="60"/>
        <v>1</v>
      </c>
      <c r="I57" s="22">
        <f t="shared" si="44"/>
        <v>1</v>
      </c>
      <c r="J57" s="22">
        <f t="shared" si="45"/>
        <v>1</v>
      </c>
      <c r="K57" s="22">
        <f t="shared" si="46"/>
        <v>1</v>
      </c>
      <c r="L57" s="22">
        <f t="shared" si="47"/>
        <v>1</v>
      </c>
      <c r="M57" s="22">
        <f t="shared" si="61"/>
        <v>1</v>
      </c>
      <c r="N57" s="22">
        <f t="shared" si="48"/>
        <v>1</v>
      </c>
      <c r="O57" s="22">
        <f t="shared" si="49"/>
        <v>1</v>
      </c>
      <c r="P57" s="22">
        <f t="shared" si="63"/>
        <v>1</v>
      </c>
      <c r="Q57" s="22">
        <f t="shared" si="64"/>
        <v>1</v>
      </c>
      <c r="R57" s="22">
        <f t="shared" si="65"/>
        <v>1</v>
      </c>
      <c r="S57" s="22">
        <f t="shared" si="66"/>
        <v>1</v>
      </c>
      <c r="T57" s="22">
        <f t="shared" si="67"/>
        <v>1</v>
      </c>
      <c r="U57" s="22">
        <f t="shared" si="68"/>
        <v>1</v>
      </c>
      <c r="V57" s="22">
        <f t="shared" si="69"/>
        <v>1</v>
      </c>
      <c r="W57" s="22">
        <f t="shared" si="50"/>
        <v>1</v>
      </c>
      <c r="X57" s="22">
        <f t="shared" si="51"/>
        <v>1</v>
      </c>
      <c r="Y57" s="22">
        <f t="shared" si="52"/>
        <v>1</v>
      </c>
      <c r="Z57" s="4">
        <f t="shared" si="53"/>
        <v>1</v>
      </c>
      <c r="AA57" s="4">
        <f t="shared" si="54"/>
        <v>1</v>
      </c>
      <c r="AB57" s="23">
        <v>1</v>
      </c>
      <c r="AC57" s="4">
        <f t="shared" si="56"/>
        <v>1</v>
      </c>
      <c r="AD57" s="4">
        <f t="shared" si="57"/>
        <v>1</v>
      </c>
      <c r="AE57" s="4">
        <f t="shared" si="58"/>
        <v>1</v>
      </c>
    </row>
    <row r="58" spans="2:31" x14ac:dyDescent="0.25">
      <c r="B58" s="10">
        <v>23</v>
      </c>
      <c r="C58" s="14"/>
      <c r="D58" s="26"/>
      <c r="E58" s="16">
        <f>(D58*PRODUCT($F$34:$AE$34)/AC34)/(PRODUCT(F58:AE58))</f>
        <v>0</v>
      </c>
      <c r="F58" s="4">
        <f t="shared" si="59"/>
        <v>1</v>
      </c>
      <c r="G58" s="4">
        <f t="shared" si="43"/>
        <v>1</v>
      </c>
      <c r="H58" s="4">
        <f t="shared" si="60"/>
        <v>1</v>
      </c>
      <c r="I58" s="4">
        <f t="shared" si="44"/>
        <v>1</v>
      </c>
      <c r="J58" s="4">
        <f t="shared" si="45"/>
        <v>1</v>
      </c>
      <c r="K58" s="4">
        <f t="shared" si="46"/>
        <v>1</v>
      </c>
      <c r="L58" s="4">
        <f t="shared" si="47"/>
        <v>1</v>
      </c>
      <c r="M58" s="4">
        <f t="shared" si="61"/>
        <v>1</v>
      </c>
      <c r="N58" s="4">
        <f t="shared" si="48"/>
        <v>1</v>
      </c>
      <c r="O58" s="4">
        <f t="shared" si="49"/>
        <v>1</v>
      </c>
      <c r="P58" s="4">
        <f t="shared" si="63"/>
        <v>1</v>
      </c>
      <c r="Q58" s="4">
        <f t="shared" si="64"/>
        <v>1</v>
      </c>
      <c r="R58" s="4">
        <f t="shared" si="65"/>
        <v>1</v>
      </c>
      <c r="S58" s="4">
        <f t="shared" si="66"/>
        <v>1</v>
      </c>
      <c r="T58" s="4">
        <f t="shared" si="67"/>
        <v>1</v>
      </c>
      <c r="U58" s="4">
        <f t="shared" si="68"/>
        <v>1</v>
      </c>
      <c r="V58" s="4">
        <f t="shared" si="69"/>
        <v>1</v>
      </c>
      <c r="W58" s="4">
        <f t="shared" si="50"/>
        <v>1</v>
      </c>
      <c r="X58" s="4">
        <f t="shared" si="51"/>
        <v>1</v>
      </c>
      <c r="Y58" s="22">
        <f t="shared" si="52"/>
        <v>1</v>
      </c>
      <c r="Z58" s="4">
        <f t="shared" si="53"/>
        <v>1</v>
      </c>
      <c r="AA58" s="4">
        <f t="shared" si="54"/>
        <v>1</v>
      </c>
      <c r="AB58" s="4">
        <f t="shared" si="55"/>
        <v>1</v>
      </c>
      <c r="AC58" s="23">
        <v>1</v>
      </c>
      <c r="AD58" s="4">
        <f t="shared" si="57"/>
        <v>1</v>
      </c>
      <c r="AE58" s="4">
        <f t="shared" si="58"/>
        <v>1</v>
      </c>
    </row>
    <row r="59" spans="2:31" x14ac:dyDescent="0.25">
      <c r="B59" s="10">
        <v>24</v>
      </c>
      <c r="C59" s="24"/>
      <c r="D59" s="26"/>
      <c r="E59" s="16">
        <f>(D59*PRODUCT($F$34:$AE$34)/AD34)/(PRODUCT(F59:AE59))</f>
        <v>0</v>
      </c>
      <c r="F59" s="22">
        <f t="shared" si="59"/>
        <v>1</v>
      </c>
      <c r="G59" s="22">
        <f t="shared" si="43"/>
        <v>1</v>
      </c>
      <c r="H59" s="22">
        <f t="shared" si="60"/>
        <v>1</v>
      </c>
      <c r="I59" s="22">
        <f t="shared" si="44"/>
        <v>1</v>
      </c>
      <c r="J59" s="22">
        <f t="shared" si="45"/>
        <v>1</v>
      </c>
      <c r="K59" s="22">
        <f t="shared" si="46"/>
        <v>1</v>
      </c>
      <c r="L59" s="22">
        <f t="shared" si="47"/>
        <v>1</v>
      </c>
      <c r="M59" s="22">
        <f t="shared" si="61"/>
        <v>1</v>
      </c>
      <c r="N59" s="22">
        <f t="shared" si="48"/>
        <v>1</v>
      </c>
      <c r="O59" s="22">
        <f t="shared" si="49"/>
        <v>1</v>
      </c>
      <c r="P59" s="22">
        <f t="shared" si="63"/>
        <v>1</v>
      </c>
      <c r="Q59" s="22">
        <f t="shared" si="64"/>
        <v>1</v>
      </c>
      <c r="R59" s="22">
        <f t="shared" si="65"/>
        <v>1</v>
      </c>
      <c r="S59" s="22">
        <f t="shared" si="66"/>
        <v>1</v>
      </c>
      <c r="T59" s="22">
        <f t="shared" si="67"/>
        <v>1</v>
      </c>
      <c r="U59" s="22">
        <f t="shared" si="68"/>
        <v>1</v>
      </c>
      <c r="V59" s="22">
        <f t="shared" si="69"/>
        <v>1</v>
      </c>
      <c r="W59" s="22">
        <f t="shared" si="50"/>
        <v>1</v>
      </c>
      <c r="X59" s="22">
        <f t="shared" si="51"/>
        <v>1</v>
      </c>
      <c r="Y59" s="22">
        <f t="shared" si="52"/>
        <v>1</v>
      </c>
      <c r="Z59" s="4">
        <f t="shared" si="53"/>
        <v>1</v>
      </c>
      <c r="AA59" s="4">
        <f t="shared" si="54"/>
        <v>1</v>
      </c>
      <c r="AB59" s="4">
        <f t="shared" si="55"/>
        <v>1</v>
      </c>
      <c r="AC59" s="4">
        <f t="shared" si="56"/>
        <v>1</v>
      </c>
      <c r="AD59" s="23">
        <v>1</v>
      </c>
      <c r="AE59" s="4">
        <f t="shared" si="58"/>
        <v>1</v>
      </c>
    </row>
    <row r="60" spans="2:31" x14ac:dyDescent="0.25">
      <c r="B60" s="20">
        <v>25</v>
      </c>
      <c r="C60" s="25"/>
      <c r="D60" s="27"/>
      <c r="E60" s="16">
        <f>(D60*PRODUCT($F$34:$AE$34)/AE34)/(PRODUCT(F60:AE60))</f>
        <v>0</v>
      </c>
      <c r="F60" s="4">
        <f t="shared" si="59"/>
        <v>1</v>
      </c>
      <c r="G60" s="4">
        <f t="shared" si="43"/>
        <v>1</v>
      </c>
      <c r="H60" s="4">
        <f t="shared" si="60"/>
        <v>1</v>
      </c>
      <c r="I60" s="4">
        <f t="shared" si="44"/>
        <v>1</v>
      </c>
      <c r="J60" s="4">
        <f t="shared" si="45"/>
        <v>1</v>
      </c>
      <c r="K60" s="4">
        <f t="shared" si="46"/>
        <v>1</v>
      </c>
      <c r="L60" s="4">
        <f t="shared" si="47"/>
        <v>1</v>
      </c>
      <c r="M60" s="4">
        <f t="shared" si="61"/>
        <v>1</v>
      </c>
      <c r="N60" s="4">
        <f t="shared" si="48"/>
        <v>1</v>
      </c>
      <c r="O60" s="4">
        <f t="shared" si="49"/>
        <v>1</v>
      </c>
      <c r="P60" s="4">
        <f t="shared" si="63"/>
        <v>1</v>
      </c>
      <c r="Q60" s="4">
        <f t="shared" si="64"/>
        <v>1</v>
      </c>
      <c r="R60" s="4">
        <f t="shared" si="65"/>
        <v>1</v>
      </c>
      <c r="S60" s="4">
        <f t="shared" si="66"/>
        <v>1</v>
      </c>
      <c r="T60" s="4">
        <f t="shared" si="67"/>
        <v>1</v>
      </c>
      <c r="U60" s="4">
        <f t="shared" si="68"/>
        <v>1</v>
      </c>
      <c r="V60" s="4">
        <f t="shared" si="69"/>
        <v>1</v>
      </c>
      <c r="W60" s="4">
        <f t="shared" si="50"/>
        <v>1</v>
      </c>
      <c r="X60" s="4">
        <f t="shared" si="51"/>
        <v>1</v>
      </c>
      <c r="Y60" s="4">
        <f t="shared" si="52"/>
        <v>1</v>
      </c>
      <c r="Z60" s="4">
        <f t="shared" si="53"/>
        <v>1</v>
      </c>
      <c r="AA60" s="4">
        <f t="shared" si="54"/>
        <v>1</v>
      </c>
      <c r="AB60" s="4">
        <f t="shared" si="55"/>
        <v>1</v>
      </c>
      <c r="AC60" s="4">
        <f t="shared" si="56"/>
        <v>1</v>
      </c>
      <c r="AD60" s="4">
        <f t="shared" si="57"/>
        <v>1</v>
      </c>
      <c r="AE60" s="17">
        <v>1</v>
      </c>
    </row>
    <row r="63" spans="2:31" ht="15.75" thickBot="1" x14ac:dyDescent="0.3">
      <c r="B63" s="6" t="s">
        <v>25</v>
      </c>
      <c r="C63" s="7" t="s">
        <v>26</v>
      </c>
      <c r="D63" s="7" t="s">
        <v>27</v>
      </c>
      <c r="E63" s="8" t="s">
        <v>28</v>
      </c>
      <c r="F63" s="9" t="s">
        <v>29</v>
      </c>
      <c r="G63" s="8" t="s">
        <v>30</v>
      </c>
      <c r="H63" s="9" t="s">
        <v>31</v>
      </c>
      <c r="I63" s="9" t="s">
        <v>32</v>
      </c>
      <c r="J63" s="8" t="s">
        <v>33</v>
      </c>
      <c r="K63" s="9" t="s">
        <v>34</v>
      </c>
      <c r="L63" s="9" t="s">
        <v>35</v>
      </c>
      <c r="M63" s="8" t="s">
        <v>36</v>
      </c>
      <c r="N63" s="9" t="s">
        <v>37</v>
      </c>
      <c r="O63" s="9" t="s">
        <v>38</v>
      </c>
      <c r="P63" s="9" t="s">
        <v>39</v>
      </c>
      <c r="Q63" s="8" t="s">
        <v>40</v>
      </c>
      <c r="R63" s="9" t="s">
        <v>41</v>
      </c>
      <c r="S63" s="9" t="s">
        <v>42</v>
      </c>
      <c r="T63" s="9" t="s">
        <v>43</v>
      </c>
      <c r="U63" s="9" t="s">
        <v>44</v>
      </c>
      <c r="V63" s="9" t="s">
        <v>45</v>
      </c>
      <c r="W63" s="9" t="s">
        <v>46</v>
      </c>
      <c r="X63" s="9" t="s">
        <v>47</v>
      </c>
      <c r="Y63" s="9" t="s">
        <v>48</v>
      </c>
      <c r="Z63" s="9" t="s">
        <v>49</v>
      </c>
      <c r="AA63" s="9" t="s">
        <v>50</v>
      </c>
      <c r="AB63" s="9" t="s">
        <v>51</v>
      </c>
      <c r="AC63" s="9" t="s">
        <v>52</v>
      </c>
      <c r="AD63" s="9" t="s">
        <v>53</v>
      </c>
      <c r="AE63" s="9" t="s">
        <v>54</v>
      </c>
    </row>
    <row r="64" spans="2:31" ht="15.75" thickBot="1" x14ac:dyDescent="0.3">
      <c r="B64" s="10" t="s">
        <v>55</v>
      </c>
      <c r="C64" s="11"/>
      <c r="D64" s="12">
        <f>IFERROR(IF(E64=1,VLOOKUP(C64,C65:D90,2,FALSE),SUM(E65:E90)),SUM(E65:E90))</f>
        <v>0</v>
      </c>
      <c r="E64" s="13">
        <f>COUNTIF(C65:C90,C64)</f>
        <v>0</v>
      </c>
      <c r="F64" s="4">
        <f>IF(OR($C64-$C$65=0,AND($C$65=0,$D$65=0)),1,$C64-$C$65)</f>
        <v>1</v>
      </c>
      <c r="G64" s="4">
        <f>IF(OR($C64-$C$66=0,AND($C$66=0,$D$66=0)),1,$C64-$C$66)</f>
        <v>1</v>
      </c>
      <c r="H64" s="4">
        <f>IF(OR($C64-$C$67=0,AND($C$67=0,$D$67=0)),1,$C64-$C$67)</f>
        <v>1</v>
      </c>
      <c r="I64" s="4">
        <f>IF(OR($C64-$C$68=0,AND($C$68=0,$D$68=0)),1,$C64-$C$68)</f>
        <v>1</v>
      </c>
      <c r="J64" s="4">
        <f>IF(OR($C64-$C$69=0,AND($C$69=0,$D$69=0)),1,$C64-$C$69)</f>
        <v>1</v>
      </c>
      <c r="K64" s="4">
        <f>IF(OR($C64-$C$70=0,AND($C$70=0,$D$70=0)),1,$C64-$C$70)</f>
        <v>1</v>
      </c>
      <c r="L64" s="4">
        <f>IF(OR($C64-$C$71=0,AND($C$71=0,$D$71=0)),1,$C64-$C$71)</f>
        <v>1</v>
      </c>
      <c r="M64" s="4">
        <f t="shared" ref="M64:M71" si="70">IF(OR($C64-$C$72=0,AND($C$72=0,$D$72=0)),1,$C64-$C$72)</f>
        <v>1</v>
      </c>
      <c r="N64" s="4">
        <f>IF(OR($C64-$C$73=0,AND($C$73=0,$D$73=0)),1,$C64-$C$73)</f>
        <v>1</v>
      </c>
      <c r="O64" s="4">
        <f>IF(OR($C64-$C$74=0,AND($C$74=0,$D$74=0)),1,$C64-$C$74)</f>
        <v>1</v>
      </c>
      <c r="P64" s="4">
        <f t="shared" ref="P64:P74" si="71">IF(OR($C64-$C$75=0,AND($C$75=0,$D$75=0)),1,$C64-$C$75)</f>
        <v>1</v>
      </c>
      <c r="Q64" s="4">
        <f t="shared" ref="Q64:Q75" si="72">IF(OR($C64-$C$76=0,AND($C$76=0,$D$76=0)),1,$C64-$C$76)</f>
        <v>1</v>
      </c>
      <c r="R64" s="4">
        <f t="shared" ref="R64:R76" si="73">IF(OR($C64-$C$77=0,AND($C$77=0,$D$77=0)),1,$C64-$C$77)</f>
        <v>1</v>
      </c>
      <c r="S64" s="4">
        <f t="shared" ref="S64:S77" si="74">IF(OR($C64-$C$78=0,AND($C$78=0,$D$78=0)),1,$C64-$C$78)</f>
        <v>1</v>
      </c>
      <c r="T64" s="4">
        <f t="shared" ref="T64:T78" si="75">IF(OR($C64-$C$79=0,AND($C$79=0,$D$79=0)),1,$C64-$C$79)</f>
        <v>1</v>
      </c>
      <c r="U64" s="4">
        <f t="shared" ref="U64:U79" si="76">IF(OR($C64-$C$80=0,AND($C$80=0,$D$80=0)),1,$C64-$C$80)</f>
        <v>1</v>
      </c>
      <c r="V64" s="4">
        <f t="shared" ref="V64:V80" si="77">IF(OR($C64-$C$81=0,AND($C$81=0,$D$81=0)),1,$C64-$C$81)</f>
        <v>1</v>
      </c>
      <c r="W64" s="4">
        <f>IF(OR($C64-$C$82=0,AND($C$82=0,$D$82=0)),1,$C64-$C$82)</f>
        <v>1</v>
      </c>
      <c r="X64" s="4">
        <f>IF(OR($C64-$C$83=0,AND($C$83=0,$D$83=0)),1,$C64-$C$83)</f>
        <v>1</v>
      </c>
      <c r="Y64" s="4">
        <f>IF(OR($C64-$C$84=0,AND($C$84=0,$D$84=0)),1,$C64-$C$84)</f>
        <v>1</v>
      </c>
      <c r="Z64" s="4">
        <f>IF(OR($C64-$C$85=0,AND($C$85=0,$D$85=0)),1,$C64-$C$85)</f>
        <v>1</v>
      </c>
      <c r="AA64" s="4">
        <f>IF(OR($C64-$C$86=0,AND($C$86=0,$D$86=0)),1,$C64-$C$86)</f>
        <v>1</v>
      </c>
      <c r="AB64" s="4">
        <f>IF(OR($C64-$C$87=0,AND($C$87=0,$D$87=0)),1,$C64-$C$87)</f>
        <v>1</v>
      </c>
      <c r="AC64" s="4">
        <f>IF(OR($C64-$C$88=0,AND($C$88=0,$D$88=0)),1,$C64-$C$88)</f>
        <v>1</v>
      </c>
      <c r="AD64" s="4">
        <f>IF(OR($C64-$C$89=0,AND($C$89=0,$D$89=0)),1,$C64-$C$89)</f>
        <v>1</v>
      </c>
      <c r="AE64" s="4">
        <f>IF(OR($C64-$C$90=0,AND($C$90=0,$D$90=0)),1,$C64-$C$90)</f>
        <v>1</v>
      </c>
    </row>
    <row r="65" spans="2:31" x14ac:dyDescent="0.25">
      <c r="B65" s="10">
        <v>0</v>
      </c>
      <c r="C65" s="14"/>
      <c r="D65" s="15"/>
      <c r="E65" s="16">
        <f>(D65*PRODUCT($F$64:$AE$64)/F64)/(PRODUCT(F65:AE65))</f>
        <v>0</v>
      </c>
      <c r="F65" s="17">
        <v>1</v>
      </c>
      <c r="G65" s="4">
        <f t="shared" ref="G65:G90" si="78">IF(OR($C65-$C$66=0,AND($C$66=0,$D$66=0)),1,$C65-$C$66)</f>
        <v>1</v>
      </c>
      <c r="H65" s="4">
        <f>IF(OR($C65-$C$67=0,AND($C$67=0,$D$67=0)),1,$C65-$C$67)</f>
        <v>1</v>
      </c>
      <c r="I65" s="4">
        <f t="shared" ref="I65:I90" si="79">IF(OR($C65-$C$68=0,AND($C$68=0,$D$68=0)),1,$C65-$C$68)</f>
        <v>1</v>
      </c>
      <c r="J65" s="4">
        <f t="shared" ref="J65:J90" si="80">IF(OR($C65-$C$69=0,AND($C$69=0,$D$69=0)),1,$C65-$C$69)</f>
        <v>1</v>
      </c>
      <c r="K65" s="4">
        <f t="shared" ref="K65:K90" si="81">IF(OR($C65-$C$70=0,AND($C$70=0,$D$70=0)),1,$C65-$C$70)</f>
        <v>1</v>
      </c>
      <c r="L65" s="4">
        <f t="shared" ref="L65:L90" si="82">IF(OR($C65-$C$71=0,AND($C$71=0,$D$71=0)),1,$C65-$C$71)</f>
        <v>1</v>
      </c>
      <c r="M65" s="4">
        <f t="shared" si="70"/>
        <v>1</v>
      </c>
      <c r="N65" s="4">
        <f t="shared" ref="N65:N90" si="83">IF(OR($C65-$C$73=0,AND($C$73=0,$D$73=0)),1,$C65-$C$73)</f>
        <v>1</v>
      </c>
      <c r="O65" s="4">
        <f t="shared" ref="O65:O90" si="84">IF(OR($C65-$C$74=0,AND($C$74=0,$D$74=0)),1,$C65-$C$74)</f>
        <v>1</v>
      </c>
      <c r="P65" s="4">
        <f t="shared" si="71"/>
        <v>1</v>
      </c>
      <c r="Q65" s="4">
        <f t="shared" si="72"/>
        <v>1</v>
      </c>
      <c r="R65" s="4">
        <f t="shared" si="73"/>
        <v>1</v>
      </c>
      <c r="S65" s="4">
        <f t="shared" si="74"/>
        <v>1</v>
      </c>
      <c r="T65" s="4">
        <f t="shared" si="75"/>
        <v>1</v>
      </c>
      <c r="U65" s="4">
        <f t="shared" si="76"/>
        <v>1</v>
      </c>
      <c r="V65" s="4">
        <f t="shared" si="77"/>
        <v>1</v>
      </c>
      <c r="W65" s="4">
        <f t="shared" ref="W65:W90" si="85">IF(OR($C65-$C$82=0,AND($C$82=0,$D$82=0)),1,$C65-$C$82)</f>
        <v>1</v>
      </c>
      <c r="X65" s="4">
        <f t="shared" ref="X65:X90" si="86">IF(OR($C65-$C$83=0,AND($C$83=0,$D$83=0)),1,$C65-$C$83)</f>
        <v>1</v>
      </c>
      <c r="Y65" s="4">
        <f t="shared" ref="Y65:Y90" si="87">IF(OR($C65-$C$84=0,AND($C$84=0,$D$84=0)),1,$C65-$C$84)</f>
        <v>1</v>
      </c>
      <c r="Z65" s="4">
        <f t="shared" ref="Z65:Z90" si="88">IF(OR($C65-$C$85=0,AND($C$85=0,$D$85=0)),1,$C65-$C$85)</f>
        <v>1</v>
      </c>
      <c r="AA65" s="4">
        <f t="shared" ref="AA65:AA90" si="89">IF(OR($C65-$C$86=0,AND($C$86=0,$D$86=0)),1,$C65-$C$86)</f>
        <v>1</v>
      </c>
      <c r="AB65" s="4">
        <f t="shared" ref="AB65:AB90" si="90">IF(OR($C65-$C$87=0,AND($C$87=0,$D$87=0)),1,$C65-$C$87)</f>
        <v>1</v>
      </c>
      <c r="AC65" s="4">
        <f t="shared" ref="AC65:AC90" si="91">IF(OR($C65-$C$88=0,AND($C$88=0,$D$88=0)),1,$C65-$C$88)</f>
        <v>1</v>
      </c>
      <c r="AD65" s="4">
        <f t="shared" ref="AD65:AD90" si="92">IF(OR($C65-$C$89=0,AND($C$89=0,$D$89=0)),1,$C65-$C$89)</f>
        <v>1</v>
      </c>
      <c r="AE65" s="4">
        <f t="shared" ref="AE65:AE89" si="93">IF(OR($C65-$C$90=0,AND($C$90=0,$D$90=0)),1,$C65-$C$90)</f>
        <v>1</v>
      </c>
    </row>
    <row r="66" spans="2:31" x14ac:dyDescent="0.25">
      <c r="B66" s="10">
        <v>1</v>
      </c>
      <c r="C66" s="14"/>
      <c r="D66" s="15"/>
      <c r="E66" s="16">
        <f>(D66*PRODUCT($F$64:$AE$64)/G64)/(PRODUCT(F66:AE66))</f>
        <v>0</v>
      </c>
      <c r="F66" s="4">
        <f t="shared" ref="F66:F90" si="94">IF(OR($C66-$C$65=0,AND($C$65=0,$D$65=0)),1,$C66-$C$65)</f>
        <v>1</v>
      </c>
      <c r="G66" s="17">
        <v>1</v>
      </c>
      <c r="H66" s="4">
        <f>IF(OR($C66-$C$67=0,AND($C$67=0,$D$67=0)),1,$C66-$C$67)</f>
        <v>1</v>
      </c>
      <c r="I66" s="4">
        <f t="shared" si="79"/>
        <v>1</v>
      </c>
      <c r="J66" s="4">
        <f t="shared" si="80"/>
        <v>1</v>
      </c>
      <c r="K66" s="4">
        <f t="shared" si="81"/>
        <v>1</v>
      </c>
      <c r="L66" s="4">
        <f t="shared" si="82"/>
        <v>1</v>
      </c>
      <c r="M66" s="4">
        <f t="shared" si="70"/>
        <v>1</v>
      </c>
      <c r="N66" s="4">
        <f t="shared" si="83"/>
        <v>1</v>
      </c>
      <c r="O66" s="4">
        <f t="shared" si="84"/>
        <v>1</v>
      </c>
      <c r="P66" s="4">
        <f t="shared" si="71"/>
        <v>1</v>
      </c>
      <c r="Q66" s="4">
        <f t="shared" si="72"/>
        <v>1</v>
      </c>
      <c r="R66" s="4">
        <f t="shared" si="73"/>
        <v>1</v>
      </c>
      <c r="S66" s="4">
        <f t="shared" si="74"/>
        <v>1</v>
      </c>
      <c r="T66" s="4">
        <f t="shared" si="75"/>
        <v>1</v>
      </c>
      <c r="U66" s="4">
        <f t="shared" si="76"/>
        <v>1</v>
      </c>
      <c r="V66" s="4">
        <f t="shared" si="77"/>
        <v>1</v>
      </c>
      <c r="W66" s="4">
        <f t="shared" si="85"/>
        <v>1</v>
      </c>
      <c r="X66" s="4">
        <f t="shared" si="86"/>
        <v>1</v>
      </c>
      <c r="Y66" s="4">
        <f t="shared" si="87"/>
        <v>1</v>
      </c>
      <c r="Z66" s="4">
        <f t="shared" si="88"/>
        <v>1</v>
      </c>
      <c r="AA66" s="4">
        <f t="shared" si="89"/>
        <v>1</v>
      </c>
      <c r="AB66" s="4">
        <f t="shared" si="90"/>
        <v>1</v>
      </c>
      <c r="AC66" s="4">
        <f t="shared" si="91"/>
        <v>1</v>
      </c>
      <c r="AD66" s="4">
        <f t="shared" si="92"/>
        <v>1</v>
      </c>
      <c r="AE66" s="4">
        <f t="shared" si="93"/>
        <v>1</v>
      </c>
    </row>
    <row r="67" spans="2:31" x14ac:dyDescent="0.25">
      <c r="B67" s="10">
        <v>2</v>
      </c>
      <c r="C67" s="14"/>
      <c r="D67" s="15"/>
      <c r="E67" s="16">
        <f>(D67*PRODUCT($F$64:$AE$64)/H64)/(PRODUCT(F67:AE67))</f>
        <v>0</v>
      </c>
      <c r="F67" s="4">
        <f>IF(OR($C67-$C$65=0,AND($C$65=0,$D$65=0)),1,$C67-$C$65)</f>
        <v>1</v>
      </c>
      <c r="G67" s="4">
        <f>IF(OR($C67-$C$66=0,AND($C$66=0,$D$66=0)),1,$C67-$C$66)</f>
        <v>1</v>
      </c>
      <c r="H67" s="17">
        <v>1</v>
      </c>
      <c r="I67" s="4">
        <f>IF(OR($C67-$C$68=0,AND($C$68=0,$D$68=0)),1,$C67-$C$68)</f>
        <v>1</v>
      </c>
      <c r="J67" s="4">
        <f>IF(OR($C67-$C$69=0,AND($C$69=0,$D$69=0)),1,$C67-$C$69)</f>
        <v>1</v>
      </c>
      <c r="K67" s="4">
        <f>IF(OR($C67-$C$70=0,AND($C$70=0,$D$70=0)),1,$C67-$C$70)</f>
        <v>1</v>
      </c>
      <c r="L67" s="4">
        <f>IF(OR($C67-$C$71=0,AND($C$71=0,$D$71=0)),1,$C67-$C$71)</f>
        <v>1</v>
      </c>
      <c r="M67" s="4">
        <f t="shared" si="70"/>
        <v>1</v>
      </c>
      <c r="N67" s="4">
        <f>IF(OR($C67-$C$73=0,AND($C$73=0,$D$73=0)),1,$C67-$C$73)</f>
        <v>1</v>
      </c>
      <c r="O67" s="4">
        <f>IF(OR($C67-$C$74=0,AND($C$74=0,$D$74=0)),1,$C67-$C$74)</f>
        <v>1</v>
      </c>
      <c r="P67" s="4">
        <f t="shared" si="71"/>
        <v>1</v>
      </c>
      <c r="Q67" s="4">
        <f t="shared" si="72"/>
        <v>1</v>
      </c>
      <c r="R67" s="4">
        <f t="shared" si="73"/>
        <v>1</v>
      </c>
      <c r="S67" s="4">
        <f t="shared" si="74"/>
        <v>1</v>
      </c>
      <c r="T67" s="4">
        <f t="shared" si="75"/>
        <v>1</v>
      </c>
      <c r="U67" s="4">
        <f t="shared" si="76"/>
        <v>1</v>
      </c>
      <c r="V67" s="4">
        <f t="shared" si="77"/>
        <v>1</v>
      </c>
      <c r="W67" s="4">
        <f>IF(OR($C67-$C$82=0,AND($C$82=0,$D$82=0)),1,$C67-$C$82)</f>
        <v>1</v>
      </c>
      <c r="X67" s="4">
        <f>IF(OR($C67-$C$83=0,AND($C$83=0,$D$83=0)),1,$C67-$C$83)</f>
        <v>1</v>
      </c>
      <c r="Y67" s="4">
        <f>IF(OR($C67-$C$84=0,AND($C$84=0,$D$84=0)),1,$C67-$C$84)</f>
        <v>1</v>
      </c>
      <c r="Z67" s="4">
        <f>IF(OR($C67-$C$85=0,AND($C$85=0,$D$85=0)),1,$C67-$C$85)</f>
        <v>1</v>
      </c>
      <c r="AA67" s="4">
        <f>IF(OR($C67-$C$86=0,AND($C$86=0,$D$86=0)),1,$C67-$C$86)</f>
        <v>1</v>
      </c>
      <c r="AB67" s="4">
        <f>IF(OR($C67-$C$87=0,AND($C$87=0,$D$87=0)),1,$C67-$C$87)</f>
        <v>1</v>
      </c>
      <c r="AC67" s="4">
        <f>IF(OR($C67-$C$88=0,AND($C$88=0,$D$88=0)),1,$C67-$C$88)</f>
        <v>1</v>
      </c>
      <c r="AD67" s="4">
        <f>IF(OR($C67-$C$89=0,AND($C$89=0,$D$89=0)),1,$C67-$C$89)</f>
        <v>1</v>
      </c>
      <c r="AE67" s="4">
        <f>IF(OR($C67-$C$90=0,AND($C$90=0,$D$90=0)),1,$C67-$C$90)</f>
        <v>1</v>
      </c>
    </row>
    <row r="68" spans="2:31" x14ac:dyDescent="0.25">
      <c r="B68" s="10">
        <v>3</v>
      </c>
      <c r="C68" s="14"/>
      <c r="D68" s="15"/>
      <c r="E68" s="16">
        <f>(D68*PRODUCT($F$64:$AE$64)/I64)/(PRODUCT(F68:AE68))</f>
        <v>0</v>
      </c>
      <c r="F68" s="4">
        <f t="shared" si="94"/>
        <v>1</v>
      </c>
      <c r="G68" s="4">
        <f t="shared" si="78"/>
        <v>1</v>
      </c>
      <c r="H68" s="4">
        <f t="shared" ref="H68:H90" si="95">IF(OR($C68-$C$67=0,AND($C$67=0,$D$67=0)),1,$C68-$C$67)</f>
        <v>1</v>
      </c>
      <c r="I68" s="17">
        <v>1</v>
      </c>
      <c r="J68" s="4">
        <f t="shared" si="80"/>
        <v>1</v>
      </c>
      <c r="K68" s="4">
        <f t="shared" si="81"/>
        <v>1</v>
      </c>
      <c r="L68" s="4">
        <f t="shared" si="82"/>
        <v>1</v>
      </c>
      <c r="M68" s="4">
        <f t="shared" si="70"/>
        <v>1</v>
      </c>
      <c r="N68" s="4">
        <f t="shared" si="83"/>
        <v>1</v>
      </c>
      <c r="O68" s="4">
        <f t="shared" si="84"/>
        <v>1</v>
      </c>
      <c r="P68" s="4">
        <f t="shared" si="71"/>
        <v>1</v>
      </c>
      <c r="Q68" s="4">
        <f t="shared" si="72"/>
        <v>1</v>
      </c>
      <c r="R68" s="4">
        <f t="shared" si="73"/>
        <v>1</v>
      </c>
      <c r="S68" s="4">
        <f t="shared" si="74"/>
        <v>1</v>
      </c>
      <c r="T68" s="4">
        <f t="shared" si="75"/>
        <v>1</v>
      </c>
      <c r="U68" s="4">
        <f t="shared" si="76"/>
        <v>1</v>
      </c>
      <c r="V68" s="4">
        <f t="shared" si="77"/>
        <v>1</v>
      </c>
      <c r="W68" s="4">
        <f t="shared" si="85"/>
        <v>1</v>
      </c>
      <c r="X68" s="4">
        <f t="shared" si="86"/>
        <v>1</v>
      </c>
      <c r="Y68" s="4">
        <f t="shared" si="87"/>
        <v>1</v>
      </c>
      <c r="Z68" s="4">
        <f t="shared" si="88"/>
        <v>1</v>
      </c>
      <c r="AA68" s="4">
        <f t="shared" si="89"/>
        <v>1</v>
      </c>
      <c r="AB68" s="4">
        <f t="shared" si="90"/>
        <v>1</v>
      </c>
      <c r="AC68" s="4">
        <f t="shared" si="91"/>
        <v>1</v>
      </c>
      <c r="AD68" s="4">
        <f t="shared" si="92"/>
        <v>1</v>
      </c>
      <c r="AE68" s="4">
        <f t="shared" si="93"/>
        <v>1</v>
      </c>
    </row>
    <row r="69" spans="2:31" x14ac:dyDescent="0.25">
      <c r="B69" s="10">
        <v>4</v>
      </c>
      <c r="C69" s="18"/>
      <c r="D69" s="15"/>
      <c r="E69" s="16">
        <f>(D69*PRODUCT($F$64:$AE$64)/J64)/(PRODUCT(F69:AE69))</f>
        <v>0</v>
      </c>
      <c r="F69" s="4">
        <f t="shared" si="94"/>
        <v>1</v>
      </c>
      <c r="G69" s="4">
        <f t="shared" si="78"/>
        <v>1</v>
      </c>
      <c r="H69" s="4">
        <f t="shared" si="95"/>
        <v>1</v>
      </c>
      <c r="I69" s="4">
        <f t="shared" si="79"/>
        <v>1</v>
      </c>
      <c r="J69" s="17">
        <v>1</v>
      </c>
      <c r="K69" s="4">
        <f t="shared" si="81"/>
        <v>1</v>
      </c>
      <c r="L69" s="4">
        <f t="shared" si="82"/>
        <v>1</v>
      </c>
      <c r="M69" s="4">
        <f t="shared" si="70"/>
        <v>1</v>
      </c>
      <c r="N69" s="4">
        <f t="shared" si="83"/>
        <v>1</v>
      </c>
      <c r="O69" s="4">
        <f t="shared" si="84"/>
        <v>1</v>
      </c>
      <c r="P69" s="4">
        <f t="shared" si="71"/>
        <v>1</v>
      </c>
      <c r="Q69" s="4">
        <f t="shared" si="72"/>
        <v>1</v>
      </c>
      <c r="R69" s="4">
        <f t="shared" si="73"/>
        <v>1</v>
      </c>
      <c r="S69" s="4">
        <f t="shared" si="74"/>
        <v>1</v>
      </c>
      <c r="T69" s="4">
        <f t="shared" si="75"/>
        <v>1</v>
      </c>
      <c r="U69" s="4">
        <f t="shared" si="76"/>
        <v>1</v>
      </c>
      <c r="V69" s="4">
        <f t="shared" si="77"/>
        <v>1</v>
      </c>
      <c r="W69" s="4">
        <f t="shared" si="85"/>
        <v>1</v>
      </c>
      <c r="X69" s="4">
        <f t="shared" si="86"/>
        <v>1</v>
      </c>
      <c r="Y69" s="4">
        <f t="shared" si="87"/>
        <v>1</v>
      </c>
      <c r="Z69" s="4">
        <f t="shared" si="88"/>
        <v>1</v>
      </c>
      <c r="AA69" s="4">
        <f t="shared" si="89"/>
        <v>1</v>
      </c>
      <c r="AB69" s="4">
        <f t="shared" si="90"/>
        <v>1</v>
      </c>
      <c r="AC69" s="4">
        <f t="shared" si="91"/>
        <v>1</v>
      </c>
      <c r="AD69" s="4">
        <f t="shared" si="92"/>
        <v>1</v>
      </c>
      <c r="AE69" s="4">
        <f t="shared" si="93"/>
        <v>1</v>
      </c>
    </row>
    <row r="70" spans="2:31" x14ac:dyDescent="0.25">
      <c r="B70" s="10">
        <v>5</v>
      </c>
      <c r="C70" s="18"/>
      <c r="D70" s="15"/>
      <c r="E70" s="16">
        <f>(D70*PRODUCT($F$64:$AE$64)/K64)/(PRODUCT(F70:AE70))</f>
        <v>0</v>
      </c>
      <c r="F70" s="4">
        <f t="shared" si="94"/>
        <v>1</v>
      </c>
      <c r="G70" s="4">
        <f t="shared" si="78"/>
        <v>1</v>
      </c>
      <c r="H70" s="4">
        <f t="shared" si="95"/>
        <v>1</v>
      </c>
      <c r="I70" s="4">
        <f t="shared" si="79"/>
        <v>1</v>
      </c>
      <c r="J70" s="4">
        <f t="shared" si="80"/>
        <v>1</v>
      </c>
      <c r="K70" s="17">
        <v>1</v>
      </c>
      <c r="L70" s="4">
        <f t="shared" si="82"/>
        <v>1</v>
      </c>
      <c r="M70" s="4">
        <f t="shared" si="70"/>
        <v>1</v>
      </c>
      <c r="N70" s="4">
        <f t="shared" si="83"/>
        <v>1</v>
      </c>
      <c r="O70" s="4">
        <f t="shared" si="84"/>
        <v>1</v>
      </c>
      <c r="P70" s="4">
        <f t="shared" si="71"/>
        <v>1</v>
      </c>
      <c r="Q70" s="4">
        <f t="shared" si="72"/>
        <v>1</v>
      </c>
      <c r="R70" s="4">
        <f t="shared" si="73"/>
        <v>1</v>
      </c>
      <c r="S70" s="4">
        <f t="shared" si="74"/>
        <v>1</v>
      </c>
      <c r="T70" s="4">
        <f t="shared" si="75"/>
        <v>1</v>
      </c>
      <c r="U70" s="4">
        <f t="shared" si="76"/>
        <v>1</v>
      </c>
      <c r="V70" s="4">
        <f t="shared" si="77"/>
        <v>1</v>
      </c>
      <c r="W70" s="4">
        <f t="shared" si="85"/>
        <v>1</v>
      </c>
      <c r="X70" s="4">
        <f t="shared" si="86"/>
        <v>1</v>
      </c>
      <c r="Y70" s="4">
        <f t="shared" si="87"/>
        <v>1</v>
      </c>
      <c r="Z70" s="4">
        <f t="shared" si="88"/>
        <v>1</v>
      </c>
      <c r="AA70" s="4">
        <f t="shared" si="89"/>
        <v>1</v>
      </c>
      <c r="AB70" s="4">
        <f t="shared" si="90"/>
        <v>1</v>
      </c>
      <c r="AC70" s="4">
        <f t="shared" si="91"/>
        <v>1</v>
      </c>
      <c r="AD70" s="4">
        <f t="shared" si="92"/>
        <v>1</v>
      </c>
      <c r="AE70" s="4">
        <f t="shared" si="93"/>
        <v>1</v>
      </c>
    </row>
    <row r="71" spans="2:31" x14ac:dyDescent="0.25">
      <c r="B71" s="10">
        <v>6</v>
      </c>
      <c r="C71" s="18"/>
      <c r="D71" s="15"/>
      <c r="E71" s="16">
        <f>(D71*PRODUCT($F$64:$AE$64)/L64)/(PRODUCT(F71:AE71))</f>
        <v>0</v>
      </c>
      <c r="F71" s="4">
        <f t="shared" si="94"/>
        <v>1</v>
      </c>
      <c r="G71" s="4">
        <f t="shared" si="78"/>
        <v>1</v>
      </c>
      <c r="H71" s="4">
        <f t="shared" si="95"/>
        <v>1</v>
      </c>
      <c r="I71" s="4">
        <f t="shared" si="79"/>
        <v>1</v>
      </c>
      <c r="J71" s="4">
        <f t="shared" si="80"/>
        <v>1</v>
      </c>
      <c r="K71" s="4">
        <f t="shared" si="81"/>
        <v>1</v>
      </c>
      <c r="L71" s="17">
        <v>1</v>
      </c>
      <c r="M71" s="4">
        <f t="shared" si="70"/>
        <v>1</v>
      </c>
      <c r="N71" s="4">
        <f t="shared" si="83"/>
        <v>1</v>
      </c>
      <c r="O71" s="4">
        <f t="shared" si="84"/>
        <v>1</v>
      </c>
      <c r="P71" s="4">
        <f t="shared" si="71"/>
        <v>1</v>
      </c>
      <c r="Q71" s="4">
        <f t="shared" si="72"/>
        <v>1</v>
      </c>
      <c r="R71" s="4">
        <f t="shared" si="73"/>
        <v>1</v>
      </c>
      <c r="S71" s="4">
        <f t="shared" si="74"/>
        <v>1</v>
      </c>
      <c r="T71" s="4">
        <f t="shared" si="75"/>
        <v>1</v>
      </c>
      <c r="U71" s="4">
        <f t="shared" si="76"/>
        <v>1</v>
      </c>
      <c r="V71" s="4">
        <f t="shared" si="77"/>
        <v>1</v>
      </c>
      <c r="W71" s="4">
        <f t="shared" si="85"/>
        <v>1</v>
      </c>
      <c r="X71" s="4">
        <f t="shared" si="86"/>
        <v>1</v>
      </c>
      <c r="Y71" s="4">
        <f t="shared" si="87"/>
        <v>1</v>
      </c>
      <c r="Z71" s="4">
        <f t="shared" si="88"/>
        <v>1</v>
      </c>
      <c r="AA71" s="4">
        <f t="shared" si="89"/>
        <v>1</v>
      </c>
      <c r="AB71" s="4">
        <f t="shared" si="90"/>
        <v>1</v>
      </c>
      <c r="AC71" s="4">
        <f t="shared" si="91"/>
        <v>1</v>
      </c>
      <c r="AD71" s="4">
        <f t="shared" si="92"/>
        <v>1</v>
      </c>
      <c r="AE71" s="4">
        <f t="shared" si="93"/>
        <v>1</v>
      </c>
    </row>
    <row r="72" spans="2:31" x14ac:dyDescent="0.25">
      <c r="B72" s="10">
        <v>7</v>
      </c>
      <c r="C72" s="18"/>
      <c r="D72" s="15"/>
      <c r="E72" s="16">
        <f>(D72*PRODUCT($F$64:$AE$64)/M64)/(PRODUCT(F72:AE72))</f>
        <v>0</v>
      </c>
      <c r="F72" s="4">
        <f>IF(OR($C72-$C$65=0,AND($C$65=0,$D$65=0)),1,$C72-$C$65)</f>
        <v>1</v>
      </c>
      <c r="G72" s="4">
        <f>IF(OR($C72-$C$66=0,AND($C$66=0,$D$66=0)),1,$C72-$C$66)</f>
        <v>1</v>
      </c>
      <c r="H72" s="4">
        <f t="shared" si="95"/>
        <v>1</v>
      </c>
      <c r="I72" s="4">
        <f>IF(OR($C72-$C$68=0,AND($C$68=0,$D$68=0)),1,$C72-$C$68)</f>
        <v>1</v>
      </c>
      <c r="J72" s="4">
        <f>IF(OR($C72-$C$69=0,AND($C$69=0,$D$69=0)),1,$C72-$C$69)</f>
        <v>1</v>
      </c>
      <c r="K72" s="4">
        <f>IF(OR($C72-$C$70=0,AND($C$70=0,$D$70=0)),1,$C72-$C$70)</f>
        <v>1</v>
      </c>
      <c r="L72" s="4">
        <f>IF(OR($C72-$C$71=0,AND($C$71=0,$D$71=0)),1,$C72-$C$71)</f>
        <v>1</v>
      </c>
      <c r="M72" s="17">
        <v>1</v>
      </c>
      <c r="N72" s="4">
        <f>IF(OR($C72-$C$73=0,AND($C$73=0,$D$73=0)),1,$C72-$C$73)</f>
        <v>1</v>
      </c>
      <c r="O72" s="4">
        <f>IF(OR($C72-$C$74=0,AND($C$74=0,$D$74=0)),1,$C72-$C$74)</f>
        <v>1</v>
      </c>
      <c r="P72" s="4">
        <f t="shared" si="71"/>
        <v>1</v>
      </c>
      <c r="Q72" s="4">
        <f t="shared" si="72"/>
        <v>1</v>
      </c>
      <c r="R72" s="4">
        <f t="shared" si="73"/>
        <v>1</v>
      </c>
      <c r="S72" s="4">
        <f t="shared" si="74"/>
        <v>1</v>
      </c>
      <c r="T72" s="4">
        <f t="shared" si="75"/>
        <v>1</v>
      </c>
      <c r="U72" s="4">
        <f t="shared" si="76"/>
        <v>1</v>
      </c>
      <c r="V72" s="4">
        <f t="shared" si="77"/>
        <v>1</v>
      </c>
      <c r="W72" s="4">
        <f>IF(OR($C72-$C$82=0,AND($C$82=0,$D$82=0)),1,$C72-$C$82)</f>
        <v>1</v>
      </c>
      <c r="X72" s="4">
        <f>IF(OR($C72-$C$83=0,AND($C$83=0,$D$83=0)),1,$C72-$C$83)</f>
        <v>1</v>
      </c>
      <c r="Y72" s="4">
        <f>IF(OR($C72-$C$84=0,AND($C$84=0,$D$84=0)),1,$C72-$C$84)</f>
        <v>1</v>
      </c>
      <c r="Z72" s="4">
        <f>IF(OR($C72-$C$85=0,AND($C$85=0,$D$85=0)),1,$C72-$C$85)</f>
        <v>1</v>
      </c>
      <c r="AA72" s="4">
        <f>IF(OR($C72-$C$86=0,AND($C$86=0,$D$86=0)),1,$C72-$C$86)</f>
        <v>1</v>
      </c>
      <c r="AB72" s="4">
        <f>IF(OR($C72-$C$87=0,AND($C$87=0,$D$87=0)),1,$C72-$C$87)</f>
        <v>1</v>
      </c>
      <c r="AC72" s="4">
        <f>IF(OR($C72-$C$88=0,AND($C$88=0,$D$88=0)),1,$C72-$C$88)</f>
        <v>1</v>
      </c>
      <c r="AD72" s="4">
        <f>IF(OR($C72-$C$89=0,AND($C$89=0,$D$89=0)),1,$C72-$C$89)</f>
        <v>1</v>
      </c>
      <c r="AE72" s="4">
        <f>IF(OR($C72-$C$90=0,AND($C$90=0,$D$90=0)),1,$C72-$C$90)</f>
        <v>1</v>
      </c>
    </row>
    <row r="73" spans="2:31" x14ac:dyDescent="0.25">
      <c r="B73" s="10">
        <v>8</v>
      </c>
      <c r="C73" s="18"/>
      <c r="D73" s="15"/>
      <c r="E73" s="16">
        <f>(D73*PRODUCT($F$64:$AE$64)/N64)/(PRODUCT(F73:AE73))</f>
        <v>0</v>
      </c>
      <c r="F73" s="4">
        <f t="shared" si="94"/>
        <v>1</v>
      </c>
      <c r="G73" s="4">
        <f t="shared" si="78"/>
        <v>1</v>
      </c>
      <c r="H73" s="4">
        <f t="shared" si="95"/>
        <v>1</v>
      </c>
      <c r="I73" s="4">
        <f t="shared" si="79"/>
        <v>1</v>
      </c>
      <c r="J73" s="4">
        <f t="shared" si="80"/>
        <v>1</v>
      </c>
      <c r="K73" s="4">
        <f t="shared" si="81"/>
        <v>1</v>
      </c>
      <c r="L73" s="4">
        <f t="shared" si="82"/>
        <v>1</v>
      </c>
      <c r="M73" s="4">
        <f t="shared" ref="M73:M90" si="96">IF(OR($C73-$C$72=0,AND($C$72=0,$D$72=0)),1,$C73-$C$72)</f>
        <v>1</v>
      </c>
      <c r="N73" s="17">
        <v>1</v>
      </c>
      <c r="O73" s="4">
        <f t="shared" si="84"/>
        <v>1</v>
      </c>
      <c r="P73" s="4">
        <f t="shared" si="71"/>
        <v>1</v>
      </c>
      <c r="Q73" s="4">
        <f t="shared" si="72"/>
        <v>1</v>
      </c>
      <c r="R73" s="4">
        <f t="shared" si="73"/>
        <v>1</v>
      </c>
      <c r="S73" s="4">
        <f t="shared" si="74"/>
        <v>1</v>
      </c>
      <c r="T73" s="4">
        <f t="shared" si="75"/>
        <v>1</v>
      </c>
      <c r="U73" s="4">
        <f t="shared" si="76"/>
        <v>1</v>
      </c>
      <c r="V73" s="4">
        <f t="shared" si="77"/>
        <v>1</v>
      </c>
      <c r="W73" s="4">
        <f t="shared" si="85"/>
        <v>1</v>
      </c>
      <c r="X73" s="4">
        <f t="shared" si="86"/>
        <v>1</v>
      </c>
      <c r="Y73" s="4">
        <f t="shared" si="87"/>
        <v>1</v>
      </c>
      <c r="Z73" s="4">
        <f t="shared" si="88"/>
        <v>1</v>
      </c>
      <c r="AA73" s="4">
        <f t="shared" si="89"/>
        <v>1</v>
      </c>
      <c r="AB73" s="4">
        <f t="shared" si="90"/>
        <v>1</v>
      </c>
      <c r="AC73" s="4">
        <f t="shared" si="91"/>
        <v>1</v>
      </c>
      <c r="AD73" s="4">
        <f t="shared" si="92"/>
        <v>1</v>
      </c>
      <c r="AE73" s="4">
        <f t="shared" si="93"/>
        <v>1</v>
      </c>
    </row>
    <row r="74" spans="2:31" x14ac:dyDescent="0.25">
      <c r="B74" s="10">
        <v>9</v>
      </c>
      <c r="C74" s="18"/>
      <c r="D74" s="15"/>
      <c r="E74" s="16">
        <f>(D74*PRODUCT($F$64:$AE$64)/O64)/(PRODUCT(F74:AE74))</f>
        <v>0</v>
      </c>
      <c r="F74" s="4">
        <f t="shared" si="94"/>
        <v>1</v>
      </c>
      <c r="G74" s="4">
        <f t="shared" si="78"/>
        <v>1</v>
      </c>
      <c r="H74" s="4">
        <f t="shared" si="95"/>
        <v>1</v>
      </c>
      <c r="I74" s="4">
        <f t="shared" si="79"/>
        <v>1</v>
      </c>
      <c r="J74" s="4">
        <f t="shared" si="80"/>
        <v>1</v>
      </c>
      <c r="K74" s="4">
        <f t="shared" si="81"/>
        <v>1</v>
      </c>
      <c r="L74" s="4">
        <f t="shared" si="82"/>
        <v>1</v>
      </c>
      <c r="M74" s="4">
        <f t="shared" si="96"/>
        <v>1</v>
      </c>
      <c r="N74" s="4">
        <f t="shared" si="83"/>
        <v>1</v>
      </c>
      <c r="O74" s="17">
        <v>1</v>
      </c>
      <c r="P74" s="4">
        <f t="shared" si="71"/>
        <v>1</v>
      </c>
      <c r="Q74" s="4">
        <f t="shared" si="72"/>
        <v>1</v>
      </c>
      <c r="R74" s="4">
        <f t="shared" si="73"/>
        <v>1</v>
      </c>
      <c r="S74" s="4">
        <f t="shared" si="74"/>
        <v>1</v>
      </c>
      <c r="T74" s="4">
        <f t="shared" si="75"/>
        <v>1</v>
      </c>
      <c r="U74" s="4">
        <f t="shared" si="76"/>
        <v>1</v>
      </c>
      <c r="V74" s="4">
        <f t="shared" si="77"/>
        <v>1</v>
      </c>
      <c r="W74" s="4">
        <f t="shared" si="85"/>
        <v>1</v>
      </c>
      <c r="X74" s="4">
        <f t="shared" si="86"/>
        <v>1</v>
      </c>
      <c r="Y74" s="4">
        <f t="shared" si="87"/>
        <v>1</v>
      </c>
      <c r="Z74" s="4">
        <f t="shared" si="88"/>
        <v>1</v>
      </c>
      <c r="AA74" s="4">
        <f t="shared" si="89"/>
        <v>1</v>
      </c>
      <c r="AB74" s="4">
        <f t="shared" si="90"/>
        <v>1</v>
      </c>
      <c r="AC74" s="4">
        <f t="shared" si="91"/>
        <v>1</v>
      </c>
      <c r="AD74" s="4">
        <f t="shared" si="92"/>
        <v>1</v>
      </c>
      <c r="AE74" s="4">
        <f t="shared" si="93"/>
        <v>1</v>
      </c>
    </row>
    <row r="75" spans="2:31" x14ac:dyDescent="0.25">
      <c r="B75" s="10">
        <v>10</v>
      </c>
      <c r="C75" s="18"/>
      <c r="D75" s="15"/>
      <c r="E75" s="16">
        <f>(D75*PRODUCT($F$64:$AE$64)/P64)/(PRODUCT(F75:AE75))</f>
        <v>0</v>
      </c>
      <c r="F75" s="4">
        <f t="shared" si="94"/>
        <v>1</v>
      </c>
      <c r="G75" s="4">
        <f t="shared" si="78"/>
        <v>1</v>
      </c>
      <c r="H75" s="4">
        <f t="shared" si="95"/>
        <v>1</v>
      </c>
      <c r="I75" s="4">
        <f t="shared" si="79"/>
        <v>1</v>
      </c>
      <c r="J75" s="4">
        <f t="shared" si="80"/>
        <v>1</v>
      </c>
      <c r="K75" s="4">
        <f t="shared" si="81"/>
        <v>1</v>
      </c>
      <c r="L75" s="4">
        <f t="shared" si="82"/>
        <v>1</v>
      </c>
      <c r="M75" s="4">
        <f t="shared" si="96"/>
        <v>1</v>
      </c>
      <c r="N75" s="4">
        <f t="shared" si="83"/>
        <v>1</v>
      </c>
      <c r="O75" s="4">
        <f t="shared" ref="O75:O81" si="97">IF(OR($C75-$C$74=0,AND($C$74=0,$D$74=0)),1,$C75-$C$74)</f>
        <v>1</v>
      </c>
      <c r="P75" s="17">
        <v>1</v>
      </c>
      <c r="Q75" s="4">
        <f t="shared" si="72"/>
        <v>1</v>
      </c>
      <c r="R75" s="4">
        <f t="shared" si="73"/>
        <v>1</v>
      </c>
      <c r="S75" s="4">
        <f t="shared" si="74"/>
        <v>1</v>
      </c>
      <c r="T75" s="4">
        <f t="shared" si="75"/>
        <v>1</v>
      </c>
      <c r="U75" s="4">
        <f t="shared" si="76"/>
        <v>1</v>
      </c>
      <c r="V75" s="4">
        <f t="shared" si="77"/>
        <v>1</v>
      </c>
      <c r="W75" s="4">
        <f t="shared" si="85"/>
        <v>1</v>
      </c>
      <c r="X75" s="4">
        <f t="shared" si="86"/>
        <v>1</v>
      </c>
      <c r="Y75" s="4">
        <f t="shared" si="87"/>
        <v>1</v>
      </c>
      <c r="Z75" s="4">
        <f t="shared" si="88"/>
        <v>1</v>
      </c>
      <c r="AA75" s="4">
        <f t="shared" si="89"/>
        <v>1</v>
      </c>
      <c r="AB75" s="4">
        <f t="shared" si="90"/>
        <v>1</v>
      </c>
      <c r="AC75" s="4">
        <f t="shared" si="91"/>
        <v>1</v>
      </c>
      <c r="AD75" s="4">
        <f t="shared" si="92"/>
        <v>1</v>
      </c>
      <c r="AE75" s="4">
        <f t="shared" si="93"/>
        <v>1</v>
      </c>
    </row>
    <row r="76" spans="2:31" x14ac:dyDescent="0.25">
      <c r="B76" s="10">
        <v>11</v>
      </c>
      <c r="C76" s="18"/>
      <c r="D76" s="15"/>
      <c r="E76" s="16">
        <f>(D76*PRODUCT($F$64:$AE$64)/Q64)/(PRODUCT(F76:AE76))</f>
        <v>0</v>
      </c>
      <c r="F76" s="4">
        <f t="shared" si="94"/>
        <v>1</v>
      </c>
      <c r="G76" s="4">
        <f t="shared" si="78"/>
        <v>1</v>
      </c>
      <c r="H76" s="4">
        <f t="shared" si="95"/>
        <v>1</v>
      </c>
      <c r="I76" s="4">
        <f t="shared" si="79"/>
        <v>1</v>
      </c>
      <c r="J76" s="4">
        <f t="shared" si="80"/>
        <v>1</v>
      </c>
      <c r="K76" s="4">
        <f t="shared" si="81"/>
        <v>1</v>
      </c>
      <c r="L76" s="4">
        <f t="shared" si="82"/>
        <v>1</v>
      </c>
      <c r="M76" s="4">
        <f t="shared" si="96"/>
        <v>1</v>
      </c>
      <c r="N76" s="4">
        <f t="shared" si="83"/>
        <v>1</v>
      </c>
      <c r="O76" s="4">
        <f t="shared" si="97"/>
        <v>1</v>
      </c>
      <c r="P76" s="4">
        <f t="shared" ref="P76:P90" si="98">IF(OR($C76-$C$75=0,AND($C$75=0,$D$75=0)),1,$C76-$C$75)</f>
        <v>1</v>
      </c>
      <c r="Q76" s="17">
        <v>1</v>
      </c>
      <c r="R76" s="4">
        <f t="shared" si="73"/>
        <v>1</v>
      </c>
      <c r="S76" s="4">
        <f t="shared" si="74"/>
        <v>1</v>
      </c>
      <c r="T76" s="4">
        <f t="shared" si="75"/>
        <v>1</v>
      </c>
      <c r="U76" s="4">
        <f t="shared" si="76"/>
        <v>1</v>
      </c>
      <c r="V76" s="4">
        <f t="shared" si="77"/>
        <v>1</v>
      </c>
      <c r="W76" s="4">
        <f t="shared" si="85"/>
        <v>1</v>
      </c>
      <c r="X76" s="4">
        <f t="shared" si="86"/>
        <v>1</v>
      </c>
      <c r="Y76" s="4">
        <f t="shared" si="87"/>
        <v>1</v>
      </c>
      <c r="Z76" s="4">
        <f t="shared" si="88"/>
        <v>1</v>
      </c>
      <c r="AA76" s="4">
        <f t="shared" si="89"/>
        <v>1</v>
      </c>
      <c r="AB76" s="4">
        <f t="shared" si="90"/>
        <v>1</v>
      </c>
      <c r="AC76" s="4">
        <f t="shared" si="91"/>
        <v>1</v>
      </c>
      <c r="AD76" s="4">
        <f t="shared" si="92"/>
        <v>1</v>
      </c>
      <c r="AE76" s="4">
        <f t="shared" si="93"/>
        <v>1</v>
      </c>
    </row>
    <row r="77" spans="2:31" x14ac:dyDescent="0.25">
      <c r="B77" s="10">
        <v>12</v>
      </c>
      <c r="C77" s="18"/>
      <c r="D77" s="15"/>
      <c r="E77" s="16">
        <f>(D77*PRODUCT($F$64:$AE$64)/R64)/(PRODUCT(F77:AE77))</f>
        <v>0</v>
      </c>
      <c r="F77" s="4">
        <f t="shared" si="94"/>
        <v>1</v>
      </c>
      <c r="G77" s="4">
        <f t="shared" si="78"/>
        <v>1</v>
      </c>
      <c r="H77" s="4">
        <f t="shared" si="95"/>
        <v>1</v>
      </c>
      <c r="I77" s="4">
        <f t="shared" si="79"/>
        <v>1</v>
      </c>
      <c r="J77" s="4">
        <f t="shared" si="80"/>
        <v>1</v>
      </c>
      <c r="K77" s="4">
        <f t="shared" si="81"/>
        <v>1</v>
      </c>
      <c r="L77" s="4">
        <f t="shared" si="82"/>
        <v>1</v>
      </c>
      <c r="M77" s="4">
        <f t="shared" si="96"/>
        <v>1</v>
      </c>
      <c r="N77" s="4">
        <f t="shared" si="83"/>
        <v>1</v>
      </c>
      <c r="O77" s="4">
        <f t="shared" si="97"/>
        <v>1</v>
      </c>
      <c r="P77" s="4">
        <f t="shared" si="98"/>
        <v>1</v>
      </c>
      <c r="Q77" s="4">
        <f t="shared" ref="Q77:Q90" si="99">IF(OR($C77-$C$76=0,AND($C$76=0,$D$76=0)),1,$C77-$C$76)</f>
        <v>1</v>
      </c>
      <c r="R77" s="17">
        <v>1</v>
      </c>
      <c r="S77" s="4">
        <f t="shared" si="74"/>
        <v>1</v>
      </c>
      <c r="T77" s="4">
        <f t="shared" si="75"/>
        <v>1</v>
      </c>
      <c r="U77" s="4">
        <f t="shared" si="76"/>
        <v>1</v>
      </c>
      <c r="V77" s="4">
        <f t="shared" si="77"/>
        <v>1</v>
      </c>
      <c r="W77" s="4">
        <f t="shared" si="85"/>
        <v>1</v>
      </c>
      <c r="X77" s="4">
        <f t="shared" si="86"/>
        <v>1</v>
      </c>
      <c r="Y77" s="4">
        <f t="shared" si="87"/>
        <v>1</v>
      </c>
      <c r="Z77" s="4">
        <f t="shared" si="88"/>
        <v>1</v>
      </c>
      <c r="AA77" s="4">
        <f t="shared" si="89"/>
        <v>1</v>
      </c>
      <c r="AB77" s="4">
        <f t="shared" si="90"/>
        <v>1</v>
      </c>
      <c r="AC77" s="4">
        <f t="shared" si="91"/>
        <v>1</v>
      </c>
      <c r="AD77" s="4">
        <f t="shared" si="92"/>
        <v>1</v>
      </c>
      <c r="AE77" s="4">
        <f t="shared" si="93"/>
        <v>1</v>
      </c>
    </row>
    <row r="78" spans="2:31" x14ac:dyDescent="0.25">
      <c r="B78" s="10">
        <v>13</v>
      </c>
      <c r="C78" s="18"/>
      <c r="D78" s="15"/>
      <c r="E78" s="16">
        <f>(D78*PRODUCT($F$64:$AE$64)/S64)/(PRODUCT(F78:AE78))</f>
        <v>0</v>
      </c>
      <c r="F78" s="4">
        <f t="shared" si="94"/>
        <v>1</v>
      </c>
      <c r="G78" s="4">
        <f t="shared" si="78"/>
        <v>1</v>
      </c>
      <c r="H78" s="4">
        <f t="shared" si="95"/>
        <v>1</v>
      </c>
      <c r="I78" s="4">
        <f t="shared" si="79"/>
        <v>1</v>
      </c>
      <c r="J78" s="4">
        <f t="shared" si="80"/>
        <v>1</v>
      </c>
      <c r="K78" s="4">
        <f t="shared" si="81"/>
        <v>1</v>
      </c>
      <c r="L78" s="4">
        <f t="shared" si="82"/>
        <v>1</v>
      </c>
      <c r="M78" s="4">
        <f t="shared" si="96"/>
        <v>1</v>
      </c>
      <c r="N78" s="4">
        <f t="shared" si="83"/>
        <v>1</v>
      </c>
      <c r="O78" s="4">
        <f t="shared" si="97"/>
        <v>1</v>
      </c>
      <c r="P78" s="4">
        <f t="shared" si="98"/>
        <v>1</v>
      </c>
      <c r="Q78" s="4">
        <f t="shared" si="99"/>
        <v>1</v>
      </c>
      <c r="R78" s="4">
        <f t="shared" ref="R78:R90" si="100">IF(OR($C78-$C$77=0,AND($C$77=0,$D$77=0)),1,$C78-$C$77)</f>
        <v>1</v>
      </c>
      <c r="S78" s="17">
        <v>1</v>
      </c>
      <c r="T78" s="4">
        <f t="shared" si="75"/>
        <v>1</v>
      </c>
      <c r="U78" s="4">
        <f t="shared" si="76"/>
        <v>1</v>
      </c>
      <c r="V78" s="4">
        <f t="shared" si="77"/>
        <v>1</v>
      </c>
      <c r="W78" s="4">
        <f t="shared" si="85"/>
        <v>1</v>
      </c>
      <c r="X78" s="4">
        <f t="shared" si="86"/>
        <v>1</v>
      </c>
      <c r="Y78" s="4">
        <f t="shared" si="87"/>
        <v>1</v>
      </c>
      <c r="Z78" s="4">
        <f t="shared" si="88"/>
        <v>1</v>
      </c>
      <c r="AA78" s="4">
        <f t="shared" si="89"/>
        <v>1</v>
      </c>
      <c r="AB78" s="4">
        <f t="shared" si="90"/>
        <v>1</v>
      </c>
      <c r="AC78" s="4">
        <f t="shared" si="91"/>
        <v>1</v>
      </c>
      <c r="AD78" s="4">
        <f t="shared" si="92"/>
        <v>1</v>
      </c>
      <c r="AE78" s="4">
        <f t="shared" si="93"/>
        <v>1</v>
      </c>
    </row>
    <row r="79" spans="2:31" x14ac:dyDescent="0.25">
      <c r="B79" s="10">
        <v>14</v>
      </c>
      <c r="C79" s="18"/>
      <c r="D79" s="15"/>
      <c r="E79" s="16">
        <f>(D79*PRODUCT($F$64:$AE$64)/T64)/(PRODUCT(F79:AE79))</f>
        <v>0</v>
      </c>
      <c r="F79" s="4">
        <f t="shared" si="94"/>
        <v>1</v>
      </c>
      <c r="G79" s="4">
        <f t="shared" si="78"/>
        <v>1</v>
      </c>
      <c r="H79" s="4">
        <f t="shared" si="95"/>
        <v>1</v>
      </c>
      <c r="I79" s="4">
        <f t="shared" si="79"/>
        <v>1</v>
      </c>
      <c r="J79" s="4">
        <f t="shared" si="80"/>
        <v>1</v>
      </c>
      <c r="K79" s="4">
        <f t="shared" si="81"/>
        <v>1</v>
      </c>
      <c r="L79" s="4">
        <f t="shared" si="82"/>
        <v>1</v>
      </c>
      <c r="M79" s="4">
        <f t="shared" si="96"/>
        <v>1</v>
      </c>
      <c r="N79" s="4">
        <f t="shared" si="83"/>
        <v>1</v>
      </c>
      <c r="O79" s="4">
        <f t="shared" si="97"/>
        <v>1</v>
      </c>
      <c r="P79" s="4">
        <f t="shared" si="98"/>
        <v>1</v>
      </c>
      <c r="Q79" s="4">
        <f t="shared" si="99"/>
        <v>1</v>
      </c>
      <c r="R79" s="4">
        <f t="shared" si="100"/>
        <v>1</v>
      </c>
      <c r="S79" s="4">
        <f t="shared" ref="S79:S90" si="101">IF(OR($C79-$C$78=0,AND($C$78=0,$D$78=0)),1,$C79-$C$78)</f>
        <v>1</v>
      </c>
      <c r="T79" s="17">
        <v>1</v>
      </c>
      <c r="U79" s="4">
        <f t="shared" si="76"/>
        <v>1</v>
      </c>
      <c r="V79" s="4">
        <f t="shared" si="77"/>
        <v>1</v>
      </c>
      <c r="W79" s="4">
        <f t="shared" si="85"/>
        <v>1</v>
      </c>
      <c r="X79" s="4">
        <f t="shared" si="86"/>
        <v>1</v>
      </c>
      <c r="Y79" s="4">
        <f t="shared" si="87"/>
        <v>1</v>
      </c>
      <c r="Z79" s="4">
        <f t="shared" si="88"/>
        <v>1</v>
      </c>
      <c r="AA79" s="4">
        <f t="shared" si="89"/>
        <v>1</v>
      </c>
      <c r="AB79" s="4">
        <f t="shared" si="90"/>
        <v>1</v>
      </c>
      <c r="AC79" s="4">
        <f t="shared" si="91"/>
        <v>1</v>
      </c>
      <c r="AD79" s="4">
        <f t="shared" si="92"/>
        <v>1</v>
      </c>
      <c r="AE79" s="4">
        <f t="shared" si="93"/>
        <v>1</v>
      </c>
    </row>
    <row r="80" spans="2:31" x14ac:dyDescent="0.25">
      <c r="B80" s="10">
        <v>15</v>
      </c>
      <c r="C80" s="14"/>
      <c r="D80" s="19"/>
      <c r="E80" s="16">
        <f>(D80*PRODUCT($F$64:$AE$64)/U64)/(PRODUCT(F80:AE80))</f>
        <v>0</v>
      </c>
      <c r="F80" s="4">
        <f t="shared" si="94"/>
        <v>1</v>
      </c>
      <c r="G80" s="4">
        <f t="shared" si="78"/>
        <v>1</v>
      </c>
      <c r="H80" s="4">
        <f t="shared" si="95"/>
        <v>1</v>
      </c>
      <c r="I80" s="4">
        <f t="shared" si="79"/>
        <v>1</v>
      </c>
      <c r="J80" s="4">
        <f t="shared" si="80"/>
        <v>1</v>
      </c>
      <c r="K80" s="4">
        <f t="shared" si="81"/>
        <v>1</v>
      </c>
      <c r="L80" s="4">
        <f t="shared" si="82"/>
        <v>1</v>
      </c>
      <c r="M80" s="4">
        <f t="shared" si="96"/>
        <v>1</v>
      </c>
      <c r="N80" s="4">
        <f t="shared" si="83"/>
        <v>1</v>
      </c>
      <c r="O80" s="4">
        <f t="shared" si="97"/>
        <v>1</v>
      </c>
      <c r="P80" s="4">
        <f t="shared" si="98"/>
        <v>1</v>
      </c>
      <c r="Q80" s="4">
        <f t="shared" si="99"/>
        <v>1</v>
      </c>
      <c r="R80" s="4">
        <f t="shared" si="100"/>
        <v>1</v>
      </c>
      <c r="S80" s="4">
        <f t="shared" si="101"/>
        <v>1</v>
      </c>
      <c r="T80" s="4">
        <f t="shared" ref="T80:T90" si="102">IF(OR($C80-$C$79=0,AND($C$79=0,$D$79=0)),1,$C80-$C$79)</f>
        <v>1</v>
      </c>
      <c r="U80" s="17">
        <v>1</v>
      </c>
      <c r="V80" s="4">
        <f t="shared" si="77"/>
        <v>1</v>
      </c>
      <c r="W80" s="4">
        <f t="shared" si="85"/>
        <v>1</v>
      </c>
      <c r="X80" s="4">
        <f t="shared" si="86"/>
        <v>1</v>
      </c>
      <c r="Y80" s="4">
        <f t="shared" si="87"/>
        <v>1</v>
      </c>
      <c r="Z80" s="4">
        <f t="shared" si="88"/>
        <v>1</v>
      </c>
      <c r="AA80" s="4">
        <f t="shared" si="89"/>
        <v>1</v>
      </c>
      <c r="AB80" s="4">
        <f t="shared" si="90"/>
        <v>1</v>
      </c>
      <c r="AC80" s="4">
        <f t="shared" si="91"/>
        <v>1</v>
      </c>
      <c r="AD80" s="4">
        <f t="shared" si="92"/>
        <v>1</v>
      </c>
      <c r="AE80" s="4">
        <f t="shared" si="93"/>
        <v>1</v>
      </c>
    </row>
    <row r="81" spans="2:31" x14ac:dyDescent="0.25">
      <c r="B81" s="10">
        <v>16</v>
      </c>
      <c r="C81" s="14"/>
      <c r="D81" s="19"/>
      <c r="E81" s="16">
        <f>(D81*PRODUCT($F$64:$AE$64)/V64)/(PRODUCT(F81:AE81))</f>
        <v>0</v>
      </c>
      <c r="F81" s="4">
        <f t="shared" si="94"/>
        <v>1</v>
      </c>
      <c r="G81" s="4">
        <f t="shared" si="78"/>
        <v>1</v>
      </c>
      <c r="H81" s="4">
        <f t="shared" si="95"/>
        <v>1</v>
      </c>
      <c r="I81" s="4">
        <f t="shared" si="79"/>
        <v>1</v>
      </c>
      <c r="J81" s="4">
        <f t="shared" si="80"/>
        <v>1</v>
      </c>
      <c r="K81" s="4">
        <f t="shared" si="81"/>
        <v>1</v>
      </c>
      <c r="L81" s="4">
        <f t="shared" si="82"/>
        <v>1</v>
      </c>
      <c r="M81" s="4">
        <f t="shared" si="96"/>
        <v>1</v>
      </c>
      <c r="N81" s="4">
        <f t="shared" si="83"/>
        <v>1</v>
      </c>
      <c r="O81" s="4">
        <f t="shared" si="97"/>
        <v>1</v>
      </c>
      <c r="P81" s="4">
        <f t="shared" si="98"/>
        <v>1</v>
      </c>
      <c r="Q81" s="4">
        <f t="shared" si="99"/>
        <v>1</v>
      </c>
      <c r="R81" s="4">
        <f t="shared" si="100"/>
        <v>1</v>
      </c>
      <c r="S81" s="4">
        <f t="shared" si="101"/>
        <v>1</v>
      </c>
      <c r="T81" s="4">
        <f t="shared" si="102"/>
        <v>1</v>
      </c>
      <c r="U81" s="4">
        <f t="shared" ref="U81:U90" si="103">IF(OR($C81-$C$80=0,AND($C$80=0,$D$80=0)),1,$C81-$C$80)</f>
        <v>1</v>
      </c>
      <c r="V81" s="17">
        <v>1</v>
      </c>
      <c r="W81" s="4">
        <f t="shared" si="85"/>
        <v>1</v>
      </c>
      <c r="X81" s="4">
        <f t="shared" si="86"/>
        <v>1</v>
      </c>
      <c r="Y81" s="4">
        <f t="shared" si="87"/>
        <v>1</v>
      </c>
      <c r="Z81" s="4">
        <f t="shared" si="88"/>
        <v>1</v>
      </c>
      <c r="AA81" s="4">
        <f t="shared" si="89"/>
        <v>1</v>
      </c>
      <c r="AB81" s="4">
        <f t="shared" si="90"/>
        <v>1</v>
      </c>
      <c r="AC81" s="4">
        <f t="shared" si="91"/>
        <v>1</v>
      </c>
      <c r="AD81" s="4">
        <f t="shared" si="92"/>
        <v>1</v>
      </c>
      <c r="AE81" s="4">
        <f t="shared" si="93"/>
        <v>1</v>
      </c>
    </row>
    <row r="82" spans="2:31" x14ac:dyDescent="0.25">
      <c r="B82" s="10">
        <v>17</v>
      </c>
      <c r="C82" s="14"/>
      <c r="D82" s="19"/>
      <c r="E82" s="16">
        <f>(D82*PRODUCT($F$64:$AE$64)/W64)/(PRODUCT(F82:AE82))</f>
        <v>0</v>
      </c>
      <c r="F82" s="4">
        <f t="shared" si="94"/>
        <v>1</v>
      </c>
      <c r="G82" s="4">
        <f t="shared" si="78"/>
        <v>1</v>
      </c>
      <c r="H82" s="4">
        <f t="shared" si="95"/>
        <v>1</v>
      </c>
      <c r="I82" s="4">
        <f t="shared" si="79"/>
        <v>1</v>
      </c>
      <c r="J82" s="4">
        <f t="shared" si="80"/>
        <v>1</v>
      </c>
      <c r="K82" s="4">
        <f t="shared" si="81"/>
        <v>1</v>
      </c>
      <c r="L82" s="4">
        <f t="shared" si="82"/>
        <v>1</v>
      </c>
      <c r="M82" s="4">
        <f t="shared" si="96"/>
        <v>1</v>
      </c>
      <c r="N82" s="4">
        <f t="shared" si="83"/>
        <v>1</v>
      </c>
      <c r="O82" s="4">
        <f t="shared" si="84"/>
        <v>1</v>
      </c>
      <c r="P82" s="4">
        <f t="shared" si="98"/>
        <v>1</v>
      </c>
      <c r="Q82" s="4">
        <f t="shared" si="99"/>
        <v>1</v>
      </c>
      <c r="R82" s="4">
        <f t="shared" si="100"/>
        <v>1</v>
      </c>
      <c r="S82" s="4">
        <f t="shared" si="101"/>
        <v>1</v>
      </c>
      <c r="T82" s="4">
        <f t="shared" si="102"/>
        <v>1</v>
      </c>
      <c r="U82" s="4">
        <f t="shared" si="103"/>
        <v>1</v>
      </c>
      <c r="V82" s="4">
        <f t="shared" ref="V82:V90" si="104">IF(OR($C82-$C$81=0,AND($C$81=0,$D$81=0)),1,$C82-$C$81)</f>
        <v>1</v>
      </c>
      <c r="W82" s="17">
        <v>1</v>
      </c>
      <c r="X82" s="4">
        <f t="shared" si="86"/>
        <v>1</v>
      </c>
      <c r="Y82" s="4">
        <f t="shared" si="87"/>
        <v>1</v>
      </c>
      <c r="Z82" s="4">
        <f t="shared" si="88"/>
        <v>1</v>
      </c>
      <c r="AA82" s="4">
        <f t="shared" si="89"/>
        <v>1</v>
      </c>
      <c r="AB82" s="4">
        <f t="shared" si="90"/>
        <v>1</v>
      </c>
      <c r="AC82" s="4">
        <f t="shared" si="91"/>
        <v>1</v>
      </c>
      <c r="AD82" s="4">
        <f t="shared" si="92"/>
        <v>1</v>
      </c>
      <c r="AE82" s="4">
        <f t="shared" si="93"/>
        <v>1</v>
      </c>
    </row>
    <row r="83" spans="2:31" x14ac:dyDescent="0.25">
      <c r="B83" s="10">
        <v>18</v>
      </c>
      <c r="C83" s="14"/>
      <c r="D83" s="19"/>
      <c r="E83" s="16">
        <f>(D83*PRODUCT($F$64:$AE$64)/X64)/(PRODUCT(F83:AE83))</f>
        <v>0</v>
      </c>
      <c r="F83" s="4">
        <f t="shared" si="94"/>
        <v>1</v>
      </c>
      <c r="G83" s="4">
        <f t="shared" si="78"/>
        <v>1</v>
      </c>
      <c r="H83" s="4">
        <f t="shared" si="95"/>
        <v>1</v>
      </c>
      <c r="I83" s="4">
        <f t="shared" si="79"/>
        <v>1</v>
      </c>
      <c r="J83" s="4">
        <f t="shared" si="80"/>
        <v>1</v>
      </c>
      <c r="K83" s="4">
        <f t="shared" si="81"/>
        <v>1</v>
      </c>
      <c r="L83" s="4">
        <f t="shared" si="82"/>
        <v>1</v>
      </c>
      <c r="M83" s="4">
        <f t="shared" si="96"/>
        <v>1</v>
      </c>
      <c r="N83" s="4">
        <f t="shared" si="83"/>
        <v>1</v>
      </c>
      <c r="O83" s="4">
        <f t="shared" si="84"/>
        <v>1</v>
      </c>
      <c r="P83" s="4">
        <f t="shared" si="98"/>
        <v>1</v>
      </c>
      <c r="Q83" s="4">
        <f t="shared" si="99"/>
        <v>1</v>
      </c>
      <c r="R83" s="4">
        <f t="shared" si="100"/>
        <v>1</v>
      </c>
      <c r="S83" s="4">
        <f t="shared" si="101"/>
        <v>1</v>
      </c>
      <c r="T83" s="4">
        <f t="shared" si="102"/>
        <v>1</v>
      </c>
      <c r="U83" s="4">
        <f t="shared" si="103"/>
        <v>1</v>
      </c>
      <c r="V83" s="4">
        <f t="shared" si="104"/>
        <v>1</v>
      </c>
      <c r="W83" s="4">
        <f>IF(OR($C83-$C$82=0,AND($C$82=0,$D$82=0)),1,$C83-$C$82)</f>
        <v>1</v>
      </c>
      <c r="X83" s="17">
        <v>1</v>
      </c>
      <c r="Y83" s="4">
        <f>IF(OR($C83-$C$84=0,AND($C$84=0,$D$84=0)),1,$C83-$C$84)</f>
        <v>1</v>
      </c>
      <c r="Z83" s="4">
        <f>IF(OR($C83-$C$85=0,AND($C$85=0,$D$85=0)),1,$C83-$C$85)</f>
        <v>1</v>
      </c>
      <c r="AA83" s="4">
        <f t="shared" si="89"/>
        <v>1</v>
      </c>
      <c r="AB83" s="4">
        <f t="shared" si="90"/>
        <v>1</v>
      </c>
      <c r="AC83" s="4">
        <f t="shared" si="91"/>
        <v>1</v>
      </c>
      <c r="AD83" s="4">
        <f t="shared" si="92"/>
        <v>1</v>
      </c>
      <c r="AE83" s="4">
        <f t="shared" si="93"/>
        <v>1</v>
      </c>
    </row>
    <row r="84" spans="2:31" x14ac:dyDescent="0.25">
      <c r="B84" s="10">
        <v>19</v>
      </c>
      <c r="C84" s="14"/>
      <c r="D84" s="19"/>
      <c r="E84" s="16">
        <f>(D84*PRODUCT($F$64:$AE$64)/Y64)/(PRODUCT(F84:AE84))</f>
        <v>0</v>
      </c>
      <c r="F84" s="4">
        <f t="shared" si="94"/>
        <v>1</v>
      </c>
      <c r="G84" s="4">
        <f t="shared" si="78"/>
        <v>1</v>
      </c>
      <c r="H84" s="4">
        <f t="shared" si="95"/>
        <v>1</v>
      </c>
      <c r="I84" s="4">
        <f t="shared" si="79"/>
        <v>1</v>
      </c>
      <c r="J84" s="4">
        <f t="shared" si="80"/>
        <v>1</v>
      </c>
      <c r="K84" s="4">
        <f t="shared" si="81"/>
        <v>1</v>
      </c>
      <c r="L84" s="4">
        <f t="shared" si="82"/>
        <v>1</v>
      </c>
      <c r="M84" s="4">
        <f t="shared" si="96"/>
        <v>1</v>
      </c>
      <c r="N84" s="4">
        <f t="shared" si="83"/>
        <v>1</v>
      </c>
      <c r="O84" s="4">
        <f t="shared" si="84"/>
        <v>1</v>
      </c>
      <c r="P84" s="4">
        <f t="shared" si="98"/>
        <v>1</v>
      </c>
      <c r="Q84" s="4">
        <f t="shared" si="99"/>
        <v>1</v>
      </c>
      <c r="R84" s="4">
        <f t="shared" si="100"/>
        <v>1</v>
      </c>
      <c r="S84" s="4">
        <f t="shared" si="101"/>
        <v>1</v>
      </c>
      <c r="T84" s="4">
        <f t="shared" si="102"/>
        <v>1</v>
      </c>
      <c r="U84" s="4">
        <f t="shared" si="103"/>
        <v>1</v>
      </c>
      <c r="V84" s="4">
        <f t="shared" si="104"/>
        <v>1</v>
      </c>
      <c r="W84" s="4">
        <f t="shared" si="85"/>
        <v>1</v>
      </c>
      <c r="X84" s="4">
        <f t="shared" si="86"/>
        <v>1</v>
      </c>
      <c r="Y84" s="17">
        <v>1</v>
      </c>
      <c r="Z84" s="4">
        <f t="shared" si="88"/>
        <v>1</v>
      </c>
      <c r="AA84" s="4">
        <f t="shared" si="89"/>
        <v>1</v>
      </c>
      <c r="AB84" s="4">
        <f t="shared" si="90"/>
        <v>1</v>
      </c>
      <c r="AC84" s="4">
        <f t="shared" si="91"/>
        <v>1</v>
      </c>
      <c r="AD84" s="4">
        <f t="shared" si="92"/>
        <v>1</v>
      </c>
      <c r="AE84" s="4">
        <f t="shared" si="93"/>
        <v>1</v>
      </c>
    </row>
    <row r="85" spans="2:31" x14ac:dyDescent="0.25">
      <c r="B85" s="20">
        <v>20</v>
      </c>
      <c r="C85" s="14"/>
      <c r="D85" s="19"/>
      <c r="E85" s="21">
        <f>(D85*PRODUCT($F$64:$AE$64)/Z64)/(PRODUCT(F85:AE85))</f>
        <v>0</v>
      </c>
      <c r="F85" s="22">
        <f t="shared" si="94"/>
        <v>1</v>
      </c>
      <c r="G85" s="22">
        <f t="shared" si="78"/>
        <v>1</v>
      </c>
      <c r="H85" s="22">
        <f t="shared" si="95"/>
        <v>1</v>
      </c>
      <c r="I85" s="22">
        <f t="shared" si="79"/>
        <v>1</v>
      </c>
      <c r="J85" s="22">
        <f t="shared" si="80"/>
        <v>1</v>
      </c>
      <c r="K85" s="22">
        <f t="shared" si="81"/>
        <v>1</v>
      </c>
      <c r="L85" s="22">
        <f t="shared" si="82"/>
        <v>1</v>
      </c>
      <c r="M85" s="22">
        <f t="shared" si="96"/>
        <v>1</v>
      </c>
      <c r="N85" s="22">
        <f t="shared" si="83"/>
        <v>1</v>
      </c>
      <c r="O85" s="22">
        <f t="shared" si="84"/>
        <v>1</v>
      </c>
      <c r="P85" s="22">
        <f t="shared" si="98"/>
        <v>1</v>
      </c>
      <c r="Q85" s="22">
        <f t="shared" si="99"/>
        <v>1</v>
      </c>
      <c r="R85" s="22">
        <f t="shared" si="100"/>
        <v>1</v>
      </c>
      <c r="S85" s="22">
        <f t="shared" si="101"/>
        <v>1</v>
      </c>
      <c r="T85" s="22">
        <f t="shared" si="102"/>
        <v>1</v>
      </c>
      <c r="U85" s="22">
        <f t="shared" si="103"/>
        <v>1</v>
      </c>
      <c r="V85" s="22">
        <f t="shared" si="104"/>
        <v>1</v>
      </c>
      <c r="W85" s="22">
        <f t="shared" si="85"/>
        <v>1</v>
      </c>
      <c r="X85" s="22">
        <f t="shared" si="86"/>
        <v>1</v>
      </c>
      <c r="Y85" s="22">
        <f t="shared" si="87"/>
        <v>1</v>
      </c>
      <c r="Z85" s="17">
        <v>1</v>
      </c>
      <c r="AA85" s="4">
        <f t="shared" si="89"/>
        <v>1</v>
      </c>
      <c r="AB85" s="4">
        <f t="shared" si="90"/>
        <v>1</v>
      </c>
      <c r="AC85" s="4">
        <f t="shared" si="91"/>
        <v>1</v>
      </c>
      <c r="AD85" s="4">
        <f t="shared" si="92"/>
        <v>1</v>
      </c>
      <c r="AE85" s="4">
        <f t="shared" si="93"/>
        <v>1</v>
      </c>
    </row>
    <row r="86" spans="2:31" x14ac:dyDescent="0.25">
      <c r="B86" s="10">
        <v>21</v>
      </c>
      <c r="C86" s="14"/>
      <c r="D86" s="26"/>
      <c r="E86" s="16">
        <f>(D86*PRODUCT($F$64:$AE$64)/AA64)/(PRODUCT(F86:AE86))</f>
        <v>0</v>
      </c>
      <c r="F86" s="4">
        <f t="shared" si="94"/>
        <v>1</v>
      </c>
      <c r="G86" s="4">
        <f t="shared" si="78"/>
        <v>1</v>
      </c>
      <c r="H86" s="4">
        <f t="shared" si="95"/>
        <v>1</v>
      </c>
      <c r="I86" s="4">
        <f t="shared" si="79"/>
        <v>1</v>
      </c>
      <c r="J86" s="4">
        <f t="shared" si="80"/>
        <v>1</v>
      </c>
      <c r="K86" s="4">
        <f t="shared" si="81"/>
        <v>1</v>
      </c>
      <c r="L86" s="4">
        <f t="shared" si="82"/>
        <v>1</v>
      </c>
      <c r="M86" s="4">
        <f t="shared" si="96"/>
        <v>1</v>
      </c>
      <c r="N86" s="4">
        <f t="shared" si="83"/>
        <v>1</v>
      </c>
      <c r="O86" s="4">
        <f t="shared" si="84"/>
        <v>1</v>
      </c>
      <c r="P86" s="4">
        <f t="shared" si="98"/>
        <v>1</v>
      </c>
      <c r="Q86" s="4">
        <f t="shared" si="99"/>
        <v>1</v>
      </c>
      <c r="R86" s="4">
        <f t="shared" si="100"/>
        <v>1</v>
      </c>
      <c r="S86" s="4">
        <f t="shared" si="101"/>
        <v>1</v>
      </c>
      <c r="T86" s="4">
        <f t="shared" si="102"/>
        <v>1</v>
      </c>
      <c r="U86" s="4">
        <f t="shared" si="103"/>
        <v>1</v>
      </c>
      <c r="V86" s="4">
        <f t="shared" si="104"/>
        <v>1</v>
      </c>
      <c r="W86" s="4">
        <f t="shared" si="85"/>
        <v>1</v>
      </c>
      <c r="X86" s="4">
        <f t="shared" si="86"/>
        <v>1</v>
      </c>
      <c r="Y86" s="22">
        <f t="shared" si="87"/>
        <v>1</v>
      </c>
      <c r="Z86" s="4">
        <f t="shared" si="88"/>
        <v>1</v>
      </c>
      <c r="AA86" s="23">
        <v>1</v>
      </c>
      <c r="AB86" s="4">
        <f t="shared" si="90"/>
        <v>1</v>
      </c>
      <c r="AC86" s="4">
        <f t="shared" si="91"/>
        <v>1</v>
      </c>
      <c r="AD86" s="4">
        <f t="shared" si="92"/>
        <v>1</v>
      </c>
      <c r="AE86" s="4">
        <f t="shared" si="93"/>
        <v>1</v>
      </c>
    </row>
    <row r="87" spans="2:31" x14ac:dyDescent="0.25">
      <c r="B87" s="10">
        <v>22</v>
      </c>
      <c r="C87" s="14"/>
      <c r="D87" s="26"/>
      <c r="E87" s="16">
        <f>(D87*PRODUCT($F$64:$AE$64)/AB64)/(PRODUCT(F87:AE87))</f>
        <v>0</v>
      </c>
      <c r="F87" s="22">
        <f t="shared" si="94"/>
        <v>1</v>
      </c>
      <c r="G87" s="22">
        <f t="shared" si="78"/>
        <v>1</v>
      </c>
      <c r="H87" s="22">
        <f t="shared" si="95"/>
        <v>1</v>
      </c>
      <c r="I87" s="22">
        <f t="shared" si="79"/>
        <v>1</v>
      </c>
      <c r="J87" s="22">
        <f t="shared" si="80"/>
        <v>1</v>
      </c>
      <c r="K87" s="22">
        <f t="shared" si="81"/>
        <v>1</v>
      </c>
      <c r="L87" s="22">
        <f t="shared" si="82"/>
        <v>1</v>
      </c>
      <c r="M87" s="22">
        <f t="shared" si="96"/>
        <v>1</v>
      </c>
      <c r="N87" s="22">
        <f t="shared" si="83"/>
        <v>1</v>
      </c>
      <c r="O87" s="22">
        <f t="shared" si="84"/>
        <v>1</v>
      </c>
      <c r="P87" s="22">
        <f t="shared" si="98"/>
        <v>1</v>
      </c>
      <c r="Q87" s="22">
        <f t="shared" si="99"/>
        <v>1</v>
      </c>
      <c r="R87" s="22">
        <f t="shared" si="100"/>
        <v>1</v>
      </c>
      <c r="S87" s="22">
        <f t="shared" si="101"/>
        <v>1</v>
      </c>
      <c r="T87" s="22">
        <f t="shared" si="102"/>
        <v>1</v>
      </c>
      <c r="U87" s="22">
        <f t="shared" si="103"/>
        <v>1</v>
      </c>
      <c r="V87" s="22">
        <f t="shared" si="104"/>
        <v>1</v>
      </c>
      <c r="W87" s="22">
        <f t="shared" si="85"/>
        <v>1</v>
      </c>
      <c r="X87" s="22">
        <f t="shared" si="86"/>
        <v>1</v>
      </c>
      <c r="Y87" s="22">
        <f t="shared" si="87"/>
        <v>1</v>
      </c>
      <c r="Z87" s="4">
        <f t="shared" si="88"/>
        <v>1</v>
      </c>
      <c r="AA87" s="4">
        <f t="shared" si="89"/>
        <v>1</v>
      </c>
      <c r="AB87" s="23">
        <v>1</v>
      </c>
      <c r="AC87" s="4">
        <f t="shared" si="91"/>
        <v>1</v>
      </c>
      <c r="AD87" s="4">
        <f t="shared" si="92"/>
        <v>1</v>
      </c>
      <c r="AE87" s="4">
        <f t="shared" si="93"/>
        <v>1</v>
      </c>
    </row>
    <row r="88" spans="2:31" x14ac:dyDescent="0.25">
      <c r="B88" s="10">
        <v>23</v>
      </c>
      <c r="C88" s="14"/>
      <c r="D88" s="26"/>
      <c r="E88" s="16">
        <f>(D88*PRODUCT($F$64:$AE$64)/AC64)/(PRODUCT(F88:AE88))</f>
        <v>0</v>
      </c>
      <c r="F88" s="4">
        <f t="shared" si="94"/>
        <v>1</v>
      </c>
      <c r="G88" s="4">
        <f t="shared" si="78"/>
        <v>1</v>
      </c>
      <c r="H88" s="4">
        <f t="shared" si="95"/>
        <v>1</v>
      </c>
      <c r="I88" s="4">
        <f t="shared" si="79"/>
        <v>1</v>
      </c>
      <c r="J88" s="4">
        <f t="shared" si="80"/>
        <v>1</v>
      </c>
      <c r="K88" s="4">
        <f t="shared" si="81"/>
        <v>1</v>
      </c>
      <c r="L88" s="4">
        <f t="shared" si="82"/>
        <v>1</v>
      </c>
      <c r="M88" s="4">
        <f t="shared" si="96"/>
        <v>1</v>
      </c>
      <c r="N88" s="4">
        <f t="shared" si="83"/>
        <v>1</v>
      </c>
      <c r="O88" s="4">
        <f t="shared" si="84"/>
        <v>1</v>
      </c>
      <c r="P88" s="4">
        <f t="shared" si="98"/>
        <v>1</v>
      </c>
      <c r="Q88" s="4">
        <f t="shared" si="99"/>
        <v>1</v>
      </c>
      <c r="R88" s="4">
        <f t="shared" si="100"/>
        <v>1</v>
      </c>
      <c r="S88" s="4">
        <f t="shared" si="101"/>
        <v>1</v>
      </c>
      <c r="T88" s="4">
        <f t="shared" si="102"/>
        <v>1</v>
      </c>
      <c r="U88" s="4">
        <f t="shared" si="103"/>
        <v>1</v>
      </c>
      <c r="V88" s="4">
        <f t="shared" si="104"/>
        <v>1</v>
      </c>
      <c r="W88" s="4">
        <f t="shared" si="85"/>
        <v>1</v>
      </c>
      <c r="X88" s="4">
        <f t="shared" si="86"/>
        <v>1</v>
      </c>
      <c r="Y88" s="22">
        <f t="shared" si="87"/>
        <v>1</v>
      </c>
      <c r="Z88" s="4">
        <f t="shared" si="88"/>
        <v>1</v>
      </c>
      <c r="AA88" s="4">
        <f t="shared" si="89"/>
        <v>1</v>
      </c>
      <c r="AB88" s="4">
        <f t="shared" si="90"/>
        <v>1</v>
      </c>
      <c r="AC88" s="23">
        <v>1</v>
      </c>
      <c r="AD88" s="4">
        <f t="shared" si="92"/>
        <v>1</v>
      </c>
      <c r="AE88" s="4">
        <f t="shared" si="93"/>
        <v>1</v>
      </c>
    </row>
    <row r="89" spans="2:31" x14ac:dyDescent="0.25">
      <c r="B89" s="10">
        <v>24</v>
      </c>
      <c r="C89" s="24"/>
      <c r="D89" s="26"/>
      <c r="E89" s="16">
        <f>(D89*PRODUCT($F$64:$AE$64)/AD64)/(PRODUCT(F89:AE89))</f>
        <v>0</v>
      </c>
      <c r="F89" s="22">
        <f t="shared" si="94"/>
        <v>1</v>
      </c>
      <c r="G89" s="22">
        <f t="shared" si="78"/>
        <v>1</v>
      </c>
      <c r="H89" s="22">
        <f t="shared" si="95"/>
        <v>1</v>
      </c>
      <c r="I89" s="22">
        <f t="shared" si="79"/>
        <v>1</v>
      </c>
      <c r="J89" s="22">
        <f t="shared" si="80"/>
        <v>1</v>
      </c>
      <c r="K89" s="22">
        <f t="shared" si="81"/>
        <v>1</v>
      </c>
      <c r="L89" s="22">
        <f t="shared" si="82"/>
        <v>1</v>
      </c>
      <c r="M89" s="22">
        <f t="shared" si="96"/>
        <v>1</v>
      </c>
      <c r="N89" s="22">
        <f t="shared" si="83"/>
        <v>1</v>
      </c>
      <c r="O89" s="22">
        <f t="shared" si="84"/>
        <v>1</v>
      </c>
      <c r="P89" s="22">
        <f t="shared" si="98"/>
        <v>1</v>
      </c>
      <c r="Q89" s="22">
        <f t="shared" si="99"/>
        <v>1</v>
      </c>
      <c r="R89" s="22">
        <f t="shared" si="100"/>
        <v>1</v>
      </c>
      <c r="S89" s="22">
        <f t="shared" si="101"/>
        <v>1</v>
      </c>
      <c r="T89" s="22">
        <f t="shared" si="102"/>
        <v>1</v>
      </c>
      <c r="U89" s="22">
        <f t="shared" si="103"/>
        <v>1</v>
      </c>
      <c r="V89" s="22">
        <f t="shared" si="104"/>
        <v>1</v>
      </c>
      <c r="W89" s="22">
        <f t="shared" si="85"/>
        <v>1</v>
      </c>
      <c r="X89" s="22">
        <f t="shared" si="86"/>
        <v>1</v>
      </c>
      <c r="Y89" s="22">
        <f t="shared" si="87"/>
        <v>1</v>
      </c>
      <c r="Z89" s="4">
        <f t="shared" si="88"/>
        <v>1</v>
      </c>
      <c r="AA89" s="4">
        <f t="shared" si="89"/>
        <v>1</v>
      </c>
      <c r="AB89" s="4">
        <f t="shared" si="90"/>
        <v>1</v>
      </c>
      <c r="AC89" s="4">
        <f t="shared" si="91"/>
        <v>1</v>
      </c>
      <c r="AD89" s="23">
        <v>1</v>
      </c>
      <c r="AE89" s="4">
        <f t="shared" si="93"/>
        <v>1</v>
      </c>
    </row>
    <row r="90" spans="2:31" x14ac:dyDescent="0.25">
      <c r="B90" s="20">
        <v>25</v>
      </c>
      <c r="C90" s="25"/>
      <c r="D90" s="27"/>
      <c r="E90" s="16">
        <f>(D90*PRODUCT($F$64:$AE$64)/AE64)/(PRODUCT(F90:AE90))</f>
        <v>0</v>
      </c>
      <c r="F90" s="4">
        <f t="shared" si="94"/>
        <v>1</v>
      </c>
      <c r="G90" s="4">
        <f t="shared" si="78"/>
        <v>1</v>
      </c>
      <c r="H90" s="4">
        <f t="shared" si="95"/>
        <v>1</v>
      </c>
      <c r="I90" s="4">
        <f t="shared" si="79"/>
        <v>1</v>
      </c>
      <c r="J90" s="4">
        <f t="shared" si="80"/>
        <v>1</v>
      </c>
      <c r="K90" s="4">
        <f t="shared" si="81"/>
        <v>1</v>
      </c>
      <c r="L90" s="4">
        <f t="shared" si="82"/>
        <v>1</v>
      </c>
      <c r="M90" s="4">
        <f t="shared" si="96"/>
        <v>1</v>
      </c>
      <c r="N90" s="4">
        <f t="shared" si="83"/>
        <v>1</v>
      </c>
      <c r="O90" s="4">
        <f t="shared" si="84"/>
        <v>1</v>
      </c>
      <c r="P90" s="4">
        <f t="shared" si="98"/>
        <v>1</v>
      </c>
      <c r="Q90" s="4">
        <f t="shared" si="99"/>
        <v>1</v>
      </c>
      <c r="R90" s="4">
        <f t="shared" si="100"/>
        <v>1</v>
      </c>
      <c r="S90" s="4">
        <f t="shared" si="101"/>
        <v>1</v>
      </c>
      <c r="T90" s="4">
        <f t="shared" si="102"/>
        <v>1</v>
      </c>
      <c r="U90" s="4">
        <f t="shared" si="103"/>
        <v>1</v>
      </c>
      <c r="V90" s="4">
        <f t="shared" si="104"/>
        <v>1</v>
      </c>
      <c r="W90" s="4">
        <f t="shared" si="85"/>
        <v>1</v>
      </c>
      <c r="X90" s="4">
        <f t="shared" si="86"/>
        <v>1</v>
      </c>
      <c r="Y90" s="4">
        <f t="shared" si="87"/>
        <v>1</v>
      </c>
      <c r="Z90" s="4">
        <f t="shared" si="88"/>
        <v>1</v>
      </c>
      <c r="AA90" s="4">
        <f t="shared" si="89"/>
        <v>1</v>
      </c>
      <c r="AB90" s="4">
        <f t="shared" si="90"/>
        <v>1</v>
      </c>
      <c r="AC90" s="4">
        <f t="shared" si="91"/>
        <v>1</v>
      </c>
      <c r="AD90" s="4">
        <f t="shared" si="92"/>
        <v>1</v>
      </c>
      <c r="AE90" s="17">
        <v>1</v>
      </c>
    </row>
    <row r="95" spans="2:31" ht="15.75" thickBot="1" x14ac:dyDescent="0.3"/>
    <row r="96" spans="2:31" x14ac:dyDescent="0.25">
      <c r="C96" s="11">
        <v>629</v>
      </c>
    </row>
    <row r="97" spans="3:4" x14ac:dyDescent="0.25">
      <c r="C97" s="14">
        <v>729</v>
      </c>
      <c r="D97" s="15">
        <v>0.01</v>
      </c>
    </row>
    <row r="98" spans="3:4" x14ac:dyDescent="0.25">
      <c r="C98" s="14">
        <v>656</v>
      </c>
      <c r="D98" s="15">
        <v>0.02</v>
      </c>
    </row>
    <row r="99" spans="3:4" x14ac:dyDescent="0.25">
      <c r="C99" s="14">
        <v>614</v>
      </c>
      <c r="D99" s="15">
        <v>0.03</v>
      </c>
    </row>
    <row r="100" spans="3:4" x14ac:dyDescent="0.25">
      <c r="C100" s="14">
        <v>584</v>
      </c>
      <c r="D100" s="15">
        <v>0.04</v>
      </c>
    </row>
    <row r="101" spans="3:4" x14ac:dyDescent="0.25">
      <c r="C101" s="18">
        <v>560</v>
      </c>
      <c r="D101" s="15">
        <v>0.05</v>
      </c>
    </row>
    <row r="102" spans="3:4" x14ac:dyDescent="0.25">
      <c r="C102" s="18">
        <v>541</v>
      </c>
      <c r="D102" s="15">
        <v>0.06</v>
      </c>
    </row>
    <row r="103" spans="3:4" x14ac:dyDescent="0.25">
      <c r="C103" s="18">
        <v>525</v>
      </c>
      <c r="D103" s="15">
        <v>7.0000000000000007E-2</v>
      </c>
    </row>
    <row r="104" spans="3:4" x14ac:dyDescent="0.25">
      <c r="C104" s="18">
        <v>511</v>
      </c>
      <c r="D104" s="15">
        <v>0.08</v>
      </c>
    </row>
    <row r="105" spans="3:4" x14ac:dyDescent="0.25">
      <c r="C105" s="18">
        <v>498</v>
      </c>
      <c r="D105" s="15">
        <v>0.09</v>
      </c>
    </row>
    <row r="106" spans="3:4" x14ac:dyDescent="0.25">
      <c r="C106" s="18">
        <v>487</v>
      </c>
      <c r="D106" s="15">
        <v>0.1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4"/>
  <sheetViews>
    <sheetView topLeftCell="A5" workbookViewId="0"/>
  </sheetViews>
  <sheetFormatPr defaultRowHeight="15" x14ac:dyDescent="0.25"/>
  <cols>
    <col min="1" max="1" width="20" bestFit="1" customWidth="1"/>
  </cols>
  <sheetData>
    <row r="1" spans="1:1" x14ac:dyDescent="0.25">
      <c r="A1" t="s">
        <v>104</v>
      </c>
    </row>
    <row r="2" spans="1:1" x14ac:dyDescent="0.25">
      <c r="A2" t="s">
        <v>81</v>
      </c>
    </row>
    <row r="3" spans="1:1" x14ac:dyDescent="0.25">
      <c r="A3" t="s">
        <v>82</v>
      </c>
    </row>
    <row r="4" spans="1:1" x14ac:dyDescent="0.25">
      <c r="A4" t="s">
        <v>83</v>
      </c>
    </row>
    <row r="5" spans="1:1" x14ac:dyDescent="0.25">
      <c r="A5" t="s">
        <v>84</v>
      </c>
    </row>
    <row r="6" spans="1:1" x14ac:dyDescent="0.25">
      <c r="A6" t="s">
        <v>85</v>
      </c>
    </row>
    <row r="7" spans="1:1" x14ac:dyDescent="0.25">
      <c r="A7" t="s">
        <v>86</v>
      </c>
    </row>
    <row r="8" spans="1:1" x14ac:dyDescent="0.25">
      <c r="A8" t="s">
        <v>87</v>
      </c>
    </row>
    <row r="9" spans="1:1" x14ac:dyDescent="0.25">
      <c r="A9" t="s">
        <v>88</v>
      </c>
    </row>
    <row r="10" spans="1:1" x14ac:dyDescent="0.25">
      <c r="A10" t="s">
        <v>89</v>
      </c>
    </row>
    <row r="11" spans="1:1" x14ac:dyDescent="0.25">
      <c r="A11" t="s">
        <v>90</v>
      </c>
    </row>
    <row r="12" spans="1:1" x14ac:dyDescent="0.25">
      <c r="A12" t="s">
        <v>91</v>
      </c>
    </row>
    <row r="13" spans="1:1" x14ac:dyDescent="0.25">
      <c r="A13" t="s">
        <v>92</v>
      </c>
    </row>
    <row r="14" spans="1:1" x14ac:dyDescent="0.25">
      <c r="A14" t="s">
        <v>93</v>
      </c>
    </row>
    <row r="15" spans="1:1" x14ac:dyDescent="0.25">
      <c r="A15" t="s">
        <v>94</v>
      </c>
    </row>
    <row r="16" spans="1:1" x14ac:dyDescent="0.25">
      <c r="A16" t="s">
        <v>95</v>
      </c>
    </row>
    <row r="17" spans="1:1" x14ac:dyDescent="0.25">
      <c r="A17" t="s">
        <v>96</v>
      </c>
    </row>
    <row r="18" spans="1:1" x14ac:dyDescent="0.25">
      <c r="A18" t="s">
        <v>97</v>
      </c>
    </row>
    <row r="19" spans="1:1" x14ac:dyDescent="0.25">
      <c r="A19" t="s">
        <v>98</v>
      </c>
    </row>
    <row r="20" spans="1:1" x14ac:dyDescent="0.25">
      <c r="A20" t="s">
        <v>99</v>
      </c>
    </row>
    <row r="21" spans="1:1" x14ac:dyDescent="0.25">
      <c r="A21" t="s">
        <v>100</v>
      </c>
    </row>
    <row r="22" spans="1:1" x14ac:dyDescent="0.25">
      <c r="A22" t="s">
        <v>101</v>
      </c>
    </row>
    <row r="23" spans="1:1" x14ac:dyDescent="0.25">
      <c r="A23" t="s">
        <v>102</v>
      </c>
    </row>
    <row r="24" spans="1:1" x14ac:dyDescent="0.25">
      <c r="A24" t="s">
        <v>103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Início</vt:lpstr>
      <vt:lpstr>Interpolador</vt:lpstr>
      <vt:lpstr>Listas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2021-12-23T14:52:07Z</dcterms:created>
  <dcterms:modified xsi:type="dcterms:W3CDTF">2022-04-25T03:36:47Z</dcterms:modified>
</cp:coreProperties>
</file>