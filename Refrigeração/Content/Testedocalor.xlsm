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0" yWindow="0" windowWidth="20400" windowHeight="7620" activeTab="1"/>
  </bookViews>
  <sheets>
    <sheet name="Planilha1" sheetId="1" r:id="rId1"/>
    <sheet name="Listas" sheetId="2" r:id="rId2"/>
  </sheets>
  <calcPr calcId="145621"/>
</workbook>
</file>

<file path=xl/calcChain.xml><?xml version="1.0" encoding="utf-8"?>
<calcChain xmlns="http://schemas.openxmlformats.org/spreadsheetml/2006/main">
  <c r="S2" i="2" l="1"/>
  <c r="H10" i="2" l="1"/>
  <c r="L41" i="2"/>
  <c r="M41" i="2"/>
  <c r="N41" i="2"/>
  <c r="O41" i="2"/>
  <c r="P41" i="2"/>
  <c r="Q41" i="2"/>
  <c r="L42" i="2"/>
  <c r="M42" i="2"/>
  <c r="N42" i="2"/>
  <c r="O42" i="2"/>
  <c r="P42" i="2"/>
  <c r="Q42" i="2"/>
  <c r="L43" i="2"/>
  <c r="M43" i="2"/>
  <c r="N43" i="2"/>
  <c r="O43" i="2"/>
  <c r="P43" i="2"/>
  <c r="Q43" i="2"/>
  <c r="L44" i="2"/>
  <c r="M44" i="2"/>
  <c r="N44" i="2"/>
  <c r="O44" i="2"/>
  <c r="P44" i="2"/>
  <c r="Q44" i="2"/>
  <c r="L45" i="2"/>
  <c r="M45" i="2"/>
  <c r="N45" i="2"/>
  <c r="O45" i="2"/>
  <c r="P45" i="2"/>
  <c r="Q45" i="2"/>
  <c r="M40" i="2"/>
  <c r="N40" i="2"/>
  <c r="O40" i="2"/>
  <c r="P40" i="2"/>
  <c r="Q40" i="2"/>
  <c r="L40" i="2"/>
  <c r="L34" i="2"/>
  <c r="M34" i="2"/>
  <c r="N34" i="2"/>
  <c r="O34" i="2"/>
  <c r="P34" i="2"/>
  <c r="Q34" i="2"/>
  <c r="L35" i="2"/>
  <c r="M35" i="2"/>
  <c r="N35" i="2"/>
  <c r="O35" i="2"/>
  <c r="P35" i="2"/>
  <c r="Q35" i="2"/>
  <c r="L36" i="2"/>
  <c r="M36" i="2"/>
  <c r="N36" i="2"/>
  <c r="O36" i="2"/>
  <c r="P36" i="2"/>
  <c r="Q36" i="2"/>
  <c r="L37" i="2"/>
  <c r="M37" i="2"/>
  <c r="N37" i="2"/>
  <c r="O37" i="2"/>
  <c r="P37" i="2"/>
  <c r="Q37" i="2"/>
  <c r="L38" i="2"/>
  <c r="M38" i="2"/>
  <c r="N38" i="2"/>
  <c r="O38" i="2"/>
  <c r="P38" i="2"/>
  <c r="Q38" i="2"/>
  <c r="M33" i="2"/>
  <c r="N33" i="2"/>
  <c r="O33" i="2"/>
  <c r="P33" i="2"/>
  <c r="Q33" i="2"/>
  <c r="L33" i="2"/>
  <c r="L27" i="2"/>
  <c r="M27" i="2"/>
  <c r="N27" i="2"/>
  <c r="O27" i="2"/>
  <c r="P27" i="2"/>
  <c r="Q27" i="2"/>
  <c r="L28" i="2"/>
  <c r="M28" i="2"/>
  <c r="N28" i="2"/>
  <c r="O28" i="2"/>
  <c r="P28" i="2"/>
  <c r="Q28" i="2"/>
  <c r="L29" i="2"/>
  <c r="M29" i="2"/>
  <c r="N29" i="2"/>
  <c r="O29" i="2"/>
  <c r="P29" i="2"/>
  <c r="Q29" i="2"/>
  <c r="L30" i="2"/>
  <c r="M30" i="2"/>
  <c r="N30" i="2"/>
  <c r="O30" i="2"/>
  <c r="P30" i="2"/>
  <c r="Q30" i="2"/>
  <c r="L31" i="2"/>
  <c r="M31" i="2"/>
  <c r="N31" i="2"/>
  <c r="O31" i="2"/>
  <c r="P31" i="2"/>
  <c r="Q31" i="2"/>
  <c r="M26" i="2"/>
  <c r="N26" i="2"/>
  <c r="O26" i="2"/>
  <c r="P26" i="2"/>
  <c r="Q26" i="2"/>
  <c r="L26" i="2"/>
  <c r="L20" i="2"/>
  <c r="M20" i="2"/>
  <c r="N20" i="2"/>
  <c r="O20" i="2"/>
  <c r="P20" i="2"/>
  <c r="Q20" i="2"/>
  <c r="L21" i="2"/>
  <c r="M21" i="2"/>
  <c r="N21" i="2"/>
  <c r="O21" i="2"/>
  <c r="P21" i="2"/>
  <c r="Q21" i="2"/>
  <c r="L22" i="2"/>
  <c r="M22" i="2"/>
  <c r="N22" i="2"/>
  <c r="O22" i="2"/>
  <c r="P22" i="2"/>
  <c r="Q22" i="2"/>
  <c r="L23" i="2"/>
  <c r="M23" i="2"/>
  <c r="N23" i="2"/>
  <c r="O23" i="2"/>
  <c r="P23" i="2"/>
  <c r="Q23" i="2"/>
  <c r="L24" i="2"/>
  <c r="M24" i="2"/>
  <c r="N24" i="2"/>
  <c r="O24" i="2"/>
  <c r="P24" i="2"/>
  <c r="Q24" i="2"/>
  <c r="M19" i="2"/>
  <c r="N19" i="2"/>
  <c r="O19" i="2"/>
  <c r="P19" i="2"/>
  <c r="Q19" i="2"/>
  <c r="L19" i="2"/>
  <c r="L11" i="2" l="1"/>
  <c r="M11" i="2"/>
  <c r="O11" i="2"/>
  <c r="P11" i="2"/>
  <c r="L12" i="2"/>
  <c r="M12" i="2"/>
  <c r="N12" i="2"/>
  <c r="O12" i="2"/>
  <c r="P12" i="2"/>
  <c r="L13" i="2"/>
  <c r="M13" i="2"/>
  <c r="N13" i="2"/>
  <c r="O13" i="2"/>
  <c r="P13" i="2"/>
  <c r="L14" i="2"/>
  <c r="M14" i="2"/>
  <c r="O14" i="2"/>
  <c r="P14" i="2"/>
  <c r="L15" i="2"/>
  <c r="M15" i="2"/>
  <c r="N15" i="2"/>
  <c r="O15" i="2"/>
  <c r="P15" i="2"/>
  <c r="L16" i="2"/>
  <c r="M16" i="2"/>
  <c r="N16" i="2"/>
  <c r="O16" i="2"/>
  <c r="P16" i="2"/>
  <c r="L4" i="2"/>
  <c r="M4" i="2"/>
  <c r="N4" i="2"/>
  <c r="O4" i="2"/>
  <c r="P4" i="2"/>
  <c r="L5" i="2"/>
  <c r="M5" i="2"/>
  <c r="N5" i="2"/>
  <c r="O5" i="2"/>
  <c r="P5" i="2"/>
  <c r="L6" i="2"/>
  <c r="M6" i="2"/>
  <c r="N6" i="2"/>
  <c r="O6" i="2"/>
  <c r="P6" i="2"/>
  <c r="L7" i="2"/>
  <c r="M7" i="2"/>
  <c r="N7" i="2"/>
  <c r="O7" i="2"/>
  <c r="P7" i="2"/>
  <c r="L8" i="2"/>
  <c r="M8" i="2"/>
  <c r="N8" i="2"/>
  <c r="O8" i="2"/>
  <c r="P8" i="2"/>
  <c r="M3" i="2"/>
  <c r="N3" i="2"/>
  <c r="O3" i="2"/>
  <c r="P3" i="2"/>
  <c r="L3" i="2"/>
  <c r="E5" i="2"/>
</calcChain>
</file>

<file path=xl/sharedStrings.xml><?xml version="1.0" encoding="utf-8"?>
<sst xmlns="http://schemas.openxmlformats.org/spreadsheetml/2006/main" count="99" uniqueCount="39">
  <si>
    <t>Massa</t>
  </si>
  <si>
    <t>Lb</t>
  </si>
  <si>
    <t>Oz</t>
  </si>
  <si>
    <t>St</t>
  </si>
  <si>
    <t>g</t>
  </si>
  <si>
    <t>Ton</t>
  </si>
  <si>
    <t>Tempo</t>
  </si>
  <si>
    <t>Vasão</t>
  </si>
  <si>
    <t>kg</t>
  </si>
  <si>
    <t>h</t>
  </si>
  <si>
    <t>s</t>
  </si>
  <si>
    <t>dia</t>
  </si>
  <si>
    <t>semana</t>
  </si>
  <si>
    <t>min</t>
  </si>
  <si>
    <t>Energia</t>
  </si>
  <si>
    <t>J</t>
  </si>
  <si>
    <t>cal</t>
  </si>
  <si>
    <t>kcal</t>
  </si>
  <si>
    <t>kJ</t>
  </si>
  <si>
    <t>BTU</t>
  </si>
  <si>
    <t>ftLbf</t>
  </si>
  <si>
    <t>Graus</t>
  </si>
  <si>
    <t>°C</t>
  </si>
  <si>
    <t>K</t>
  </si>
  <si>
    <t>°F</t>
  </si>
  <si>
    <t>°R</t>
  </si>
  <si>
    <t>Listagem</t>
  </si>
  <si>
    <t>Calor</t>
  </si>
  <si>
    <t>W</t>
  </si>
  <si>
    <t>kW</t>
  </si>
  <si>
    <t>Cp</t>
  </si>
  <si>
    <t>LMDT</t>
  </si>
  <si>
    <t>Te</t>
  </si>
  <si>
    <t>Ts</t>
  </si>
  <si>
    <t>te</t>
  </si>
  <si>
    <t>ts</t>
  </si>
  <si>
    <t>20,00</t>
  </si>
  <si>
    <t>60,00</t>
  </si>
  <si>
    <t>57,00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</si>
</sst>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11</xdr:row>
      <xdr:rowOff>123825</xdr:rowOff>
    </xdr:from>
    <xdr:to>
      <xdr:col>7</xdr:col>
      <xdr:colOff>180975</xdr:colOff>
      <xdr:row>17</xdr:row>
      <xdr:rowOff>152400</xdr:rowOff>
    </xdr:to>
    <xdr:sp macro="[0]!Chama" textlink="">
      <xdr:nvSpPr>
        <xdr:cNvPr id="2" name="Retângulo 1"/>
        <xdr:cNvSpPr/>
      </xdr:nvSpPr>
      <xdr:spPr>
        <a:xfrm>
          <a:off x="1485900" y="2219325"/>
          <a:ext cx="3162300" cy="1171575"/>
        </a:xfrm>
        <a:prstGeom prst="rect">
          <a:avLst/>
        </a:prstGeom>
        <a:solidFill>
          <a:schemeClr val="tx1">
            <a:alpha val="75000"/>
          </a:schemeClr>
        </a:solidFill>
        <a:ln w="63500">
          <a:solidFill>
            <a:srgbClr val="FFFF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/>
            <a:t>Don't</a:t>
          </a:r>
          <a:r>
            <a:rPr lang="pt-BR" sz="3200" b="1" baseline="0"/>
            <a:t> press this button</a:t>
          </a:r>
          <a:endParaRPr lang="pt-BR" sz="32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"/>
  <sheetViews>
    <sheetView workbookViewId="0">
      <selection activeCell="D7" sqref="D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W45"/>
  <sheetViews>
    <sheetView tabSelected="1" workbookViewId="0">
      <selection activeCell="T9" sqref="T9"/>
    </sheetView>
  </sheetViews>
  <sheetFormatPr defaultRowHeight="15" x14ac:dyDescent="0.25"/>
  <cols>
    <col min="1" max="1" width="12.140625" customWidth="1"/>
    <col min="19" max="19" width="10.7109375" customWidth="1"/>
  </cols>
  <sheetData>
    <row r="1" spans="1:23" x14ac:dyDescent="0.25">
      <c r="K1" t="s">
        <v>26</v>
      </c>
      <c r="S1" t="s">
        <v>31</v>
      </c>
      <c r="T1" t="s">
        <v>32</v>
      </c>
      <c r="U1" t="s">
        <v>33</v>
      </c>
      <c r="V1" t="s">
        <v>34</v>
      </c>
      <c r="W1" t="s">
        <v>35</v>
      </c>
    </row>
    <row r="2" spans="1:23" x14ac:dyDescent="0.25">
      <c r="A2" s="1" t="s">
        <v>0</v>
      </c>
      <c r="B2" s="1" t="s">
        <v>8</v>
      </c>
      <c r="C2" t="s">
        <v>6</v>
      </c>
      <c r="D2" t="s">
        <v>9</v>
      </c>
      <c r="E2" t="s">
        <v>14</v>
      </c>
      <c r="F2" t="s">
        <v>18</v>
      </c>
      <c r="G2" s="2" t="s">
        <v>21</v>
      </c>
      <c r="H2" s="2"/>
      <c r="I2" t="s">
        <v>22</v>
      </c>
      <c r="K2" t="s">
        <v>7</v>
      </c>
      <c r="L2" t="s">
        <v>9</v>
      </c>
      <c r="M2" t="s">
        <v>13</v>
      </c>
      <c r="N2" t="s">
        <v>10</v>
      </c>
      <c r="O2" t="s">
        <v>11</v>
      </c>
      <c r="P2" t="s">
        <v>12</v>
      </c>
      <c r="S2">
        <f>IFERROR(ABS(((T2-W2)-(U2-V2))/LN((T2-W2)/(U2-V2))),0)</f>
        <v>47.577021291820358</v>
      </c>
      <c r="T2" t="s">
        <v>37</v>
      </c>
      <c r="U2" t="s">
        <v>38</v>
      </c>
      <c r="V2" t="s">
        <v>36</v>
      </c>
    </row>
    <row r="3" spans="1:23" x14ac:dyDescent="0.25">
      <c r="A3">
        <v>1</v>
      </c>
      <c r="B3" t="s">
        <v>8</v>
      </c>
      <c r="C3">
        <v>1</v>
      </c>
      <c r="D3" t="s">
        <v>9</v>
      </c>
      <c r="E3">
        <v>1</v>
      </c>
      <c r="F3" t="s">
        <v>15</v>
      </c>
      <c r="G3">
        <v>0</v>
      </c>
      <c r="H3">
        <v>1</v>
      </c>
      <c r="I3" t="s">
        <v>22</v>
      </c>
      <c r="K3" t="s">
        <v>8</v>
      </c>
      <c r="L3" t="str">
        <f>CONCATENATE($K3,"/",L$2)</f>
        <v>kg/h</v>
      </c>
      <c r="M3" t="str">
        <f t="shared" ref="M3:P16" si="0">CONCATENATE($K3,"/",M$2)</f>
        <v>kg/min</v>
      </c>
      <c r="N3" t="str">
        <f t="shared" si="0"/>
        <v>kg/s</v>
      </c>
      <c r="O3" t="str">
        <f t="shared" si="0"/>
        <v>kg/dia</v>
      </c>
      <c r="P3" t="str">
        <f t="shared" si="0"/>
        <v>kg/semana</v>
      </c>
    </row>
    <row r="4" spans="1:23" x14ac:dyDescent="0.25">
      <c r="A4">
        <v>1000</v>
      </c>
      <c r="B4" t="s">
        <v>4</v>
      </c>
      <c r="C4">
        <v>60</v>
      </c>
      <c r="D4" t="s">
        <v>13</v>
      </c>
      <c r="E4">
        <v>0.239234</v>
      </c>
      <c r="F4" t="s">
        <v>16</v>
      </c>
      <c r="G4">
        <v>273.14999999999998</v>
      </c>
      <c r="H4">
        <v>1</v>
      </c>
      <c r="I4" t="s">
        <v>23</v>
      </c>
      <c r="K4" t="s">
        <v>4</v>
      </c>
      <c r="L4" t="str">
        <f t="shared" ref="L4:L16" si="1">CONCATENATE($K4,"/",L$2)</f>
        <v>g/h</v>
      </c>
      <c r="M4" t="str">
        <f t="shared" si="0"/>
        <v>g/min</v>
      </c>
      <c r="N4" t="str">
        <f t="shared" si="0"/>
        <v>g/s</v>
      </c>
      <c r="O4" t="str">
        <f t="shared" si="0"/>
        <v>g/dia</v>
      </c>
      <c r="P4" t="str">
        <f t="shared" si="0"/>
        <v>g/semana</v>
      </c>
    </row>
    <row r="5" spans="1:23" x14ac:dyDescent="0.25">
      <c r="A5">
        <v>1E-3</v>
      </c>
      <c r="B5" t="s">
        <v>5</v>
      </c>
      <c r="C5">
        <v>3600</v>
      </c>
      <c r="D5" t="s">
        <v>10</v>
      </c>
      <c r="E5">
        <f>E4/1000</f>
        <v>2.3923400000000001E-4</v>
      </c>
      <c r="F5" t="s">
        <v>17</v>
      </c>
      <c r="G5">
        <v>32</v>
      </c>
      <c r="H5">
        <v>1.8</v>
      </c>
      <c r="I5" t="s">
        <v>24</v>
      </c>
      <c r="K5" t="s">
        <v>5</v>
      </c>
      <c r="L5" t="str">
        <f t="shared" si="1"/>
        <v>Ton/h</v>
      </c>
      <c r="M5" t="str">
        <f t="shared" si="0"/>
        <v>Ton/min</v>
      </c>
      <c r="N5" t="str">
        <f t="shared" si="0"/>
        <v>Ton/s</v>
      </c>
      <c r="O5" t="str">
        <f t="shared" si="0"/>
        <v>Ton/dia</v>
      </c>
      <c r="P5" t="str">
        <f t="shared" si="0"/>
        <v>Ton/semana</v>
      </c>
    </row>
    <row r="6" spans="1:23" x14ac:dyDescent="0.25">
      <c r="A6">
        <v>2.2046199999999998</v>
      </c>
      <c r="B6" t="s">
        <v>1</v>
      </c>
      <c r="C6">
        <v>4.1667000000000003E-2</v>
      </c>
      <c r="D6" t="s">
        <v>11</v>
      </c>
      <c r="E6">
        <v>1E-3</v>
      </c>
      <c r="F6" t="s">
        <v>18</v>
      </c>
      <c r="G6">
        <v>460</v>
      </c>
      <c r="H6">
        <v>1.8</v>
      </c>
      <c r="I6" t="s">
        <v>25</v>
      </c>
      <c r="K6" t="s">
        <v>1</v>
      </c>
      <c r="L6" t="str">
        <f t="shared" si="1"/>
        <v>Lb/h</v>
      </c>
      <c r="M6" t="str">
        <f t="shared" si="0"/>
        <v>Lb/min</v>
      </c>
      <c r="N6" t="str">
        <f t="shared" si="0"/>
        <v>Lb/s</v>
      </c>
      <c r="O6" t="str">
        <f t="shared" si="0"/>
        <v>Lb/dia</v>
      </c>
      <c r="P6" t="str">
        <f t="shared" si="0"/>
        <v>Lb/semana</v>
      </c>
    </row>
    <row r="7" spans="1:23" x14ac:dyDescent="0.25">
      <c r="A7">
        <v>35.273919998257497</v>
      </c>
      <c r="B7" t="s">
        <v>2</v>
      </c>
      <c r="C7">
        <v>5.9519999999999998E-3</v>
      </c>
      <c r="D7" t="s">
        <v>12</v>
      </c>
      <c r="E7">
        <v>9.47817E-4</v>
      </c>
      <c r="F7" t="s">
        <v>19</v>
      </c>
      <c r="K7" t="s">
        <v>2</v>
      </c>
      <c r="L7" t="str">
        <f t="shared" si="1"/>
        <v>Oz/h</v>
      </c>
      <c r="M7" t="str">
        <f t="shared" si="0"/>
        <v>Oz/min</v>
      </c>
      <c r="N7" t="str">
        <f t="shared" si="0"/>
        <v>Oz/s</v>
      </c>
      <c r="O7" t="str">
        <f t="shared" si="0"/>
        <v>Oz/dia</v>
      </c>
      <c r="P7" t="str">
        <f t="shared" si="0"/>
        <v>Oz/semana</v>
      </c>
    </row>
    <row r="8" spans="1:23" x14ac:dyDescent="0.25">
      <c r="A8">
        <v>0.157472857135078</v>
      </c>
      <c r="B8" t="s">
        <v>3</v>
      </c>
      <c r="E8">
        <v>0.73756205565313904</v>
      </c>
      <c r="F8" t="s">
        <v>20</v>
      </c>
      <c r="K8" t="s">
        <v>3</v>
      </c>
      <c r="L8" t="str">
        <f t="shared" si="1"/>
        <v>St/h</v>
      </c>
      <c r="M8" t="str">
        <f t="shared" si="0"/>
        <v>St/min</v>
      </c>
      <c r="N8" t="str">
        <f t="shared" si="0"/>
        <v>St/s</v>
      </c>
      <c r="O8" t="str">
        <f t="shared" si="0"/>
        <v>St/dia</v>
      </c>
      <c r="P8" t="str">
        <f t="shared" si="0"/>
        <v>St/semana</v>
      </c>
    </row>
    <row r="10" spans="1:23" x14ac:dyDescent="0.25">
      <c r="H10">
        <f>(-40-G5)*(H3/H5)+G3</f>
        <v>-40</v>
      </c>
      <c r="K10" t="s">
        <v>27</v>
      </c>
      <c r="L10" t="s">
        <v>9</v>
      </c>
      <c r="M10" t="s">
        <v>13</v>
      </c>
      <c r="N10" t="s">
        <v>10</v>
      </c>
      <c r="O10" t="s">
        <v>11</v>
      </c>
      <c r="P10" t="s">
        <v>12</v>
      </c>
    </row>
    <row r="11" spans="1:23" x14ac:dyDescent="0.25">
      <c r="K11" t="s">
        <v>15</v>
      </c>
      <c r="L11" t="str">
        <f t="shared" si="1"/>
        <v>J/h</v>
      </c>
      <c r="M11" t="str">
        <f t="shared" si="0"/>
        <v>J/min</v>
      </c>
      <c r="N11" t="s">
        <v>28</v>
      </c>
      <c r="O11" t="str">
        <f t="shared" si="0"/>
        <v>J/dia</v>
      </c>
      <c r="P11" t="str">
        <f t="shared" si="0"/>
        <v>J/semana</v>
      </c>
    </row>
    <row r="12" spans="1:23" x14ac:dyDescent="0.25">
      <c r="K12" t="s">
        <v>16</v>
      </c>
      <c r="L12" t="str">
        <f t="shared" si="1"/>
        <v>cal/h</v>
      </c>
      <c r="M12" t="str">
        <f t="shared" si="0"/>
        <v>cal/min</v>
      </c>
      <c r="N12" t="str">
        <f t="shared" si="0"/>
        <v>cal/s</v>
      </c>
      <c r="O12" t="str">
        <f t="shared" si="0"/>
        <v>cal/dia</v>
      </c>
      <c r="P12" t="str">
        <f t="shared" si="0"/>
        <v>cal/semana</v>
      </c>
    </row>
    <row r="13" spans="1:23" x14ac:dyDescent="0.25">
      <c r="K13" t="s">
        <v>17</v>
      </c>
      <c r="L13" t="str">
        <f t="shared" si="1"/>
        <v>kcal/h</v>
      </c>
      <c r="M13" t="str">
        <f t="shared" si="0"/>
        <v>kcal/min</v>
      </c>
      <c r="N13" t="str">
        <f t="shared" si="0"/>
        <v>kcal/s</v>
      </c>
      <c r="O13" t="str">
        <f t="shared" si="0"/>
        <v>kcal/dia</v>
      </c>
      <c r="P13" t="str">
        <f t="shared" si="0"/>
        <v>kcal/semana</v>
      </c>
    </row>
    <row r="14" spans="1:23" x14ac:dyDescent="0.25">
      <c r="K14" t="s">
        <v>18</v>
      </c>
      <c r="L14" t="str">
        <f t="shared" si="1"/>
        <v>kJ/h</v>
      </c>
      <c r="M14" t="str">
        <f t="shared" si="0"/>
        <v>kJ/min</v>
      </c>
      <c r="N14" t="s">
        <v>29</v>
      </c>
      <c r="O14" t="str">
        <f t="shared" si="0"/>
        <v>kJ/dia</v>
      </c>
      <c r="P14" t="str">
        <f t="shared" si="0"/>
        <v>kJ/semana</v>
      </c>
    </row>
    <row r="15" spans="1:23" x14ac:dyDescent="0.25">
      <c r="K15" t="s">
        <v>19</v>
      </c>
      <c r="L15" t="str">
        <f t="shared" si="1"/>
        <v>BTU/h</v>
      </c>
      <c r="M15" t="str">
        <f t="shared" si="0"/>
        <v>BTU/min</v>
      </c>
      <c r="N15" t="str">
        <f t="shared" si="0"/>
        <v>BTU/s</v>
      </c>
      <c r="O15" t="str">
        <f t="shared" si="0"/>
        <v>BTU/dia</v>
      </c>
      <c r="P15" t="str">
        <f t="shared" si="0"/>
        <v>BTU/semana</v>
      </c>
    </row>
    <row r="16" spans="1:23" x14ac:dyDescent="0.25">
      <c r="K16" t="s">
        <v>20</v>
      </c>
      <c r="L16" t="str">
        <f t="shared" si="1"/>
        <v>ftLbf/h</v>
      </c>
      <c r="M16" t="str">
        <f t="shared" si="0"/>
        <v>ftLbf/min</v>
      </c>
      <c r="N16" t="str">
        <f t="shared" si="0"/>
        <v>ftLbf/s</v>
      </c>
      <c r="O16" t="str">
        <f t="shared" si="0"/>
        <v>ftLbf/dia</v>
      </c>
      <c r="P16" t="str">
        <f t="shared" si="0"/>
        <v>ftLbf/semana</v>
      </c>
    </row>
    <row r="17" spans="11:17" x14ac:dyDescent="0.25">
      <c r="K17" t="s">
        <v>30</v>
      </c>
      <c r="L17" t="s">
        <v>8</v>
      </c>
      <c r="M17" t="s">
        <v>4</v>
      </c>
      <c r="N17" t="s">
        <v>5</v>
      </c>
      <c r="O17" t="s">
        <v>1</v>
      </c>
      <c r="P17" t="s">
        <v>2</v>
      </c>
      <c r="Q17" t="s">
        <v>3</v>
      </c>
    </row>
    <row r="18" spans="11:17" x14ac:dyDescent="0.25">
      <c r="K18" t="s">
        <v>22</v>
      </c>
    </row>
    <row r="19" spans="11:17" x14ac:dyDescent="0.25">
      <c r="K19" t="s">
        <v>15</v>
      </c>
      <c r="L19" t="str">
        <f t="shared" ref="L19:Q24" si="2">CONCATENATE($K19,"/(",L$17,$K$18,")")</f>
        <v>J/(kg°C)</v>
      </c>
      <c r="M19" t="str">
        <f t="shared" si="2"/>
        <v>J/(g°C)</v>
      </c>
      <c r="N19" t="str">
        <f t="shared" si="2"/>
        <v>J/(Ton°C)</v>
      </c>
      <c r="O19" t="str">
        <f t="shared" si="2"/>
        <v>J/(Lb°C)</v>
      </c>
      <c r="P19" t="str">
        <f t="shared" si="2"/>
        <v>J/(Oz°C)</v>
      </c>
      <c r="Q19" t="str">
        <f t="shared" si="2"/>
        <v>J/(St°C)</v>
      </c>
    </row>
    <row r="20" spans="11:17" x14ac:dyDescent="0.25">
      <c r="K20" t="s">
        <v>16</v>
      </c>
      <c r="L20" t="str">
        <f t="shared" si="2"/>
        <v>cal/(kg°C)</v>
      </c>
      <c r="M20" t="str">
        <f t="shared" si="2"/>
        <v>cal/(g°C)</v>
      </c>
      <c r="N20" t="str">
        <f t="shared" si="2"/>
        <v>cal/(Ton°C)</v>
      </c>
      <c r="O20" t="str">
        <f t="shared" si="2"/>
        <v>cal/(Lb°C)</v>
      </c>
      <c r="P20" t="str">
        <f t="shared" si="2"/>
        <v>cal/(Oz°C)</v>
      </c>
      <c r="Q20" t="str">
        <f t="shared" si="2"/>
        <v>cal/(St°C)</v>
      </c>
    </row>
    <row r="21" spans="11:17" x14ac:dyDescent="0.25">
      <c r="K21" t="s">
        <v>17</v>
      </c>
      <c r="L21" t="str">
        <f t="shared" si="2"/>
        <v>kcal/(kg°C)</v>
      </c>
      <c r="M21" t="str">
        <f t="shared" si="2"/>
        <v>kcal/(g°C)</v>
      </c>
      <c r="N21" t="str">
        <f t="shared" si="2"/>
        <v>kcal/(Ton°C)</v>
      </c>
      <c r="O21" t="str">
        <f t="shared" si="2"/>
        <v>kcal/(Lb°C)</v>
      </c>
      <c r="P21" t="str">
        <f t="shared" si="2"/>
        <v>kcal/(Oz°C)</v>
      </c>
      <c r="Q21" t="str">
        <f t="shared" si="2"/>
        <v>kcal/(St°C)</v>
      </c>
    </row>
    <row r="22" spans="11:17" x14ac:dyDescent="0.25">
      <c r="K22" t="s">
        <v>18</v>
      </c>
      <c r="L22" t="str">
        <f t="shared" si="2"/>
        <v>kJ/(kg°C)</v>
      </c>
      <c r="M22" t="str">
        <f t="shared" si="2"/>
        <v>kJ/(g°C)</v>
      </c>
      <c r="N22" t="str">
        <f t="shared" si="2"/>
        <v>kJ/(Ton°C)</v>
      </c>
      <c r="O22" t="str">
        <f t="shared" si="2"/>
        <v>kJ/(Lb°C)</v>
      </c>
      <c r="P22" t="str">
        <f t="shared" si="2"/>
        <v>kJ/(Oz°C)</v>
      </c>
      <c r="Q22" t="str">
        <f t="shared" si="2"/>
        <v>kJ/(St°C)</v>
      </c>
    </row>
    <row r="23" spans="11:17" x14ac:dyDescent="0.25">
      <c r="K23" t="s">
        <v>19</v>
      </c>
      <c r="L23" t="str">
        <f t="shared" si="2"/>
        <v>BTU/(kg°C)</v>
      </c>
      <c r="M23" t="str">
        <f t="shared" si="2"/>
        <v>BTU/(g°C)</v>
      </c>
      <c r="N23" t="str">
        <f t="shared" si="2"/>
        <v>BTU/(Ton°C)</v>
      </c>
      <c r="O23" t="str">
        <f t="shared" si="2"/>
        <v>BTU/(Lb°C)</v>
      </c>
      <c r="P23" t="str">
        <f t="shared" si="2"/>
        <v>BTU/(Oz°C)</v>
      </c>
      <c r="Q23" t="str">
        <f t="shared" si="2"/>
        <v>BTU/(St°C)</v>
      </c>
    </row>
    <row r="24" spans="11:17" x14ac:dyDescent="0.25">
      <c r="K24" t="s">
        <v>20</v>
      </c>
      <c r="L24" t="str">
        <f t="shared" si="2"/>
        <v>ftLbf/(kg°C)</v>
      </c>
      <c r="M24" t="str">
        <f t="shared" si="2"/>
        <v>ftLbf/(g°C)</v>
      </c>
      <c r="N24" t="str">
        <f t="shared" si="2"/>
        <v>ftLbf/(Ton°C)</v>
      </c>
      <c r="O24" t="str">
        <f t="shared" si="2"/>
        <v>ftLbf/(Lb°C)</v>
      </c>
      <c r="P24" t="str">
        <f t="shared" si="2"/>
        <v>ftLbf/(Oz°C)</v>
      </c>
      <c r="Q24" t="str">
        <f t="shared" si="2"/>
        <v>ftLbf/(St°C)</v>
      </c>
    </row>
    <row r="25" spans="11:17" x14ac:dyDescent="0.25">
      <c r="K25" t="s">
        <v>24</v>
      </c>
    </row>
    <row r="26" spans="11:17" x14ac:dyDescent="0.25">
      <c r="K26" t="s">
        <v>15</v>
      </c>
      <c r="L26" t="str">
        <f t="shared" ref="L26:L31" si="3">CONCATENATE($K26,"/(",L$17,$K$25,")")</f>
        <v>J/(kg°F)</v>
      </c>
      <c r="M26" t="str">
        <f t="shared" ref="M26:Q31" si="4">CONCATENATE($K26,"/(",M$17,$K$25,")")</f>
        <v>J/(g°F)</v>
      </c>
      <c r="N26" t="str">
        <f t="shared" si="4"/>
        <v>J/(Ton°F)</v>
      </c>
      <c r="O26" t="str">
        <f t="shared" si="4"/>
        <v>J/(Lb°F)</v>
      </c>
      <c r="P26" t="str">
        <f t="shared" si="4"/>
        <v>J/(Oz°F)</v>
      </c>
      <c r="Q26" t="str">
        <f t="shared" si="4"/>
        <v>J/(St°F)</v>
      </c>
    </row>
    <row r="27" spans="11:17" x14ac:dyDescent="0.25">
      <c r="K27" t="s">
        <v>16</v>
      </c>
      <c r="L27" t="str">
        <f t="shared" si="3"/>
        <v>cal/(kg°F)</v>
      </c>
      <c r="M27" t="str">
        <f t="shared" si="4"/>
        <v>cal/(g°F)</v>
      </c>
      <c r="N27" t="str">
        <f t="shared" si="4"/>
        <v>cal/(Ton°F)</v>
      </c>
      <c r="O27" t="str">
        <f t="shared" si="4"/>
        <v>cal/(Lb°F)</v>
      </c>
      <c r="P27" t="str">
        <f t="shared" si="4"/>
        <v>cal/(Oz°F)</v>
      </c>
      <c r="Q27" t="str">
        <f t="shared" si="4"/>
        <v>cal/(St°F)</v>
      </c>
    </row>
    <row r="28" spans="11:17" x14ac:dyDescent="0.25">
      <c r="K28" t="s">
        <v>17</v>
      </c>
      <c r="L28" t="str">
        <f t="shared" si="3"/>
        <v>kcal/(kg°F)</v>
      </c>
      <c r="M28" t="str">
        <f t="shared" si="4"/>
        <v>kcal/(g°F)</v>
      </c>
      <c r="N28" t="str">
        <f t="shared" si="4"/>
        <v>kcal/(Ton°F)</v>
      </c>
      <c r="O28" t="str">
        <f t="shared" si="4"/>
        <v>kcal/(Lb°F)</v>
      </c>
      <c r="P28" t="str">
        <f t="shared" si="4"/>
        <v>kcal/(Oz°F)</v>
      </c>
      <c r="Q28" t="str">
        <f t="shared" si="4"/>
        <v>kcal/(St°F)</v>
      </c>
    </row>
    <row r="29" spans="11:17" x14ac:dyDescent="0.25">
      <c r="K29" t="s">
        <v>18</v>
      </c>
      <c r="L29" t="str">
        <f t="shared" si="3"/>
        <v>kJ/(kg°F)</v>
      </c>
      <c r="M29" t="str">
        <f t="shared" si="4"/>
        <v>kJ/(g°F)</v>
      </c>
      <c r="N29" t="str">
        <f t="shared" si="4"/>
        <v>kJ/(Ton°F)</v>
      </c>
      <c r="O29" t="str">
        <f t="shared" si="4"/>
        <v>kJ/(Lb°F)</v>
      </c>
      <c r="P29" t="str">
        <f t="shared" si="4"/>
        <v>kJ/(Oz°F)</v>
      </c>
      <c r="Q29" t="str">
        <f t="shared" si="4"/>
        <v>kJ/(St°F)</v>
      </c>
    </row>
    <row r="30" spans="11:17" x14ac:dyDescent="0.25">
      <c r="K30" t="s">
        <v>19</v>
      </c>
      <c r="L30" t="str">
        <f t="shared" si="3"/>
        <v>BTU/(kg°F)</v>
      </c>
      <c r="M30" t="str">
        <f t="shared" si="4"/>
        <v>BTU/(g°F)</v>
      </c>
      <c r="N30" t="str">
        <f t="shared" si="4"/>
        <v>BTU/(Ton°F)</v>
      </c>
      <c r="O30" t="str">
        <f t="shared" si="4"/>
        <v>BTU/(Lb°F)</v>
      </c>
      <c r="P30" t="str">
        <f t="shared" si="4"/>
        <v>BTU/(Oz°F)</v>
      </c>
      <c r="Q30" t="str">
        <f t="shared" si="4"/>
        <v>BTU/(St°F)</v>
      </c>
    </row>
    <row r="31" spans="11:17" x14ac:dyDescent="0.25">
      <c r="K31" t="s">
        <v>20</v>
      </c>
      <c r="L31" t="str">
        <f t="shared" si="3"/>
        <v>ftLbf/(kg°F)</v>
      </c>
      <c r="M31" t="str">
        <f t="shared" si="4"/>
        <v>ftLbf/(g°F)</v>
      </c>
      <c r="N31" t="str">
        <f t="shared" si="4"/>
        <v>ftLbf/(Ton°F)</v>
      </c>
      <c r="O31" t="str">
        <f t="shared" si="4"/>
        <v>ftLbf/(Lb°F)</v>
      </c>
      <c r="P31" t="str">
        <f t="shared" si="4"/>
        <v>ftLbf/(Oz°F)</v>
      </c>
      <c r="Q31" t="str">
        <f t="shared" si="4"/>
        <v>ftLbf/(St°F)</v>
      </c>
    </row>
    <row r="32" spans="11:17" x14ac:dyDescent="0.25">
      <c r="K32" t="s">
        <v>23</v>
      </c>
    </row>
    <row r="33" spans="11:17" x14ac:dyDescent="0.25">
      <c r="K33" t="s">
        <v>15</v>
      </c>
      <c r="L33" t="str">
        <f t="shared" ref="L33:L38" si="5">CONCATENATE($K33,"/(",L$17,$K$32,")")</f>
        <v>J/(kgK)</v>
      </c>
      <c r="M33" t="str">
        <f t="shared" ref="M33:Q38" si="6">CONCATENATE($K33,"/(",M$17,$K$32,")")</f>
        <v>J/(gK)</v>
      </c>
      <c r="N33" t="str">
        <f t="shared" si="6"/>
        <v>J/(TonK)</v>
      </c>
      <c r="O33" t="str">
        <f t="shared" si="6"/>
        <v>J/(LbK)</v>
      </c>
      <c r="P33" t="str">
        <f t="shared" si="6"/>
        <v>J/(OzK)</v>
      </c>
      <c r="Q33" t="str">
        <f t="shared" si="6"/>
        <v>J/(StK)</v>
      </c>
    </row>
    <row r="34" spans="11:17" x14ac:dyDescent="0.25">
      <c r="K34" t="s">
        <v>16</v>
      </c>
      <c r="L34" t="str">
        <f t="shared" si="5"/>
        <v>cal/(kgK)</v>
      </c>
      <c r="M34" t="str">
        <f t="shared" si="6"/>
        <v>cal/(gK)</v>
      </c>
      <c r="N34" t="str">
        <f t="shared" si="6"/>
        <v>cal/(TonK)</v>
      </c>
      <c r="O34" t="str">
        <f t="shared" si="6"/>
        <v>cal/(LbK)</v>
      </c>
      <c r="P34" t="str">
        <f t="shared" si="6"/>
        <v>cal/(OzK)</v>
      </c>
      <c r="Q34" t="str">
        <f t="shared" si="6"/>
        <v>cal/(StK)</v>
      </c>
    </row>
    <row r="35" spans="11:17" x14ac:dyDescent="0.25">
      <c r="K35" t="s">
        <v>17</v>
      </c>
      <c r="L35" t="str">
        <f t="shared" si="5"/>
        <v>kcal/(kgK)</v>
      </c>
      <c r="M35" t="str">
        <f t="shared" si="6"/>
        <v>kcal/(gK)</v>
      </c>
      <c r="N35" t="str">
        <f t="shared" si="6"/>
        <v>kcal/(TonK)</v>
      </c>
      <c r="O35" t="str">
        <f t="shared" si="6"/>
        <v>kcal/(LbK)</v>
      </c>
      <c r="P35" t="str">
        <f t="shared" si="6"/>
        <v>kcal/(OzK)</v>
      </c>
      <c r="Q35" t="str">
        <f t="shared" si="6"/>
        <v>kcal/(StK)</v>
      </c>
    </row>
    <row r="36" spans="11:17" x14ac:dyDescent="0.25">
      <c r="K36" t="s">
        <v>18</v>
      </c>
      <c r="L36" t="str">
        <f t="shared" si="5"/>
        <v>kJ/(kgK)</v>
      </c>
      <c r="M36" t="str">
        <f t="shared" si="6"/>
        <v>kJ/(gK)</v>
      </c>
      <c r="N36" t="str">
        <f t="shared" si="6"/>
        <v>kJ/(TonK)</v>
      </c>
      <c r="O36" t="str">
        <f t="shared" si="6"/>
        <v>kJ/(LbK)</v>
      </c>
      <c r="P36" t="str">
        <f t="shared" si="6"/>
        <v>kJ/(OzK)</v>
      </c>
      <c r="Q36" t="str">
        <f t="shared" si="6"/>
        <v>kJ/(StK)</v>
      </c>
    </row>
    <row r="37" spans="11:17" x14ac:dyDescent="0.25">
      <c r="K37" t="s">
        <v>19</v>
      </c>
      <c r="L37" t="str">
        <f t="shared" si="5"/>
        <v>BTU/(kgK)</v>
      </c>
      <c r="M37" t="str">
        <f t="shared" si="6"/>
        <v>BTU/(gK)</v>
      </c>
      <c r="N37" t="str">
        <f t="shared" si="6"/>
        <v>BTU/(TonK)</v>
      </c>
      <c r="O37" t="str">
        <f t="shared" si="6"/>
        <v>BTU/(LbK)</v>
      </c>
      <c r="P37" t="str">
        <f t="shared" si="6"/>
        <v>BTU/(OzK)</v>
      </c>
      <c r="Q37" t="str">
        <f t="shared" si="6"/>
        <v>BTU/(StK)</v>
      </c>
    </row>
    <row r="38" spans="11:17" x14ac:dyDescent="0.25">
      <c r="K38" t="s">
        <v>20</v>
      </c>
      <c r="L38" t="str">
        <f t="shared" si="5"/>
        <v>ftLbf/(kgK)</v>
      </c>
      <c r="M38" t="str">
        <f t="shared" si="6"/>
        <v>ftLbf/(gK)</v>
      </c>
      <c r="N38" t="str">
        <f t="shared" si="6"/>
        <v>ftLbf/(TonK)</v>
      </c>
      <c r="O38" t="str">
        <f t="shared" si="6"/>
        <v>ftLbf/(LbK)</v>
      </c>
      <c r="P38" t="str">
        <f t="shared" si="6"/>
        <v>ftLbf/(OzK)</v>
      </c>
      <c r="Q38" t="str">
        <f t="shared" si="6"/>
        <v>ftLbf/(StK)</v>
      </c>
    </row>
    <row r="39" spans="11:17" x14ac:dyDescent="0.25">
      <c r="K39" t="s">
        <v>25</v>
      </c>
    </row>
    <row r="40" spans="11:17" x14ac:dyDescent="0.25">
      <c r="K40" t="s">
        <v>15</v>
      </c>
      <c r="L40" t="str">
        <f t="shared" ref="L40:L45" si="7">CONCATENATE($K40,"/(",L$17,$K$39,")")</f>
        <v>J/(kg°R)</v>
      </c>
      <c r="M40" t="str">
        <f t="shared" ref="M40:Q45" si="8">CONCATENATE($K40,"/(",M$17,$K$39,")")</f>
        <v>J/(g°R)</v>
      </c>
      <c r="N40" t="str">
        <f t="shared" si="8"/>
        <v>J/(Ton°R)</v>
      </c>
      <c r="O40" t="str">
        <f t="shared" si="8"/>
        <v>J/(Lb°R)</v>
      </c>
      <c r="P40" t="str">
        <f t="shared" si="8"/>
        <v>J/(Oz°R)</v>
      </c>
      <c r="Q40" t="str">
        <f t="shared" si="8"/>
        <v>J/(St°R)</v>
      </c>
    </row>
    <row r="41" spans="11:17" x14ac:dyDescent="0.25">
      <c r="K41" t="s">
        <v>16</v>
      </c>
      <c r="L41" t="str">
        <f t="shared" si="7"/>
        <v>cal/(kg°R)</v>
      </c>
      <c r="M41" t="str">
        <f t="shared" si="8"/>
        <v>cal/(g°R)</v>
      </c>
      <c r="N41" t="str">
        <f t="shared" si="8"/>
        <v>cal/(Ton°R)</v>
      </c>
      <c r="O41" t="str">
        <f t="shared" si="8"/>
        <v>cal/(Lb°R)</v>
      </c>
      <c r="P41" t="str">
        <f t="shared" si="8"/>
        <v>cal/(Oz°R)</v>
      </c>
      <c r="Q41" t="str">
        <f t="shared" si="8"/>
        <v>cal/(St°R)</v>
      </c>
    </row>
    <row r="42" spans="11:17" x14ac:dyDescent="0.25">
      <c r="K42" t="s">
        <v>17</v>
      </c>
      <c r="L42" t="str">
        <f t="shared" si="7"/>
        <v>kcal/(kg°R)</v>
      </c>
      <c r="M42" t="str">
        <f t="shared" si="8"/>
        <v>kcal/(g°R)</v>
      </c>
      <c r="N42" t="str">
        <f t="shared" si="8"/>
        <v>kcal/(Ton°R)</v>
      </c>
      <c r="O42" t="str">
        <f t="shared" si="8"/>
        <v>kcal/(Lb°R)</v>
      </c>
      <c r="P42" t="str">
        <f t="shared" si="8"/>
        <v>kcal/(Oz°R)</v>
      </c>
      <c r="Q42" t="str">
        <f t="shared" si="8"/>
        <v>kcal/(St°R)</v>
      </c>
    </row>
    <row r="43" spans="11:17" x14ac:dyDescent="0.25">
      <c r="K43" t="s">
        <v>18</v>
      </c>
      <c r="L43" t="str">
        <f t="shared" si="7"/>
        <v>kJ/(kg°R)</v>
      </c>
      <c r="M43" t="str">
        <f t="shared" si="8"/>
        <v>kJ/(g°R)</v>
      </c>
      <c r="N43" t="str">
        <f t="shared" si="8"/>
        <v>kJ/(Ton°R)</v>
      </c>
      <c r="O43" t="str">
        <f t="shared" si="8"/>
        <v>kJ/(Lb°R)</v>
      </c>
      <c r="P43" t="str">
        <f t="shared" si="8"/>
        <v>kJ/(Oz°R)</v>
      </c>
      <c r="Q43" t="str">
        <f t="shared" si="8"/>
        <v>kJ/(St°R)</v>
      </c>
    </row>
    <row r="44" spans="11:17" x14ac:dyDescent="0.25">
      <c r="K44" t="s">
        <v>19</v>
      </c>
      <c r="L44" t="str">
        <f t="shared" si="7"/>
        <v>BTU/(kg°R)</v>
      </c>
      <c r="M44" t="str">
        <f t="shared" si="8"/>
        <v>BTU/(g°R)</v>
      </c>
      <c r="N44" t="str">
        <f t="shared" si="8"/>
        <v>BTU/(Ton°R)</v>
      </c>
      <c r="O44" t="str">
        <f t="shared" si="8"/>
        <v>BTU/(Lb°R)</v>
      </c>
      <c r="P44" t="str">
        <f t="shared" si="8"/>
        <v>BTU/(Oz°R)</v>
      </c>
      <c r="Q44" t="str">
        <f t="shared" si="8"/>
        <v>BTU/(St°R)</v>
      </c>
    </row>
    <row r="45" spans="11:17" x14ac:dyDescent="0.25">
      <c r="K45" t="s">
        <v>20</v>
      </c>
      <c r="L45" t="str">
        <f t="shared" si="7"/>
        <v>ftLbf/(kg°R)</v>
      </c>
      <c r="M45" t="str">
        <f t="shared" si="8"/>
        <v>ftLbf/(g°R)</v>
      </c>
      <c r="N45" t="str">
        <f t="shared" si="8"/>
        <v>ftLbf/(Ton°R)</v>
      </c>
      <c r="O45" t="str">
        <f t="shared" si="8"/>
        <v>ftLbf/(Lb°R)</v>
      </c>
      <c r="P45" t="str">
        <f t="shared" si="8"/>
        <v>ftLbf/(Oz°R)</v>
      </c>
      <c r="Q45" t="str">
        <f t="shared" si="8"/>
        <v>ftLbf/(St°R)</v>
      </c>
    </row>
  </sheetData>
  <mergeCells count="1">
    <mergeCell ref="G2:H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Listas</vt:lpstr>
    </vt:vector>
  </TitlesOfParts>
  <Company>-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user</cp:lastModifiedBy>
  <dcterms:created xsi:type="dcterms:W3CDTF">2022-04-26T22:18:51Z</dcterms:created>
  <dcterms:modified xsi:type="dcterms:W3CDTF">2022-05-05T03:47:46Z</dcterms:modified>
</cp:coreProperties>
</file>