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30" windowWidth="20115" windowHeight="7755"/>
  </bookViews>
  <sheets>
    <sheet name="FUGK" sheetId="1" r:id="rId1"/>
    <sheet name="Tabelas" sheetId="2" r:id="rId2"/>
    <sheet name="Listas" sheetId="3" r:id="rId3"/>
  </sheets>
  <definedNames>
    <definedName name="solver_adj" localSheetId="0" hidden="1">FUGK!$Z$2</definedName>
    <definedName name="solver_cvg" localSheetId="0" hidden="1">0.01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FUGK!$X$1</definedName>
    <definedName name="solver_lhs10" localSheetId="0" hidden="1">FUGK!$K$1</definedName>
    <definedName name="solver_lhs11" localSheetId="0" hidden="1">FUGK!$K$1</definedName>
    <definedName name="solver_lhs2" localSheetId="0" hidden="1">FUGK!$Q$2</definedName>
    <definedName name="solver_lhs3" localSheetId="0" hidden="1">FUGK!$Q$2</definedName>
    <definedName name="solver_lhs4" localSheetId="0" hidden="1">FUGK!$K$1</definedName>
    <definedName name="solver_lhs5" localSheetId="0" hidden="1">FUGK!$K$1</definedName>
    <definedName name="solver_lhs6" localSheetId="0" hidden="1">FUGK!$K$1</definedName>
    <definedName name="solver_lhs7" localSheetId="0" hidden="1">FUGK!$Q$2</definedName>
    <definedName name="solver_lhs8" localSheetId="0" hidden="1">FUGK!$Q$2</definedName>
    <definedName name="solver_lhs9" localSheetId="0" hidden="1">FUGK!$Q$2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FUGK!$X$1</definedName>
    <definedName name="solver_pre" localSheetId="0" hidden="1">0.01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5</definedName>
    <definedName name="solver_rhs10" localSheetId="0" hidden="1">-0.5</definedName>
    <definedName name="solver_rhs11" localSheetId="0" hidden="1">-0.5</definedName>
    <definedName name="solver_rhs2" localSheetId="0" hidden="1">FUGK!$O$3</definedName>
    <definedName name="solver_rhs3" localSheetId="0" hidden="1">FUGK!$M$1</definedName>
    <definedName name="solver_rhs4" localSheetId="0" hidden="1">-1</definedName>
    <definedName name="solver_rhs5" localSheetId="0" hidden="1">-1</definedName>
    <definedName name="solver_rhs6" localSheetId="0" hidden="1">-1</definedName>
    <definedName name="solver_rhs7" localSheetId="0" hidden="1">FUGK!$P$2</definedName>
    <definedName name="solver_rhs8" localSheetId="0" hidden="1">10</definedName>
    <definedName name="solver_rhs9" localSheetId="0" hidden="1">FUGK!$P$2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 iterateDelta="1E-4"/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" i="1"/>
  <c r="Y3" i="1"/>
  <c r="Q3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4" i="1"/>
  <c r="T3" i="1"/>
  <c r="P3" i="1"/>
  <c r="K3" i="1" s="1"/>
  <c r="P5" i="1"/>
  <c r="K5" i="1" s="1"/>
  <c r="P4" i="1"/>
  <c r="K4" i="1" s="1"/>
  <c r="M3" i="1"/>
  <c r="J3" i="1" s="1"/>
  <c r="S3" i="1" s="1"/>
  <c r="L4" i="1"/>
  <c r="I4" i="1" s="1"/>
  <c r="R4" i="1" s="1"/>
  <c r="L5" i="1"/>
  <c r="I5" i="1" s="1"/>
  <c r="R5" i="1" s="1"/>
  <c r="L6" i="1"/>
  <c r="I6" i="1" s="1"/>
  <c r="R6" i="1" s="1"/>
  <c r="M4" i="1"/>
  <c r="J4" i="1" s="1"/>
  <c r="S4" i="1" s="1"/>
  <c r="M5" i="1"/>
  <c r="J5" i="1" s="1"/>
  <c r="S5" i="1" s="1"/>
  <c r="M6" i="1"/>
  <c r="J6" i="1" s="1"/>
  <c r="S6" i="1" s="1"/>
  <c r="O12" i="1"/>
  <c r="O8" i="1"/>
  <c r="O10" i="1"/>
  <c r="AK4" i="1" l="1"/>
  <c r="AK3" i="1"/>
  <c r="AJ5" i="1"/>
  <c r="AJ3" i="1"/>
  <c r="AJ6" i="1"/>
  <c r="AI6" i="1"/>
  <c r="AK5" i="1"/>
  <c r="AJ4" i="1"/>
  <c r="AI5" i="1"/>
  <c r="AI4" i="1"/>
  <c r="L8" i="1"/>
  <c r="L16" i="1"/>
  <c r="I16" i="1" s="1"/>
  <c r="R16" i="1" s="1"/>
  <c r="L24" i="1"/>
  <c r="I24" i="1" s="1"/>
  <c r="R24" i="1" s="1"/>
  <c r="L32" i="1"/>
  <c r="L40" i="1"/>
  <c r="L48" i="1"/>
  <c r="I48" i="1" s="1"/>
  <c r="R48" i="1" s="1"/>
  <c r="L56" i="1"/>
  <c r="I56" i="1" s="1"/>
  <c r="R56" i="1" s="1"/>
  <c r="L64" i="1"/>
  <c r="L72" i="1"/>
  <c r="L80" i="1"/>
  <c r="I80" i="1" s="1"/>
  <c r="R80" i="1" s="1"/>
  <c r="M11" i="1"/>
  <c r="J11" i="1" s="1"/>
  <c r="S11" i="1" s="1"/>
  <c r="M19" i="1"/>
  <c r="M27" i="1"/>
  <c r="J27" i="1" s="1"/>
  <c r="S27" i="1" s="1"/>
  <c r="M35" i="1"/>
  <c r="M43" i="1"/>
  <c r="J43" i="1" s="1"/>
  <c r="S43" i="1" s="1"/>
  <c r="M51" i="1"/>
  <c r="M59" i="1"/>
  <c r="J59" i="1" s="1"/>
  <c r="S59" i="1" s="1"/>
  <c r="M67" i="1"/>
  <c r="M71" i="1"/>
  <c r="J71" i="1" s="1"/>
  <c r="S71" i="1" s="1"/>
  <c r="M8" i="1"/>
  <c r="M12" i="1"/>
  <c r="M16" i="1"/>
  <c r="J16" i="1" s="1"/>
  <c r="S16" i="1" s="1"/>
  <c r="M20" i="1"/>
  <c r="M24" i="1"/>
  <c r="M28" i="1"/>
  <c r="M32" i="1"/>
  <c r="J32" i="1" s="1"/>
  <c r="S32" i="1" s="1"/>
  <c r="M36" i="1"/>
  <c r="J36" i="1" s="1"/>
  <c r="S36" i="1" s="1"/>
  <c r="M40" i="1"/>
  <c r="J40" i="1" s="1"/>
  <c r="S40" i="1" s="1"/>
  <c r="M44" i="1"/>
  <c r="J44" i="1" s="1"/>
  <c r="S44" i="1" s="1"/>
  <c r="M48" i="1"/>
  <c r="M52" i="1"/>
  <c r="J52" i="1" s="1"/>
  <c r="S52" i="1" s="1"/>
  <c r="M56" i="1"/>
  <c r="J56" i="1" s="1"/>
  <c r="S56" i="1" s="1"/>
  <c r="M60" i="1"/>
  <c r="J60" i="1" s="1"/>
  <c r="S60" i="1" s="1"/>
  <c r="M64" i="1"/>
  <c r="M68" i="1"/>
  <c r="M72" i="1"/>
  <c r="M76" i="1"/>
  <c r="M80" i="1"/>
  <c r="J80" i="1" s="1"/>
  <c r="S80" i="1" s="1"/>
  <c r="L10" i="1"/>
  <c r="I10" i="1" s="1"/>
  <c r="R10" i="1" s="1"/>
  <c r="L18" i="1"/>
  <c r="L26" i="1"/>
  <c r="L34" i="1"/>
  <c r="L42" i="1"/>
  <c r="L50" i="1"/>
  <c r="I50" i="1" s="1"/>
  <c r="R50" i="1" s="1"/>
  <c r="L58" i="1"/>
  <c r="I58" i="1" s="1"/>
  <c r="R58" i="1" s="1"/>
  <c r="L66" i="1"/>
  <c r="L74" i="1"/>
  <c r="I74" i="1" s="1"/>
  <c r="R74" i="1" s="1"/>
  <c r="M13" i="1"/>
  <c r="M21" i="1"/>
  <c r="J21" i="1" s="1"/>
  <c r="S21" i="1" s="1"/>
  <c r="M29" i="1"/>
  <c r="M37" i="1"/>
  <c r="J37" i="1" s="1"/>
  <c r="S37" i="1" s="1"/>
  <c r="M45" i="1"/>
  <c r="M53" i="1"/>
  <c r="J53" i="1" s="1"/>
  <c r="S53" i="1" s="1"/>
  <c r="M61" i="1"/>
  <c r="M69" i="1"/>
  <c r="J69" i="1" s="1"/>
  <c r="S69" i="1" s="1"/>
  <c r="L3" i="1"/>
  <c r="AI3" i="1" s="1"/>
  <c r="L14" i="1"/>
  <c r="I14" i="1" s="1"/>
  <c r="R14" i="1" s="1"/>
  <c r="L22" i="1"/>
  <c r="L30" i="1"/>
  <c r="I30" i="1" s="1"/>
  <c r="R30" i="1" s="1"/>
  <c r="L38" i="1"/>
  <c r="L46" i="1"/>
  <c r="I46" i="1" s="1"/>
  <c r="R46" i="1" s="1"/>
  <c r="L54" i="1"/>
  <c r="L62" i="1"/>
  <c r="L70" i="1"/>
  <c r="I70" i="1" s="1"/>
  <c r="R70" i="1" s="1"/>
  <c r="L78" i="1"/>
  <c r="M9" i="1"/>
  <c r="M17" i="1"/>
  <c r="M25" i="1"/>
  <c r="J25" i="1" s="1"/>
  <c r="S25" i="1" s="1"/>
  <c r="M33" i="1"/>
  <c r="M41" i="1"/>
  <c r="M49" i="1"/>
  <c r="M57" i="1"/>
  <c r="J57" i="1" s="1"/>
  <c r="S57" i="1" s="1"/>
  <c r="M65" i="1"/>
  <c r="M73" i="1"/>
  <c r="M10" i="1"/>
  <c r="J10" i="1" s="1"/>
  <c r="S10" i="1" s="1"/>
  <c r="M14" i="1"/>
  <c r="M18" i="1"/>
  <c r="M22" i="1"/>
  <c r="M26" i="1"/>
  <c r="M30" i="1"/>
  <c r="M34" i="1"/>
  <c r="J34" i="1" s="1"/>
  <c r="S34" i="1" s="1"/>
  <c r="M38" i="1"/>
  <c r="M42" i="1"/>
  <c r="J42" i="1" s="1"/>
  <c r="S42" i="1" s="1"/>
  <c r="M46" i="1"/>
  <c r="M50" i="1"/>
  <c r="M54" i="1"/>
  <c r="M58" i="1"/>
  <c r="M62" i="1"/>
  <c r="M66" i="1"/>
  <c r="J66" i="1" s="1"/>
  <c r="S66" i="1" s="1"/>
  <c r="M70" i="1"/>
  <c r="M74" i="1"/>
  <c r="J74" i="1" s="1"/>
  <c r="S74" i="1" s="1"/>
  <c r="M78" i="1"/>
  <c r="L12" i="1"/>
  <c r="L20" i="1"/>
  <c r="L28" i="1"/>
  <c r="I28" i="1" s="1"/>
  <c r="R28" i="1" s="1"/>
  <c r="L36" i="1"/>
  <c r="L44" i="1"/>
  <c r="L52" i="1"/>
  <c r="L60" i="1"/>
  <c r="I60" i="1" s="1"/>
  <c r="R60" i="1" s="1"/>
  <c r="L68" i="1"/>
  <c r="L76" i="1"/>
  <c r="M7" i="1"/>
  <c r="M15" i="1"/>
  <c r="M23" i="1"/>
  <c r="M31" i="1"/>
  <c r="M39" i="1"/>
  <c r="M47" i="1"/>
  <c r="M55" i="1"/>
  <c r="M63" i="1"/>
  <c r="M75" i="1"/>
  <c r="M79" i="1"/>
  <c r="M77" i="1"/>
  <c r="P9" i="1"/>
  <c r="P16" i="1"/>
  <c r="P32" i="1"/>
  <c r="P40" i="1"/>
  <c r="P48" i="1"/>
  <c r="P56" i="1"/>
  <c r="P64" i="1"/>
  <c r="P72" i="1"/>
  <c r="P80" i="1"/>
  <c r="P10" i="1"/>
  <c r="P14" i="1"/>
  <c r="P22" i="1"/>
  <c r="P26" i="1"/>
  <c r="K26" i="1" s="1"/>
  <c r="P34" i="1"/>
  <c r="P42" i="1"/>
  <c r="K42" i="1" s="1"/>
  <c r="P46" i="1"/>
  <c r="P54" i="1"/>
  <c r="K54" i="1" s="1"/>
  <c r="P62" i="1"/>
  <c r="P70" i="1"/>
  <c r="K70" i="1" s="1"/>
  <c r="P78" i="1"/>
  <c r="P6" i="1"/>
  <c r="K6" i="1" s="1"/>
  <c r="P18" i="1"/>
  <c r="P30" i="1"/>
  <c r="P38" i="1"/>
  <c r="P50" i="1"/>
  <c r="P58" i="1"/>
  <c r="P66" i="1"/>
  <c r="P74" i="1"/>
  <c r="P8" i="1"/>
  <c r="K8" i="1" s="1"/>
  <c r="P12" i="1"/>
  <c r="P20" i="1"/>
  <c r="K20" i="1" s="1"/>
  <c r="P24" i="1"/>
  <c r="P28" i="1"/>
  <c r="P36" i="1"/>
  <c r="P44" i="1"/>
  <c r="P52" i="1"/>
  <c r="P60" i="1"/>
  <c r="P68" i="1"/>
  <c r="P76" i="1"/>
  <c r="L79" i="1"/>
  <c r="L75" i="1"/>
  <c r="L71" i="1"/>
  <c r="L67" i="1"/>
  <c r="I67" i="1" s="1"/>
  <c r="R67" i="1" s="1"/>
  <c r="L63" i="1"/>
  <c r="L59" i="1"/>
  <c r="L55" i="1"/>
  <c r="L51" i="1"/>
  <c r="I51" i="1" s="1"/>
  <c r="R51" i="1" s="1"/>
  <c r="L47" i="1"/>
  <c r="L43" i="1"/>
  <c r="L39" i="1"/>
  <c r="L35" i="1"/>
  <c r="I35" i="1" s="1"/>
  <c r="R35" i="1" s="1"/>
  <c r="L31" i="1"/>
  <c r="L27" i="1"/>
  <c r="L23" i="1"/>
  <c r="L19" i="1"/>
  <c r="I19" i="1" s="1"/>
  <c r="R19" i="1" s="1"/>
  <c r="L15" i="1"/>
  <c r="L11" i="1"/>
  <c r="L7" i="1"/>
  <c r="P79" i="1"/>
  <c r="K79" i="1" s="1"/>
  <c r="P75" i="1"/>
  <c r="P71" i="1"/>
  <c r="K71" i="1" s="1"/>
  <c r="P67" i="1"/>
  <c r="P63" i="1"/>
  <c r="P59" i="1"/>
  <c r="P55" i="1"/>
  <c r="P51" i="1"/>
  <c r="P47" i="1"/>
  <c r="K47" i="1" s="1"/>
  <c r="P43" i="1"/>
  <c r="P39" i="1"/>
  <c r="K39" i="1" s="1"/>
  <c r="P35" i="1"/>
  <c r="P31" i="1"/>
  <c r="P27" i="1"/>
  <c r="P23" i="1"/>
  <c r="P19" i="1"/>
  <c r="P15" i="1"/>
  <c r="K15" i="1" s="1"/>
  <c r="P11" i="1"/>
  <c r="P7" i="1"/>
  <c r="K7" i="1" s="1"/>
  <c r="L77" i="1"/>
  <c r="L73" i="1"/>
  <c r="L69" i="1"/>
  <c r="L65" i="1"/>
  <c r="I65" i="1" s="1"/>
  <c r="R65" i="1" s="1"/>
  <c r="L61" i="1"/>
  <c r="L57" i="1"/>
  <c r="L53" i="1"/>
  <c r="L49" i="1"/>
  <c r="I49" i="1" s="1"/>
  <c r="R49" i="1" s="1"/>
  <c r="L45" i="1"/>
  <c r="L41" i="1"/>
  <c r="L37" i="1"/>
  <c r="L33" i="1"/>
  <c r="I33" i="1" s="1"/>
  <c r="R33" i="1" s="1"/>
  <c r="L29" i="1"/>
  <c r="L25" i="1"/>
  <c r="L21" i="1"/>
  <c r="L17" i="1"/>
  <c r="I17" i="1" s="1"/>
  <c r="R17" i="1" s="1"/>
  <c r="L13" i="1"/>
  <c r="L9" i="1"/>
  <c r="P77" i="1"/>
  <c r="P73" i="1"/>
  <c r="P69" i="1"/>
  <c r="P65" i="1"/>
  <c r="P61" i="1"/>
  <c r="P57" i="1"/>
  <c r="P53" i="1"/>
  <c r="P49" i="1"/>
  <c r="P45" i="1"/>
  <c r="P41" i="1"/>
  <c r="K41" i="1" s="1"/>
  <c r="P37" i="1"/>
  <c r="P33" i="1"/>
  <c r="P29" i="1"/>
  <c r="P25" i="1"/>
  <c r="K25" i="1" s="1"/>
  <c r="P21" i="1"/>
  <c r="P17" i="1"/>
  <c r="P1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AI58" i="1" l="1"/>
  <c r="AJ44" i="1"/>
  <c r="W77" i="1"/>
  <c r="W73" i="1"/>
  <c r="AI56" i="1"/>
  <c r="AI24" i="1"/>
  <c r="AJ52" i="1"/>
  <c r="AJ71" i="1"/>
  <c r="K13" i="1"/>
  <c r="AK13" i="1"/>
  <c r="K29" i="1"/>
  <c r="AK29" i="1"/>
  <c r="K45" i="1"/>
  <c r="AK45" i="1"/>
  <c r="K61" i="1"/>
  <c r="AK61" i="1"/>
  <c r="K77" i="1"/>
  <c r="AK77" i="1"/>
  <c r="I21" i="1"/>
  <c r="R21" i="1" s="1"/>
  <c r="U21" i="1" s="1"/>
  <c r="AI21" i="1"/>
  <c r="I37" i="1"/>
  <c r="R37" i="1" s="1"/>
  <c r="U37" i="1" s="1"/>
  <c r="AI37" i="1"/>
  <c r="I53" i="1"/>
  <c r="R53" i="1" s="1"/>
  <c r="U53" i="1" s="1"/>
  <c r="AI53" i="1"/>
  <c r="I69" i="1"/>
  <c r="R69" i="1" s="1"/>
  <c r="U69" i="1" s="1"/>
  <c r="AI69" i="1"/>
  <c r="K11" i="1"/>
  <c r="AK11" i="1"/>
  <c r="K27" i="1"/>
  <c r="AK27" i="1"/>
  <c r="K43" i="1"/>
  <c r="AK43" i="1"/>
  <c r="K59" i="1"/>
  <c r="AK59" i="1"/>
  <c r="K75" i="1"/>
  <c r="AK75" i="1"/>
  <c r="I15" i="1"/>
  <c r="R15" i="1" s="1"/>
  <c r="U15" i="1" s="1"/>
  <c r="AI15" i="1"/>
  <c r="I31" i="1"/>
  <c r="R31" i="1" s="1"/>
  <c r="U31" i="1" s="1"/>
  <c r="AI31" i="1"/>
  <c r="I47" i="1"/>
  <c r="R47" i="1" s="1"/>
  <c r="U47" i="1" s="1"/>
  <c r="AI47" i="1"/>
  <c r="I63" i="1"/>
  <c r="R63" i="1" s="1"/>
  <c r="U63" i="1" s="1"/>
  <c r="AI63" i="1"/>
  <c r="I79" i="1"/>
  <c r="R79" i="1" s="1"/>
  <c r="U79" i="1" s="1"/>
  <c r="AI79" i="1"/>
  <c r="K52" i="1"/>
  <c r="AK52" i="1"/>
  <c r="K24" i="1"/>
  <c r="AK24" i="1"/>
  <c r="K74" i="1"/>
  <c r="AK74" i="1"/>
  <c r="K38" i="1"/>
  <c r="AK38" i="1"/>
  <c r="K78" i="1"/>
  <c r="AK78" i="1"/>
  <c r="K46" i="1"/>
  <c r="AK46" i="1"/>
  <c r="K22" i="1"/>
  <c r="AK22" i="1"/>
  <c r="K72" i="1"/>
  <c r="AK72" i="1"/>
  <c r="K40" i="1"/>
  <c r="AK40" i="1"/>
  <c r="J77" i="1"/>
  <c r="S77" i="1" s="1"/>
  <c r="V77" i="1" s="1"/>
  <c r="AJ77" i="1"/>
  <c r="J55" i="1"/>
  <c r="S55" i="1" s="1"/>
  <c r="V55" i="1" s="1"/>
  <c r="AJ55" i="1"/>
  <c r="J23" i="1"/>
  <c r="S23" i="1" s="1"/>
  <c r="V23" i="1" s="1"/>
  <c r="AJ23" i="1"/>
  <c r="I68" i="1"/>
  <c r="R68" i="1" s="1"/>
  <c r="U68" i="1" s="1"/>
  <c r="AI68" i="1"/>
  <c r="I36" i="1"/>
  <c r="R36" i="1" s="1"/>
  <c r="U36" i="1" s="1"/>
  <c r="AI36" i="1"/>
  <c r="J78" i="1"/>
  <c r="S78" i="1" s="1"/>
  <c r="V78" i="1" s="1"/>
  <c r="AJ78" i="1"/>
  <c r="J62" i="1"/>
  <c r="S62" i="1" s="1"/>
  <c r="V62" i="1" s="1"/>
  <c r="AJ62" i="1"/>
  <c r="J46" i="1"/>
  <c r="S46" i="1" s="1"/>
  <c r="V46" i="1" s="1"/>
  <c r="AJ46" i="1"/>
  <c r="J30" i="1"/>
  <c r="S30" i="1" s="1"/>
  <c r="V30" i="1" s="1"/>
  <c r="AJ30" i="1"/>
  <c r="J14" i="1"/>
  <c r="S14" i="1" s="1"/>
  <c r="V14" i="1" s="1"/>
  <c r="AJ14" i="1"/>
  <c r="V57" i="1"/>
  <c r="U70" i="1"/>
  <c r="U50" i="1"/>
  <c r="K17" i="1"/>
  <c r="AK17" i="1"/>
  <c r="K33" i="1"/>
  <c r="AK33" i="1"/>
  <c r="K65" i="1"/>
  <c r="AK65" i="1"/>
  <c r="I9" i="1"/>
  <c r="R9" i="1" s="1"/>
  <c r="U9" i="1" s="1"/>
  <c r="AI9" i="1"/>
  <c r="I25" i="1"/>
  <c r="R25" i="1" s="1"/>
  <c r="U25" i="1" s="1"/>
  <c r="AI25" i="1"/>
  <c r="I41" i="1"/>
  <c r="R41" i="1" s="1"/>
  <c r="U41" i="1" s="1"/>
  <c r="AI41" i="1"/>
  <c r="U19" i="1"/>
  <c r="U35" i="1"/>
  <c r="U60" i="1"/>
  <c r="U28" i="1"/>
  <c r="U10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K21" i="1"/>
  <c r="AK21" i="1"/>
  <c r="K37" i="1"/>
  <c r="AK37" i="1"/>
  <c r="K53" i="1"/>
  <c r="AK53" i="1"/>
  <c r="K69" i="1"/>
  <c r="AK69" i="1"/>
  <c r="I13" i="1"/>
  <c r="R13" i="1" s="1"/>
  <c r="U13" i="1" s="1"/>
  <c r="AI13" i="1"/>
  <c r="I29" i="1"/>
  <c r="R29" i="1" s="1"/>
  <c r="U29" i="1" s="1"/>
  <c r="AI29" i="1"/>
  <c r="I45" i="1"/>
  <c r="R45" i="1" s="1"/>
  <c r="U45" i="1" s="1"/>
  <c r="AI45" i="1"/>
  <c r="I61" i="1"/>
  <c r="R61" i="1" s="1"/>
  <c r="U61" i="1" s="1"/>
  <c r="AI61" i="1"/>
  <c r="I77" i="1"/>
  <c r="R77" i="1" s="1"/>
  <c r="U77" i="1" s="1"/>
  <c r="AI77" i="1"/>
  <c r="K19" i="1"/>
  <c r="AK19" i="1"/>
  <c r="K35" i="1"/>
  <c r="AK35" i="1"/>
  <c r="K51" i="1"/>
  <c r="AK51" i="1"/>
  <c r="K67" i="1"/>
  <c r="AK67" i="1"/>
  <c r="I7" i="1"/>
  <c r="R7" i="1" s="1"/>
  <c r="U7" i="1" s="1"/>
  <c r="AI7" i="1"/>
  <c r="I23" i="1"/>
  <c r="R23" i="1" s="1"/>
  <c r="U23" i="1" s="1"/>
  <c r="AI23" i="1"/>
  <c r="I39" i="1"/>
  <c r="R39" i="1" s="1"/>
  <c r="U39" i="1" s="1"/>
  <c r="AI39" i="1"/>
  <c r="I55" i="1"/>
  <c r="R55" i="1" s="1"/>
  <c r="U55" i="1" s="1"/>
  <c r="AI55" i="1"/>
  <c r="I71" i="1"/>
  <c r="R71" i="1" s="1"/>
  <c r="U71" i="1" s="1"/>
  <c r="AI71" i="1"/>
  <c r="K68" i="1"/>
  <c r="AK68" i="1"/>
  <c r="K36" i="1"/>
  <c r="AK36" i="1"/>
  <c r="K12" i="1"/>
  <c r="AK12" i="1"/>
  <c r="K58" i="1"/>
  <c r="AK58" i="1"/>
  <c r="K18" i="1"/>
  <c r="AK18" i="1"/>
  <c r="K62" i="1"/>
  <c r="AK62" i="1"/>
  <c r="K34" i="1"/>
  <c r="AK34" i="1"/>
  <c r="K10" i="1"/>
  <c r="AK10" i="1"/>
  <c r="K56" i="1"/>
  <c r="AK56" i="1"/>
  <c r="K16" i="1"/>
  <c r="AK16" i="1"/>
  <c r="J75" i="1"/>
  <c r="S75" i="1" s="1"/>
  <c r="V75" i="1" s="1"/>
  <c r="AJ75" i="1"/>
  <c r="J39" i="1"/>
  <c r="S39" i="1" s="1"/>
  <c r="V39" i="1" s="1"/>
  <c r="AJ39" i="1"/>
  <c r="J7" i="1"/>
  <c r="AJ7" i="1"/>
  <c r="I52" i="1"/>
  <c r="R52" i="1" s="1"/>
  <c r="U52" i="1" s="1"/>
  <c r="AI52" i="1"/>
  <c r="I20" i="1"/>
  <c r="R20" i="1" s="1"/>
  <c r="U20" i="1" s="1"/>
  <c r="AI20" i="1"/>
  <c r="J70" i="1"/>
  <c r="S70" i="1" s="1"/>
  <c r="V70" i="1" s="1"/>
  <c r="AJ70" i="1"/>
  <c r="J54" i="1"/>
  <c r="S54" i="1" s="1"/>
  <c r="V54" i="1" s="1"/>
  <c r="AJ54" i="1"/>
  <c r="J38" i="1"/>
  <c r="S38" i="1" s="1"/>
  <c r="V38" i="1" s="1"/>
  <c r="AJ38" i="1"/>
  <c r="J22" i="1"/>
  <c r="S22" i="1" s="1"/>
  <c r="V22" i="1" s="1"/>
  <c r="AJ22" i="1"/>
  <c r="J73" i="1"/>
  <c r="S73" i="1" s="1"/>
  <c r="V73" i="1" s="1"/>
  <c r="AJ73" i="1"/>
  <c r="J41" i="1"/>
  <c r="S41" i="1" s="1"/>
  <c r="V41" i="1" s="1"/>
  <c r="AJ41" i="1"/>
  <c r="J9" i="1"/>
  <c r="S9" i="1" s="1"/>
  <c r="V9" i="1" s="1"/>
  <c r="AJ9" i="1"/>
  <c r="I54" i="1"/>
  <c r="R54" i="1" s="1"/>
  <c r="U54" i="1" s="1"/>
  <c r="AI54" i="1"/>
  <c r="I22" i="1"/>
  <c r="R22" i="1" s="1"/>
  <c r="U22" i="1" s="1"/>
  <c r="AI22" i="1"/>
  <c r="J61" i="1"/>
  <c r="S61" i="1" s="1"/>
  <c r="V61" i="1" s="1"/>
  <c r="AJ61" i="1"/>
  <c r="J29" i="1"/>
  <c r="S29" i="1" s="1"/>
  <c r="V29" i="1" s="1"/>
  <c r="AJ29" i="1"/>
  <c r="I66" i="1"/>
  <c r="R66" i="1" s="1"/>
  <c r="U66" i="1" s="1"/>
  <c r="AI66" i="1"/>
  <c r="U80" i="1"/>
  <c r="U48" i="1"/>
  <c r="U16" i="1"/>
  <c r="K49" i="1"/>
  <c r="AK49" i="1"/>
  <c r="K57" i="1"/>
  <c r="AK57" i="1"/>
  <c r="K73" i="1"/>
  <c r="AK73" i="1"/>
  <c r="U17" i="1"/>
  <c r="U33" i="1"/>
  <c r="U49" i="1"/>
  <c r="U65" i="1"/>
  <c r="K23" i="1"/>
  <c r="AK23" i="1"/>
  <c r="K55" i="1"/>
  <c r="AK55" i="1"/>
  <c r="I11" i="1"/>
  <c r="R11" i="1" s="1"/>
  <c r="U11" i="1" s="1"/>
  <c r="AI11" i="1"/>
  <c r="I27" i="1"/>
  <c r="R27" i="1" s="1"/>
  <c r="U27" i="1" s="1"/>
  <c r="AI27" i="1"/>
  <c r="I43" i="1"/>
  <c r="R43" i="1" s="1"/>
  <c r="U43" i="1" s="1"/>
  <c r="AI43" i="1"/>
  <c r="I59" i="1"/>
  <c r="R59" i="1" s="1"/>
  <c r="U59" i="1" s="1"/>
  <c r="AI59" i="1"/>
  <c r="I75" i="1"/>
  <c r="R75" i="1" s="1"/>
  <c r="U75" i="1" s="1"/>
  <c r="AI75" i="1"/>
  <c r="K60" i="1"/>
  <c r="AK60" i="1"/>
  <c r="K28" i="1"/>
  <c r="AK28" i="1"/>
  <c r="K50" i="1"/>
  <c r="AK50" i="1"/>
  <c r="K80" i="1"/>
  <c r="AK80" i="1"/>
  <c r="K48" i="1"/>
  <c r="AK48" i="1"/>
  <c r="K9" i="1"/>
  <c r="AK9" i="1"/>
  <c r="J63" i="1"/>
  <c r="S63" i="1" s="1"/>
  <c r="V63" i="1" s="1"/>
  <c r="AJ63" i="1"/>
  <c r="J31" i="1"/>
  <c r="S31" i="1" s="1"/>
  <c r="V31" i="1" s="1"/>
  <c r="AJ31" i="1"/>
  <c r="I76" i="1"/>
  <c r="R76" i="1" s="1"/>
  <c r="U76" i="1" s="1"/>
  <c r="AI76" i="1"/>
  <c r="I44" i="1"/>
  <c r="R44" i="1" s="1"/>
  <c r="U44" i="1" s="1"/>
  <c r="AI44" i="1"/>
  <c r="I12" i="1"/>
  <c r="R12" i="1" s="1"/>
  <c r="U12" i="1" s="1"/>
  <c r="AI12" i="1"/>
  <c r="V66" i="1"/>
  <c r="J50" i="1"/>
  <c r="S50" i="1" s="1"/>
  <c r="V50" i="1" s="1"/>
  <c r="AJ50" i="1"/>
  <c r="V34" i="1"/>
  <c r="J18" i="1"/>
  <c r="S18" i="1" s="1"/>
  <c r="V18" i="1" s="1"/>
  <c r="AJ18" i="1"/>
  <c r="J65" i="1"/>
  <c r="S65" i="1" s="1"/>
  <c r="V65" i="1" s="1"/>
  <c r="AJ65" i="1"/>
  <c r="J33" i="1"/>
  <c r="S33" i="1" s="1"/>
  <c r="V33" i="1" s="1"/>
  <c r="AJ33" i="1"/>
  <c r="I78" i="1"/>
  <c r="R78" i="1" s="1"/>
  <c r="U78" i="1" s="1"/>
  <c r="AI78" i="1"/>
  <c r="V53" i="1"/>
  <c r="V21" i="1"/>
  <c r="I26" i="1"/>
  <c r="R26" i="1" s="1"/>
  <c r="U26" i="1" s="1"/>
  <c r="AI26" i="1"/>
  <c r="J76" i="1"/>
  <c r="S76" i="1" s="1"/>
  <c r="V76" i="1" s="1"/>
  <c r="AJ76" i="1"/>
  <c r="V60" i="1"/>
  <c r="V44" i="1"/>
  <c r="J28" i="1"/>
  <c r="S28" i="1" s="1"/>
  <c r="V28" i="1" s="1"/>
  <c r="AJ28" i="1"/>
  <c r="J12" i="1"/>
  <c r="S12" i="1" s="1"/>
  <c r="V12" i="1" s="1"/>
  <c r="AJ12" i="1"/>
  <c r="V59" i="1"/>
  <c r="V27" i="1"/>
  <c r="I72" i="1"/>
  <c r="R72" i="1" s="1"/>
  <c r="U72" i="1" s="1"/>
  <c r="AI72" i="1"/>
  <c r="I40" i="1"/>
  <c r="R40" i="1" s="1"/>
  <c r="U40" i="1" s="1"/>
  <c r="AI40" i="1"/>
  <c r="I8" i="1"/>
  <c r="R8" i="1" s="1"/>
  <c r="U8" i="1" s="1"/>
  <c r="AI8" i="1"/>
  <c r="AI74" i="1"/>
  <c r="AI48" i="1"/>
  <c r="AI60" i="1"/>
  <c r="AI49" i="1"/>
  <c r="AI17" i="1"/>
  <c r="AI46" i="1"/>
  <c r="AJ56" i="1"/>
  <c r="AJ66" i="1"/>
  <c r="AJ59" i="1"/>
  <c r="AJ27" i="1"/>
  <c r="AJ53" i="1"/>
  <c r="AJ21" i="1"/>
  <c r="AK79" i="1"/>
  <c r="AK15" i="1"/>
  <c r="AK42" i="1"/>
  <c r="V25" i="1"/>
  <c r="I38" i="1"/>
  <c r="R38" i="1" s="1"/>
  <c r="U38" i="1" s="1"/>
  <c r="AI38" i="1"/>
  <c r="I3" i="1"/>
  <c r="V6" i="1"/>
  <c r="V4" i="1"/>
  <c r="J45" i="1"/>
  <c r="S45" i="1" s="1"/>
  <c r="V45" i="1" s="1"/>
  <c r="AJ45" i="1"/>
  <c r="J13" i="1"/>
  <c r="S13" i="1" s="1"/>
  <c r="V13" i="1" s="1"/>
  <c r="AJ13" i="1"/>
  <c r="I18" i="1"/>
  <c r="R18" i="1" s="1"/>
  <c r="U18" i="1" s="1"/>
  <c r="AI18" i="1"/>
  <c r="J72" i="1"/>
  <c r="S72" i="1" s="1"/>
  <c r="V72" i="1" s="1"/>
  <c r="AJ72" i="1"/>
  <c r="V56" i="1"/>
  <c r="V40" i="1"/>
  <c r="J24" i="1"/>
  <c r="S24" i="1" s="1"/>
  <c r="V24" i="1" s="1"/>
  <c r="AJ24" i="1"/>
  <c r="J8" i="1"/>
  <c r="S8" i="1" s="1"/>
  <c r="V8" i="1" s="1"/>
  <c r="AJ8" i="1"/>
  <c r="J51" i="1"/>
  <c r="S51" i="1" s="1"/>
  <c r="V51" i="1" s="1"/>
  <c r="AJ51" i="1"/>
  <c r="J19" i="1"/>
  <c r="S19" i="1" s="1"/>
  <c r="V19" i="1" s="1"/>
  <c r="AJ19" i="1"/>
  <c r="I64" i="1"/>
  <c r="R64" i="1" s="1"/>
  <c r="U64" i="1" s="1"/>
  <c r="AI64" i="1"/>
  <c r="I32" i="1"/>
  <c r="R32" i="1" s="1"/>
  <c r="U32" i="1" s="1"/>
  <c r="AI32" i="1"/>
  <c r="U58" i="1"/>
  <c r="U6" i="1"/>
  <c r="U30" i="1"/>
  <c r="AB5" i="1"/>
  <c r="AI51" i="1"/>
  <c r="AI19" i="1"/>
  <c r="AJ16" i="1"/>
  <c r="AK25" i="1"/>
  <c r="AJ42" i="1"/>
  <c r="AK71" i="1"/>
  <c r="AK7" i="1"/>
  <c r="AK20" i="1"/>
  <c r="AK70" i="1"/>
  <c r="AK6" i="1"/>
  <c r="I57" i="1"/>
  <c r="R57" i="1" s="1"/>
  <c r="U57" i="1" s="1"/>
  <c r="AI57" i="1"/>
  <c r="I73" i="1"/>
  <c r="R73" i="1" s="1"/>
  <c r="U73" i="1" s="1"/>
  <c r="AI73" i="1"/>
  <c r="K31" i="1"/>
  <c r="AK31" i="1"/>
  <c r="K63" i="1"/>
  <c r="AK63" i="1"/>
  <c r="U51" i="1"/>
  <c r="U67" i="1"/>
  <c r="K76" i="1"/>
  <c r="AK76" i="1"/>
  <c r="K44" i="1"/>
  <c r="AK44" i="1"/>
  <c r="K66" i="1"/>
  <c r="AK66" i="1"/>
  <c r="K30" i="1"/>
  <c r="AK30" i="1"/>
  <c r="K14" i="1"/>
  <c r="AK14" i="1"/>
  <c r="K64" i="1"/>
  <c r="AK64" i="1"/>
  <c r="K32" i="1"/>
  <c r="AK32" i="1"/>
  <c r="J79" i="1"/>
  <c r="S79" i="1" s="1"/>
  <c r="V79" i="1" s="1"/>
  <c r="AJ79" i="1"/>
  <c r="J47" i="1"/>
  <c r="S47" i="1" s="1"/>
  <c r="V47" i="1" s="1"/>
  <c r="AJ47" i="1"/>
  <c r="J15" i="1"/>
  <c r="S15" i="1" s="1"/>
  <c r="V15" i="1" s="1"/>
  <c r="AJ15" i="1"/>
  <c r="V74" i="1"/>
  <c r="J58" i="1"/>
  <c r="S58" i="1" s="1"/>
  <c r="V58" i="1" s="1"/>
  <c r="AJ58" i="1"/>
  <c r="V42" i="1"/>
  <c r="J26" i="1"/>
  <c r="S26" i="1" s="1"/>
  <c r="V26" i="1" s="1"/>
  <c r="AJ26" i="1"/>
  <c r="V10" i="1"/>
  <c r="J49" i="1"/>
  <c r="S49" i="1" s="1"/>
  <c r="V49" i="1" s="1"/>
  <c r="AJ49" i="1"/>
  <c r="J17" i="1"/>
  <c r="S17" i="1" s="1"/>
  <c r="V17" i="1" s="1"/>
  <c r="AJ17" i="1"/>
  <c r="I62" i="1"/>
  <c r="R62" i="1" s="1"/>
  <c r="U62" i="1" s="1"/>
  <c r="AI62" i="1"/>
  <c r="V69" i="1"/>
  <c r="V37" i="1"/>
  <c r="I42" i="1"/>
  <c r="R42" i="1" s="1"/>
  <c r="U42" i="1" s="1"/>
  <c r="AI42" i="1"/>
  <c r="J68" i="1"/>
  <c r="S68" i="1" s="1"/>
  <c r="V68" i="1" s="1"/>
  <c r="AJ68" i="1"/>
  <c r="V52" i="1"/>
  <c r="V36" i="1"/>
  <c r="J20" i="1"/>
  <c r="S20" i="1" s="1"/>
  <c r="V20" i="1" s="1"/>
  <c r="AJ20" i="1"/>
  <c r="V71" i="1"/>
  <c r="V43" i="1"/>
  <c r="V11" i="1"/>
  <c r="U4" i="1"/>
  <c r="AI10" i="1"/>
  <c r="AJ60" i="1"/>
  <c r="AI80" i="1"/>
  <c r="AI16" i="1"/>
  <c r="AI28" i="1"/>
  <c r="AI65" i="1"/>
  <c r="AI33" i="1"/>
  <c r="AJ32" i="1"/>
  <c r="V3" i="1"/>
  <c r="AJ36" i="1"/>
  <c r="AI70" i="1"/>
  <c r="AK41" i="1"/>
  <c r="AJ34" i="1"/>
  <c r="AJ43" i="1"/>
  <c r="AJ11" i="1"/>
  <c r="AJ69" i="1"/>
  <c r="AJ37" i="1"/>
  <c r="AK47" i="1"/>
  <c r="AK8" i="1"/>
  <c r="AK26" i="1"/>
  <c r="U5" i="1"/>
  <c r="I34" i="1"/>
  <c r="R34" i="1" s="1"/>
  <c r="U34" i="1" s="1"/>
  <c r="AI34" i="1"/>
  <c r="V80" i="1"/>
  <c r="J64" i="1"/>
  <c r="S64" i="1" s="1"/>
  <c r="V64" i="1" s="1"/>
  <c r="AJ64" i="1"/>
  <c r="J48" i="1"/>
  <c r="S48" i="1" s="1"/>
  <c r="V48" i="1" s="1"/>
  <c r="AJ48" i="1"/>
  <c r="V32" i="1"/>
  <c r="V16" i="1"/>
  <c r="J67" i="1"/>
  <c r="S67" i="1" s="1"/>
  <c r="V67" i="1" s="1"/>
  <c r="AJ67" i="1"/>
  <c r="J35" i="1"/>
  <c r="S35" i="1" s="1"/>
  <c r="V35" i="1" s="1"/>
  <c r="AJ35" i="1"/>
  <c r="U56" i="1"/>
  <c r="U24" i="1"/>
  <c r="U74" i="1"/>
  <c r="U14" i="1"/>
  <c r="U46" i="1"/>
  <c r="AI67" i="1"/>
  <c r="AI35" i="1"/>
  <c r="AI30" i="1"/>
  <c r="AJ80" i="1"/>
  <c r="AI50" i="1"/>
  <c r="V5" i="1"/>
  <c r="AJ40" i="1"/>
  <c r="AJ74" i="1"/>
  <c r="AJ10" i="1"/>
  <c r="AJ57" i="1"/>
  <c r="AJ25" i="1"/>
  <c r="AK39" i="1"/>
  <c r="AK54" i="1"/>
  <c r="AI14" i="1"/>
  <c r="W78" i="1"/>
  <c r="W74" i="1"/>
  <c r="W70" i="1"/>
  <c r="W66" i="1"/>
  <c r="W62" i="1"/>
  <c r="W58" i="1"/>
  <c r="W76" i="1"/>
  <c r="W68" i="1"/>
  <c r="W60" i="1"/>
  <c r="W52" i="1"/>
  <c r="W48" i="1"/>
  <c r="W44" i="1"/>
  <c r="W40" i="1"/>
  <c r="W36" i="1"/>
  <c r="W32" i="1"/>
  <c r="W28" i="1"/>
  <c r="W80" i="1"/>
  <c r="W72" i="1"/>
  <c r="W64" i="1"/>
  <c r="W56" i="1"/>
  <c r="W79" i="1"/>
  <c r="W75" i="1"/>
  <c r="W71" i="1"/>
  <c r="W67" i="1"/>
  <c r="W63" i="1"/>
  <c r="W54" i="1"/>
  <c r="W24" i="1"/>
  <c r="W20" i="1"/>
  <c r="W59" i="1"/>
  <c r="W55" i="1"/>
  <c r="W51" i="1"/>
  <c r="W47" i="1"/>
  <c r="W43" i="1"/>
  <c r="W39" i="1"/>
  <c r="W35" i="1"/>
  <c r="W31" i="1"/>
  <c r="W27" i="1"/>
  <c r="W50" i="1"/>
  <c r="W46" i="1"/>
  <c r="W42" i="1"/>
  <c r="W38" i="1"/>
  <c r="W34" i="1"/>
  <c r="W30" i="1"/>
  <c r="W26" i="1"/>
  <c r="W22" i="1"/>
  <c r="W18" i="1"/>
  <c r="W14" i="1"/>
  <c r="W16" i="1"/>
  <c r="W12" i="1"/>
  <c r="W23" i="1"/>
  <c r="W19" i="1"/>
  <c r="W8" i="1"/>
  <c r="W15" i="1"/>
  <c r="W10" i="1"/>
  <c r="W11" i="1"/>
  <c r="W6" i="1"/>
  <c r="W4" i="1"/>
  <c r="W7" i="1"/>
  <c r="W3" i="1"/>
  <c r="X78" i="1" l="1"/>
  <c r="AA78" i="1" s="1"/>
  <c r="AF44" i="1"/>
  <c r="AE35" i="1"/>
  <c r="AE56" i="1"/>
  <c r="AE58" i="1"/>
  <c r="AF71" i="1"/>
  <c r="AG39" i="1"/>
  <c r="AF74" i="1"/>
  <c r="AF80" i="1"/>
  <c r="AE4" i="1"/>
  <c r="AF12" i="1"/>
  <c r="K1" i="1"/>
  <c r="AE14" i="1"/>
  <c r="AF25" i="1"/>
  <c r="AF40" i="1"/>
  <c r="AE30" i="1"/>
  <c r="AF67" i="1"/>
  <c r="AF48" i="1"/>
  <c r="AG26" i="1"/>
  <c r="AF69" i="1"/>
  <c r="AG41" i="1"/>
  <c r="AF32" i="1"/>
  <c r="AE16" i="1"/>
  <c r="AF20" i="1"/>
  <c r="AF68" i="1"/>
  <c r="AF17" i="1"/>
  <c r="AF58" i="1"/>
  <c r="AG7" i="1"/>
  <c r="AF16" i="1"/>
  <c r="AE32" i="1"/>
  <c r="AF19" i="1"/>
  <c r="AF8" i="1"/>
  <c r="AE18" i="1"/>
  <c r="AF45" i="1"/>
  <c r="R3" i="1"/>
  <c r="U3" i="1" s="1"/>
  <c r="X3" i="1" s="1"/>
  <c r="I1" i="1"/>
  <c r="AG42" i="1"/>
  <c r="AF53" i="1"/>
  <c r="AF56" i="1"/>
  <c r="AE60" i="1"/>
  <c r="AF50" i="1"/>
  <c r="AG49" i="1"/>
  <c r="AF29" i="1"/>
  <c r="AE22" i="1"/>
  <c r="AF9" i="1"/>
  <c r="AF73" i="1"/>
  <c r="AF38" i="1"/>
  <c r="AF70" i="1"/>
  <c r="AE52" i="1"/>
  <c r="AF39" i="1"/>
  <c r="AG16" i="1"/>
  <c r="AG10" i="1"/>
  <c r="AG62" i="1"/>
  <c r="AG58" i="1"/>
  <c r="AG36" i="1"/>
  <c r="AE71" i="1"/>
  <c r="AE39" i="1"/>
  <c r="AE7" i="1"/>
  <c r="AG51" i="1"/>
  <c r="AG19" i="1"/>
  <c r="AE61" i="1"/>
  <c r="AE29" i="1"/>
  <c r="AG69" i="1"/>
  <c r="AG37" i="1"/>
  <c r="AE25" i="1"/>
  <c r="AG65" i="1"/>
  <c r="AG17" i="1"/>
  <c r="AE5" i="1"/>
  <c r="AD13" i="1"/>
  <c r="AG54" i="1"/>
  <c r="AF57" i="1"/>
  <c r="AE34" i="1"/>
  <c r="AG8" i="1"/>
  <c r="AF11" i="1"/>
  <c r="AE70" i="1"/>
  <c r="AE33" i="1"/>
  <c r="AE80" i="1"/>
  <c r="AF26" i="1"/>
  <c r="AF47" i="1"/>
  <c r="AG32" i="1"/>
  <c r="AG14" i="1"/>
  <c r="AG66" i="1"/>
  <c r="AG76" i="1"/>
  <c r="AG63" i="1"/>
  <c r="AE73" i="1"/>
  <c r="AG6" i="1"/>
  <c r="AG3" i="1"/>
  <c r="AG71" i="1"/>
  <c r="AE19" i="1"/>
  <c r="AE38" i="1"/>
  <c r="AG15" i="1"/>
  <c r="AF27" i="1"/>
  <c r="AE46" i="1"/>
  <c r="AE48" i="1"/>
  <c r="AE40" i="1"/>
  <c r="AF28" i="1"/>
  <c r="AF76" i="1"/>
  <c r="AF33" i="1"/>
  <c r="AF18" i="1"/>
  <c r="AE44" i="1"/>
  <c r="AF31" i="1"/>
  <c r="AG9" i="1"/>
  <c r="AG80" i="1"/>
  <c r="AG28" i="1"/>
  <c r="AE75" i="1"/>
  <c r="AE43" i="1"/>
  <c r="AE11" i="1"/>
  <c r="AG23" i="1"/>
  <c r="AG57" i="1"/>
  <c r="AE3" i="1"/>
  <c r="AF14" i="1"/>
  <c r="AF46" i="1"/>
  <c r="AF78" i="1"/>
  <c r="AE68" i="1"/>
  <c r="AF55" i="1"/>
  <c r="AG40" i="1"/>
  <c r="AG22" i="1"/>
  <c r="AG78" i="1"/>
  <c r="AG74" i="1"/>
  <c r="AG52" i="1"/>
  <c r="AE63" i="1"/>
  <c r="AE31" i="1"/>
  <c r="AG75" i="1"/>
  <c r="AG43" i="1"/>
  <c r="AG11" i="1"/>
  <c r="AE53" i="1"/>
  <c r="AE21" i="1"/>
  <c r="AG61" i="1"/>
  <c r="AG29" i="1"/>
  <c r="AC13" i="1"/>
  <c r="AG4" i="1"/>
  <c r="AF10" i="1"/>
  <c r="AE50" i="1"/>
  <c r="AE67" i="1"/>
  <c r="AF35" i="1"/>
  <c r="AF64" i="1"/>
  <c r="AG47" i="1"/>
  <c r="AF43" i="1"/>
  <c r="AF36" i="1"/>
  <c r="AE65" i="1"/>
  <c r="AF60" i="1"/>
  <c r="AE42" i="1"/>
  <c r="AE62" i="1"/>
  <c r="AF49" i="1"/>
  <c r="AG70" i="1"/>
  <c r="AF42" i="1"/>
  <c r="AE51" i="1"/>
  <c r="AE64" i="1"/>
  <c r="AF51" i="1"/>
  <c r="AF24" i="1"/>
  <c r="AF72" i="1"/>
  <c r="AF13" i="1"/>
  <c r="AG79" i="1"/>
  <c r="AF59" i="1"/>
  <c r="AE17" i="1"/>
  <c r="AE74" i="1"/>
  <c r="AE66" i="1"/>
  <c r="AF61" i="1"/>
  <c r="AE54" i="1"/>
  <c r="AF41" i="1"/>
  <c r="AF22" i="1"/>
  <c r="AF54" i="1"/>
  <c r="AE20" i="1"/>
  <c r="AF4" i="1"/>
  <c r="AF5" i="1"/>
  <c r="AF3" i="1"/>
  <c r="AF52" i="1"/>
  <c r="AF7" i="1"/>
  <c r="AF6" i="1"/>
  <c r="AF75" i="1"/>
  <c r="AG56" i="1"/>
  <c r="AG34" i="1"/>
  <c r="AG18" i="1"/>
  <c r="AG12" i="1"/>
  <c r="AG68" i="1"/>
  <c r="AE55" i="1"/>
  <c r="AE23" i="1"/>
  <c r="AG67" i="1"/>
  <c r="AG35" i="1"/>
  <c r="AE77" i="1"/>
  <c r="AE45" i="1"/>
  <c r="AE13" i="1"/>
  <c r="AG53" i="1"/>
  <c r="AG21" i="1"/>
  <c r="AE41" i="1"/>
  <c r="AE9" i="1"/>
  <c r="AG33" i="1"/>
  <c r="AB13" i="1"/>
  <c r="AE24" i="1"/>
  <c r="AF37" i="1"/>
  <c r="AF34" i="1"/>
  <c r="AE28" i="1"/>
  <c r="AE10" i="1"/>
  <c r="AF15" i="1"/>
  <c r="AF79" i="1"/>
  <c r="AG64" i="1"/>
  <c r="AG30" i="1"/>
  <c r="AG44" i="1"/>
  <c r="AG31" i="1"/>
  <c r="AE57" i="1"/>
  <c r="AG20" i="1"/>
  <c r="AG25" i="1"/>
  <c r="AF21" i="1"/>
  <c r="AF66" i="1"/>
  <c r="AE49" i="1"/>
  <c r="AE8" i="1"/>
  <c r="AE72" i="1"/>
  <c r="AE26" i="1"/>
  <c r="AE78" i="1"/>
  <c r="AF65" i="1"/>
  <c r="AE12" i="1"/>
  <c r="AE76" i="1"/>
  <c r="AF63" i="1"/>
  <c r="AG48" i="1"/>
  <c r="AG50" i="1"/>
  <c r="AG60" i="1"/>
  <c r="AE59" i="1"/>
  <c r="AE27" i="1"/>
  <c r="AG55" i="1"/>
  <c r="AG73" i="1"/>
  <c r="AG5" i="1"/>
  <c r="S7" i="1"/>
  <c r="V7" i="1" s="1"/>
  <c r="X7" i="1" s="1"/>
  <c r="AA7" i="1" s="1"/>
  <c r="J1" i="1"/>
  <c r="AE6" i="1"/>
  <c r="AF30" i="1"/>
  <c r="AF62" i="1"/>
  <c r="AE36" i="1"/>
  <c r="AF23" i="1"/>
  <c r="AF77" i="1"/>
  <c r="AG72" i="1"/>
  <c r="AG46" i="1"/>
  <c r="AG38" i="1"/>
  <c r="AG24" i="1"/>
  <c r="AE79" i="1"/>
  <c r="AE47" i="1"/>
  <c r="AE15" i="1"/>
  <c r="AG59" i="1"/>
  <c r="AG27" i="1"/>
  <c r="AE69" i="1"/>
  <c r="AE37" i="1"/>
  <c r="AG77" i="1"/>
  <c r="AG45" i="1"/>
  <c r="AG13" i="1"/>
  <c r="Z78" i="1"/>
  <c r="X4" i="1"/>
  <c r="AA4" i="1" s="1"/>
  <c r="X15" i="1"/>
  <c r="AA15" i="1" s="1"/>
  <c r="X31" i="1"/>
  <c r="AA31" i="1" s="1"/>
  <c r="X47" i="1"/>
  <c r="AA47" i="1" s="1"/>
  <c r="X63" i="1"/>
  <c r="AA63" i="1" s="1"/>
  <c r="X79" i="1"/>
  <c r="AA79" i="1" s="1"/>
  <c r="X20" i="1"/>
  <c r="AA20" i="1" s="1"/>
  <c r="X36" i="1"/>
  <c r="AA36" i="1" s="1"/>
  <c r="X52" i="1"/>
  <c r="AA52" i="1" s="1"/>
  <c r="X68" i="1"/>
  <c r="AA68" i="1" s="1"/>
  <c r="X9" i="1"/>
  <c r="AA9" i="1" s="1"/>
  <c r="X25" i="1"/>
  <c r="AA25" i="1" s="1"/>
  <c r="X41" i="1"/>
  <c r="AA41" i="1" s="1"/>
  <c r="X57" i="1"/>
  <c r="AA57" i="1" s="1"/>
  <c r="X73" i="1"/>
  <c r="AA73" i="1" s="1"/>
  <c r="X18" i="1"/>
  <c r="AA18" i="1" s="1"/>
  <c r="X34" i="1"/>
  <c r="AA34" i="1" s="1"/>
  <c r="X50" i="1"/>
  <c r="AA50" i="1" s="1"/>
  <c r="X66" i="1"/>
  <c r="AA66" i="1" s="1"/>
  <c r="X19" i="1"/>
  <c r="AA19" i="1" s="1"/>
  <c r="X35" i="1"/>
  <c r="AA35" i="1" s="1"/>
  <c r="X51" i="1"/>
  <c r="AA51" i="1" s="1"/>
  <c r="X67" i="1"/>
  <c r="AA67" i="1" s="1"/>
  <c r="X8" i="1"/>
  <c r="AA8" i="1" s="1"/>
  <c r="X24" i="1"/>
  <c r="AA24" i="1" s="1"/>
  <c r="X40" i="1"/>
  <c r="AA40" i="1" s="1"/>
  <c r="X56" i="1"/>
  <c r="AA56" i="1" s="1"/>
  <c r="X72" i="1"/>
  <c r="AA72" i="1" s="1"/>
  <c r="X13" i="1"/>
  <c r="AA13" i="1" s="1"/>
  <c r="X29" i="1"/>
  <c r="AA29" i="1" s="1"/>
  <c r="X45" i="1"/>
  <c r="AA45" i="1" s="1"/>
  <c r="X61" i="1"/>
  <c r="AA61" i="1" s="1"/>
  <c r="X77" i="1"/>
  <c r="AA77" i="1" s="1"/>
  <c r="X22" i="1"/>
  <c r="AA22" i="1" s="1"/>
  <c r="X38" i="1"/>
  <c r="AA38" i="1" s="1"/>
  <c r="X54" i="1"/>
  <c r="AA54" i="1" s="1"/>
  <c r="X70" i="1"/>
  <c r="AA70" i="1" s="1"/>
  <c r="X23" i="1"/>
  <c r="AA23" i="1" s="1"/>
  <c r="X39" i="1"/>
  <c r="AA39" i="1" s="1"/>
  <c r="X55" i="1"/>
  <c r="AA55" i="1" s="1"/>
  <c r="X71" i="1"/>
  <c r="AA71" i="1" s="1"/>
  <c r="X12" i="1"/>
  <c r="AA12" i="1" s="1"/>
  <c r="X28" i="1"/>
  <c r="AA28" i="1" s="1"/>
  <c r="X44" i="1"/>
  <c r="AA44" i="1" s="1"/>
  <c r="X60" i="1"/>
  <c r="AA60" i="1" s="1"/>
  <c r="X76" i="1"/>
  <c r="AA76" i="1" s="1"/>
  <c r="X17" i="1"/>
  <c r="AA17" i="1" s="1"/>
  <c r="X33" i="1"/>
  <c r="AA33" i="1" s="1"/>
  <c r="X49" i="1"/>
  <c r="AA49" i="1" s="1"/>
  <c r="X65" i="1"/>
  <c r="AA65" i="1" s="1"/>
  <c r="X10" i="1"/>
  <c r="AA10" i="1" s="1"/>
  <c r="X26" i="1"/>
  <c r="AA26" i="1" s="1"/>
  <c r="X42" i="1"/>
  <c r="AA42" i="1" s="1"/>
  <c r="X58" i="1"/>
  <c r="AA58" i="1" s="1"/>
  <c r="X74" i="1"/>
  <c r="AA74" i="1" s="1"/>
  <c r="X11" i="1"/>
  <c r="AA11" i="1" s="1"/>
  <c r="X27" i="1"/>
  <c r="AA27" i="1" s="1"/>
  <c r="X43" i="1"/>
  <c r="AA43" i="1" s="1"/>
  <c r="X59" i="1"/>
  <c r="AA59" i="1" s="1"/>
  <c r="X75" i="1"/>
  <c r="AA75" i="1" s="1"/>
  <c r="X16" i="1"/>
  <c r="AA16" i="1" s="1"/>
  <c r="X32" i="1"/>
  <c r="AA32" i="1" s="1"/>
  <c r="X48" i="1"/>
  <c r="AA48" i="1" s="1"/>
  <c r="X64" i="1"/>
  <c r="AA64" i="1" s="1"/>
  <c r="X80" i="1"/>
  <c r="AA80" i="1" s="1"/>
  <c r="X21" i="1"/>
  <c r="AA21" i="1" s="1"/>
  <c r="X37" i="1"/>
  <c r="AA37" i="1" s="1"/>
  <c r="X53" i="1"/>
  <c r="AA53" i="1" s="1"/>
  <c r="X69" i="1"/>
  <c r="AA69" i="1" s="1"/>
  <c r="X14" i="1"/>
  <c r="AA14" i="1" s="1"/>
  <c r="X30" i="1"/>
  <c r="AA30" i="1" s="1"/>
  <c r="X46" i="1"/>
  <c r="AA46" i="1" s="1"/>
  <c r="X62" i="1"/>
  <c r="AA62" i="1" s="1"/>
  <c r="X5" i="1"/>
  <c r="AA5" i="1" s="1"/>
  <c r="X6" i="1"/>
  <c r="AA6" i="1" s="1"/>
  <c r="AA3" i="1" l="1"/>
  <c r="AA2" i="1" s="1"/>
  <c r="AB2" i="1" s="1"/>
  <c r="AD15" i="1" s="1"/>
  <c r="Z3" i="1"/>
  <c r="AD11" i="1"/>
  <c r="AC11" i="1"/>
  <c r="AB11" i="1"/>
  <c r="AB15" i="1"/>
  <c r="AB17" i="1"/>
  <c r="Y2" i="1"/>
  <c r="Z46" i="1"/>
  <c r="Z11" i="1"/>
  <c r="Z49" i="1"/>
  <c r="Z71" i="1"/>
  <c r="Z29" i="1"/>
  <c r="Z51" i="1"/>
  <c r="Z68" i="1"/>
  <c r="Z79" i="1"/>
  <c r="Z15" i="1"/>
  <c r="Z6" i="1"/>
  <c r="Z30" i="1"/>
  <c r="Z37" i="1"/>
  <c r="Z48" i="1"/>
  <c r="Z59" i="1"/>
  <c r="Z26" i="1"/>
  <c r="Z33" i="1"/>
  <c r="Z44" i="1"/>
  <c r="Z55" i="1"/>
  <c r="Z70" i="1"/>
  <c r="Z77" i="1"/>
  <c r="Z13" i="1"/>
  <c r="Z24" i="1"/>
  <c r="Z35" i="1"/>
  <c r="Z34" i="1"/>
  <c r="Z41" i="1"/>
  <c r="Z52" i="1"/>
  <c r="Z63" i="1"/>
  <c r="Z64" i="1"/>
  <c r="Z42" i="1"/>
  <c r="Z22" i="1"/>
  <c r="Z50" i="1"/>
  <c r="Z14" i="1"/>
  <c r="Z43" i="1"/>
  <c r="Z10" i="1"/>
  <c r="Z17" i="1"/>
  <c r="Z28" i="1"/>
  <c r="Z39" i="1"/>
  <c r="Z54" i="1"/>
  <c r="Z61" i="1"/>
  <c r="Z72" i="1"/>
  <c r="Z8" i="1"/>
  <c r="Z19" i="1"/>
  <c r="Z18" i="1"/>
  <c r="Z25" i="1"/>
  <c r="Z36" i="1"/>
  <c r="Z47" i="1"/>
  <c r="Z53" i="1"/>
  <c r="Z75" i="1"/>
  <c r="Z60" i="1"/>
  <c r="Z7" i="1"/>
  <c r="Z40" i="1"/>
  <c r="Z57" i="1"/>
  <c r="Z5" i="1"/>
  <c r="Z21" i="1"/>
  <c r="Z32" i="1"/>
  <c r="Z74" i="1"/>
  <c r="Z62" i="1"/>
  <c r="Z69" i="1"/>
  <c r="Z80" i="1"/>
  <c r="Z16" i="1"/>
  <c r="Z27" i="1"/>
  <c r="Z58" i="1"/>
  <c r="Z65" i="1"/>
  <c r="Z76" i="1"/>
  <c r="Z12" i="1"/>
  <c r="Z23" i="1"/>
  <c r="Z38" i="1"/>
  <c r="Z45" i="1"/>
  <c r="Z56" i="1"/>
  <c r="Z67" i="1"/>
  <c r="Z66" i="1"/>
  <c r="Z73" i="1"/>
  <c r="Z9" i="1"/>
  <c r="Z20" i="1"/>
  <c r="Z31" i="1"/>
  <c r="Z4" i="1"/>
  <c r="AC15" i="1" l="1"/>
  <c r="AC17" i="1"/>
  <c r="AC2" i="1"/>
  <c r="AD2" i="1" s="1"/>
  <c r="AE2" i="1" s="1"/>
  <c r="AC5" i="1" s="1"/>
  <c r="AC6" i="1" s="1"/>
  <c r="X1" i="1"/>
  <c r="AD17" i="1" l="1"/>
  <c r="AD5" i="1"/>
  <c r="AD6" i="1" s="1"/>
  <c r="AB6" i="1" l="1"/>
</calcChain>
</file>

<file path=xl/sharedStrings.xml><?xml version="1.0" encoding="utf-8"?>
<sst xmlns="http://schemas.openxmlformats.org/spreadsheetml/2006/main" count="224" uniqueCount="140">
  <si>
    <t>Resíduo</t>
  </si>
  <si>
    <t>Feed</t>
  </si>
  <si>
    <t>Destilado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</si>
  <si>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</si>
  <si>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</si>
  <si>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</si>
  <si>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</si>
  <si>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</si>
  <si>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</si>
  <si>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</si>
  <si>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</si>
  <si>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</si>
  <si>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</si>
  <si>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</si>
  <si>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</si>
  <si>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</si>
  <si>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</si>
  <si>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</si>
  <si>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</si>
  <si>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</si>
  <si>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</si>
  <si>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</si>
  <si>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</si>
  <si>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</si>
  <si>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</si>
  <si>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</si>
  <si>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</si>
  <si>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</si>
  <si>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</si>
  <si>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</si>
  <si>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</si>
  <si>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</si>
  <si>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</si>
  <si>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</si>
  <si>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</si>
  <si>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</si>
  <si>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</si>
  <si>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</si>
  <si>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</si>
  <si>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</si>
  <si>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</si>
  <si>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</si>
  <si>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</si>
  <si>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</si>
  <si>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</si>
  <si>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</si>
  <si>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</si>
  <si>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</si>
  <si>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</si>
  <si>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</si>
  <si>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</si>
  <si>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</si>
  <si>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</si>
  <si>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</si>
  <si>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</si>
  <si>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</si>
  <si>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</si>
  <si>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</si>
  <si>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</si>
  <si>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</si>
  <si>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</si>
  <si>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</si>
  <si>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</si>
  <si>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</si>
  <si>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</si>
  <si>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</si>
  <si>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</si>
  <si>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</si>
  <si>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</si>
  <si>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</si>
  <si>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</si>
  <si>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</si>
  <si>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</si>
  <si>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</si>
  <si>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</si>
  <si>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</si>
  <si>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</si>
  <si>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</si>
  <si>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</si>
  <si>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</si>
  <si>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</si>
  <si>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DADOS</t>
  </si>
  <si>
    <t>P [kPa]</t>
  </si>
  <si>
    <t>Pv [kPa]</t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</si>
  <si>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(Topo)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</si>
  <si>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(Feed)</t>
    </r>
  </si>
  <si>
    <r>
      <t>P</t>
    </r>
    <r>
      <rPr>
        <b/>
        <sz val="8"/>
        <color theme="0"/>
        <rFont val="Calibri"/>
        <family val="2"/>
        <scheme val="minor"/>
      </rPr>
      <t xml:space="preserve">i </t>
    </r>
    <r>
      <rPr>
        <b/>
        <sz val="11"/>
        <color theme="0"/>
        <rFont val="Calibri"/>
        <family val="2"/>
        <scheme val="minor"/>
      </rPr>
      <t>[kPa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] (fundo)</t>
    </r>
  </si>
  <si>
    <r>
      <t>A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</si>
  <si>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B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</si>
  <si>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C</t>
    </r>
    <r>
      <rPr>
        <b/>
        <vertAlign val="subscript"/>
        <sz val="12"/>
        <color theme="0"/>
        <rFont val="Calibri"/>
        <family val="2"/>
        <scheme val="minor"/>
      </rPr>
      <t>i</t>
    </r>
  </si>
  <si>
    <r>
      <t>%</t>
    </r>
    <r>
      <rPr>
        <b/>
        <vertAlign val="subscript"/>
        <sz val="11"/>
        <color theme="0"/>
        <rFont val="Calibri"/>
        <family val="2"/>
        <scheme val="minor"/>
      </rPr>
      <t>molar</t>
    </r>
    <r>
      <rPr>
        <b/>
        <sz val="11"/>
        <color theme="0"/>
        <rFont val="Calibri"/>
        <family val="2"/>
      </rPr>
      <t>→ ↓Componente</t>
    </r>
  </si>
  <si>
    <r>
      <t>ρ</t>
    </r>
    <r>
      <rPr>
        <b/>
        <vertAlign val="subscript"/>
        <sz val="11"/>
        <color theme="0"/>
        <rFont val="Calibri"/>
        <family val="2"/>
      </rPr>
      <t>L</t>
    </r>
    <r>
      <rPr>
        <b/>
        <sz val="11"/>
        <color theme="0"/>
        <rFont val="Calibri"/>
        <family val="2"/>
      </rPr>
      <t xml:space="preserve"> [kg/m³]</t>
    </r>
  </si>
  <si>
    <r>
      <t>Eq. De Antoine (Pv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</si>
  <si>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α (Pv</t>
    </r>
    <r>
      <rPr>
        <b/>
        <vertAlign val="subscript"/>
        <sz val="14"/>
        <color theme="0"/>
        <rFont val="Calibri"/>
        <family val="2"/>
      </rPr>
      <t>i</t>
    </r>
    <r>
      <rPr>
        <b/>
        <sz val="14"/>
        <color theme="0"/>
        <rFont val="Calibri"/>
        <family val="2"/>
      </rPr>
      <t>/Pv</t>
    </r>
    <r>
      <rPr>
        <b/>
        <vertAlign val="subscript"/>
        <sz val="14"/>
        <color theme="0"/>
        <rFont val="Calibri"/>
        <family val="2"/>
      </rPr>
      <t>HK</t>
    </r>
    <r>
      <rPr>
        <b/>
        <sz val="14"/>
        <color theme="0"/>
        <rFont val="Calibri"/>
        <family val="2"/>
      </rPr>
      <t>)</t>
    </r>
  </si>
  <si>
    <r>
      <t>α</t>
    </r>
    <r>
      <rPr>
        <b/>
        <vertAlign val="subscript"/>
        <sz val="14"/>
        <color theme="0"/>
        <rFont val="Calibri"/>
        <family val="2"/>
        <scheme val="minor"/>
      </rPr>
      <t>TOTAL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</si>
  <si>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 xml:space="preserve">feed </t>
    </r>
    <r>
      <rPr>
        <b/>
        <sz val="11"/>
        <color theme="0"/>
        <rFont val="Calibri"/>
        <family val="2"/>
        <scheme val="minor"/>
      </rPr>
      <t>[1-</t>
    </r>
    <r>
      <rPr>
        <b/>
        <sz val="11"/>
        <color theme="0"/>
        <rFont val="Calibri"/>
        <family val="2"/>
      </rPr>
      <t>λ]</t>
    </r>
  </si>
  <si>
    <r>
      <rPr>
        <b/>
        <sz val="11"/>
        <color theme="0"/>
        <rFont val="Calibri"/>
        <family val="2"/>
        <scheme val="minor"/>
      </rPr>
      <t>R (em 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</t>
    </r>
  </si>
  <si>
    <r>
      <t>μ</t>
    </r>
    <r>
      <rPr>
        <b/>
        <vertAlign val="subscript"/>
        <sz val="12"/>
        <color theme="0"/>
        <rFont val="Calibri"/>
        <family val="2"/>
      </rPr>
      <t>F</t>
    </r>
    <r>
      <rPr>
        <b/>
        <sz val="11"/>
        <color theme="0"/>
        <rFont val="Calibri"/>
        <family val="2"/>
      </rPr>
      <t xml:space="preserve"> [cP]</t>
    </r>
  </si>
  <si>
    <r>
      <t>H</t>
    </r>
    <r>
      <rPr>
        <b/>
        <vertAlign val="subscript"/>
        <sz val="12"/>
        <color theme="0"/>
        <rFont val="Calibri"/>
        <family val="2"/>
        <scheme val="minor"/>
      </rPr>
      <t xml:space="preserve">mín </t>
    </r>
    <r>
      <rPr>
        <b/>
        <sz val="12"/>
        <color theme="0"/>
        <rFont val="Calibri"/>
        <family val="2"/>
        <scheme val="minor"/>
      </rPr>
      <t>[m]</t>
    </r>
  </si>
  <si>
    <r>
      <t>t(E</t>
    </r>
    <r>
      <rPr>
        <b/>
        <vertAlign val="subscript"/>
        <sz val="12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>) [m]</t>
    </r>
  </si>
  <si>
    <t>F [kmol/h]</t>
  </si>
  <si>
    <t>D [kmol/h]</t>
  </si>
  <si>
    <t>B [kmol/h]</t>
  </si>
  <si>
    <r>
      <t>Resíduo (b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</si>
  <si>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Destilado (d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</si>
  <si>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Feed    (z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</si>
  <si>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fundo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</si>
  <si>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feed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</si>
  <si>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topo</t>
    </r>
  </si>
  <si>
    <r>
      <t>BMP</t>
    </r>
    <r>
      <rPr>
        <b/>
        <vertAlign val="subscript"/>
        <sz val="11"/>
        <color theme="0"/>
        <rFont val="Calibri"/>
        <family val="2"/>
        <scheme val="minor"/>
      </rPr>
      <t>topo</t>
    </r>
    <r>
      <rPr>
        <b/>
        <sz val="11"/>
        <color theme="0"/>
        <rFont val="Calibri"/>
        <family val="2"/>
        <scheme val="minor"/>
      </rPr>
      <t>:</t>
    </r>
  </si>
  <si>
    <r>
      <t>R [f(R</t>
    </r>
    <r>
      <rPr>
        <b/>
        <vertAlign val="subscript"/>
        <sz val="11"/>
        <color theme="0"/>
        <rFont val="Calibri"/>
        <family val="2"/>
        <scheme val="minor"/>
      </rPr>
      <t>mín</t>
    </r>
    <r>
      <rPr>
        <b/>
        <sz val="11"/>
        <color theme="0"/>
        <rFont val="Calibri"/>
        <family val="2"/>
        <scheme val="minor"/>
      </rPr>
      <t>)]</t>
    </r>
  </si>
  <si>
    <t>N [pratos]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</si>
  <si>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</si>
  <si>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[estágios]</t>
    </r>
  </si>
  <si>
    <r>
      <t>N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[f(N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>)]</t>
    </r>
  </si>
  <si>
    <r>
      <rPr>
        <b/>
        <sz val="14"/>
        <color theme="0"/>
        <rFont val="Calibri"/>
        <family val="2"/>
        <scheme val="minor"/>
      </rPr>
      <t>Fenske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TEÓRICO</t>
    </r>
  </si>
  <si>
    <r>
      <rPr>
        <b/>
        <sz val="14"/>
        <color theme="0"/>
        <rFont val="Calibri"/>
        <family val="2"/>
        <scheme val="minor"/>
      </rPr>
      <t>Gilliland</t>
    </r>
    <r>
      <rPr>
        <b/>
        <sz val="11"/>
        <color theme="0"/>
        <rFont val="Calibri"/>
        <family val="2"/>
        <scheme val="minor"/>
      </rPr>
      <t xml:space="preserve"> N</t>
    </r>
    <r>
      <rPr>
        <b/>
        <vertAlign val="subscript"/>
        <sz val="11"/>
        <color theme="0"/>
        <rFont val="Calibri"/>
        <family val="2"/>
        <scheme val="minor"/>
      </rPr>
      <t>ESTÁGIOS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</si>
  <si>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B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</si>
  <si>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Z</t>
    </r>
    <r>
      <rPr>
        <b/>
        <sz val="12"/>
        <color theme="0"/>
        <rFont val="Calibri"/>
        <family val="2"/>
        <scheme val="minor"/>
      </rPr>
      <t xml:space="preserve"> [kg/m³]</t>
    </r>
  </si>
  <si>
    <r>
      <t>ρ</t>
    </r>
    <r>
      <rPr>
        <b/>
        <vertAlign val="subscript"/>
        <sz val="12"/>
        <color theme="0"/>
        <rFont val="Calibri"/>
        <family val="2"/>
        <scheme val="minor"/>
      </rPr>
      <t>D</t>
    </r>
    <r>
      <rPr>
        <b/>
        <sz val="12"/>
        <color theme="0"/>
        <rFont val="Calibri"/>
        <family val="2"/>
        <scheme val="minor"/>
      </rPr>
      <t xml:space="preserve"> [kg/m³]</t>
    </r>
  </si>
  <si>
    <t>MW [kg/kmol]</t>
  </si>
  <si>
    <r>
      <t>Kirkbride              %w</t>
    </r>
    <r>
      <rPr>
        <b/>
        <vertAlign val="subscript"/>
        <sz val="14"/>
        <color theme="0"/>
        <rFont val="Calibri"/>
        <family val="2"/>
        <scheme val="minor"/>
      </rPr>
      <t>i</t>
    </r>
    <r>
      <rPr>
        <b/>
        <sz val="14"/>
        <color theme="0"/>
        <rFont val="Calibri"/>
        <family val="2"/>
        <scheme val="minor"/>
      </rPr>
      <t>/</t>
    </r>
    <r>
      <rPr>
        <b/>
        <sz val="14"/>
        <color theme="0"/>
        <rFont val="Calibri"/>
        <family val="2"/>
      </rPr>
      <t>ρ</t>
    </r>
    <r>
      <rPr>
        <b/>
        <vertAlign val="subscript"/>
        <sz val="14"/>
        <color theme="0"/>
        <rFont val="Calibri"/>
        <family val="2"/>
      </rPr>
      <t>i (b)</t>
    </r>
    <r>
      <rPr>
        <b/>
        <sz val="14"/>
        <color theme="0"/>
        <rFont val="Calibri"/>
        <family val="2"/>
      </rPr>
      <t>→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</si>
  <si>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(z)</t>
    </r>
  </si>
  <si>
    <r>
      <t xml:space="preserve"> %w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/ρ</t>
    </r>
    <r>
      <rPr>
        <b/>
        <vertAlign val="subscript"/>
        <sz val="11"/>
        <color theme="0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 xml:space="preserve"> (d)</t>
    </r>
  </si>
  <si>
    <t>VAZÕES MÁSSICAS [kg/h]</t>
  </si>
  <si>
    <t>b</t>
  </si>
  <si>
    <t>z</t>
  </si>
  <si>
    <t>d</t>
  </si>
  <si>
    <t>Componente</t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</si>
  <si>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(B)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</si>
  <si>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(F)</t>
    </r>
  </si>
  <si>
    <r>
      <t>MWv</t>
    </r>
    <r>
      <rPr>
        <b/>
        <vertAlign val="subscript"/>
        <sz val="11"/>
        <color theme="0"/>
        <rFont val="Calibri"/>
        <family val="2"/>
        <scheme val="minor"/>
      </rPr>
      <t>(D)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</si>
  <si>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</si>
  <si>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u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[m/s]</t>
    </r>
  </si>
  <si>
    <r>
      <t>V</t>
    </r>
    <r>
      <rPr>
        <b/>
        <vertAlign val="subscript"/>
        <sz val="11.5"/>
        <color theme="0"/>
        <rFont val="Calibri"/>
        <family val="2"/>
        <scheme val="minor"/>
      </rPr>
      <t>f(R,D)</t>
    </r>
    <r>
      <rPr>
        <b/>
        <sz val="11.5"/>
        <color theme="0"/>
        <rFont val="Calibri"/>
        <family val="2"/>
        <scheme val="minor"/>
      </rPr>
      <t xml:space="preserve"> [kg/h]</t>
    </r>
  </si>
  <si>
    <r>
      <t>ρ</t>
    </r>
    <r>
      <rPr>
        <b/>
        <vertAlign val="subscript"/>
        <sz val="11"/>
        <color theme="0"/>
        <rFont val="Calibri"/>
        <family val="2"/>
        <scheme val="minor"/>
      </rPr>
      <t>V(TOPO)</t>
    </r>
    <r>
      <rPr>
        <b/>
        <sz val="11"/>
        <color theme="0"/>
        <rFont val="Calibri"/>
        <family val="2"/>
        <scheme val="minor"/>
      </rPr>
      <t xml:space="preserve"> [kg/m³]</t>
    </r>
  </si>
  <si>
    <r>
      <t>Q</t>
    </r>
    <r>
      <rPr>
        <b/>
        <vertAlign val="subscript"/>
        <sz val="11"/>
        <color theme="0"/>
        <rFont val="Calibri"/>
        <family val="2"/>
        <scheme val="minor"/>
      </rPr>
      <t>V</t>
    </r>
    <r>
      <rPr>
        <b/>
        <sz val="11"/>
        <color theme="0"/>
        <rFont val="Calibri"/>
        <family val="2"/>
        <scheme val="minor"/>
      </rPr>
      <t xml:space="preserve"> [m³/s]</t>
    </r>
  </si>
  <si>
    <r>
      <rPr>
        <b/>
        <sz val="11"/>
        <rFont val="Calibri"/>
        <family val="2"/>
        <scheme val="minor"/>
      </rPr>
      <t>.</t>
    </r>
    <r>
      <rPr>
        <b/>
        <sz val="11"/>
        <color theme="0"/>
        <rFont val="Calibri"/>
        <family val="2"/>
        <scheme val="minor"/>
      </rPr>
      <t xml:space="preserve">      </t>
    </r>
    <r>
      <rPr>
        <b/>
        <sz val="14"/>
        <color theme="0"/>
        <rFont val="Calibri"/>
        <family val="2"/>
        <scheme val="minor"/>
      </rPr>
      <t>Underwood</t>
    </r>
    <r>
      <rPr>
        <b/>
        <sz val="11"/>
        <color theme="0"/>
        <rFont val="Calibri"/>
        <family val="2"/>
        <scheme val="minor"/>
      </rPr>
      <t xml:space="preserve">                     </t>
    </r>
    <r>
      <rPr>
        <b/>
        <sz val="11"/>
        <rFont val="Calibri"/>
        <family val="2"/>
        <scheme val="minor"/>
      </rPr>
      <t xml:space="preserve"> .</t>
    </r>
    <r>
      <rPr>
        <b/>
        <sz val="11"/>
        <color theme="0"/>
        <rFont val="Calibri"/>
        <family val="2"/>
        <scheme val="minor"/>
      </rPr>
      <t xml:space="preserve">  [</t>
    </r>
    <r>
      <rPr>
        <b/>
        <sz val="11"/>
        <color theme="0"/>
        <rFont val="Calibri"/>
        <family val="2"/>
      </rPr>
      <t>θ]                  [R</t>
    </r>
    <r>
      <rPr>
        <b/>
        <vertAlign val="subscript"/>
        <sz val="11"/>
        <color theme="0"/>
        <rFont val="Calibri"/>
        <family val="2"/>
      </rPr>
      <t>mín</t>
    </r>
    <r>
      <rPr>
        <b/>
        <sz val="11"/>
        <color theme="0"/>
        <rFont val="Calibri"/>
        <family val="2"/>
      </rPr>
      <t>]</t>
    </r>
  </si>
  <si>
    <t xml:space="preserve"> Fenske: Número mínimo de estágios teóricos; Underwood: Rmín do refluxo;  Gilliland: Número real de estágios teóricos; Kirkbride: Posição do prato de alimentação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</si>
  <si>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COLUNA</t>
    </r>
    <r>
      <rPr>
        <b/>
        <sz val="11"/>
        <color theme="0"/>
        <rFont val="Calibri"/>
        <family val="2"/>
        <scheme val="minor"/>
      </rPr>
      <t xml:space="preserve"> [m]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</si>
</sst>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0.0000"/>
    <numFmt numFmtId="166" formatCode="0.00000"/>
    <numFmt numFmtId="167" formatCode="0.0000000"/>
    <numFmt numFmtId="168" formatCode="0.00000000"/>
    <numFmt numFmtId="169" formatCode="0.000000000"/>
    <numFmt numFmtId="170" formatCode="0.000000"/>
    <numFmt numFmtId="171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vertAlign val="subscript"/>
      <sz val="14"/>
      <color theme="0"/>
      <name val="Calibri"/>
      <family val="2"/>
    </font>
    <font>
      <b/>
      <vertAlign val="subscript"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bscript"/>
      <sz val="12"/>
      <color theme="0"/>
      <name val="Calibri"/>
      <family val="2"/>
    </font>
    <font>
      <b/>
      <sz val="11.5"/>
      <color theme="0"/>
      <name val="Calibri"/>
      <family val="2"/>
      <scheme val="minor"/>
    </font>
    <font>
      <b/>
      <vertAlign val="subscript"/>
      <sz val="11.5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63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Dashed">
        <color indexed="64"/>
      </top>
      <bottom/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thick">
        <color indexed="64"/>
      </left>
      <right style="mediumDashed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 style="mediumDashed">
        <color theme="0"/>
      </left>
      <right/>
      <top/>
      <bottom/>
      <diagonal/>
    </border>
    <border>
      <left/>
      <right style="mediumDashed">
        <color theme="0"/>
      </right>
      <top/>
      <bottom/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right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169" fontId="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168" fontId="0" fillId="2" borderId="2" xfId="0" applyNumberFormat="1" applyFill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171" fontId="0" fillId="0" borderId="13" xfId="0" applyNumberForma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6" fillId="0" borderId="0" xfId="0" applyFont="1" applyFill="1" applyAlignment="1"/>
    <xf numFmtId="165" fontId="3" fillId="3" borderId="0" xfId="0" applyNumberFormat="1" applyFont="1" applyFill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9" fontId="3" fillId="3" borderId="8" xfId="0" applyNumberFormat="1" applyFont="1" applyFill="1" applyBorder="1" applyAlignment="1">
      <alignment horizontal="center"/>
    </xf>
    <xf numFmtId="166" fontId="3" fillId="3" borderId="8" xfId="0" applyNumberFormat="1" applyFont="1" applyFill="1" applyBorder="1" applyAlignment="1">
      <alignment horizontal="center"/>
    </xf>
    <xf numFmtId="170" fontId="3" fillId="3" borderId="0" xfId="0" applyNumberFormat="1" applyFont="1" applyFill="1" applyAlignment="1">
      <alignment horizontal="center"/>
    </xf>
    <xf numFmtId="170" fontId="3" fillId="3" borderId="8" xfId="0" applyNumberFormat="1" applyFont="1" applyFill="1" applyBorder="1" applyAlignment="1">
      <alignment horizontal="center"/>
    </xf>
    <xf numFmtId="170" fontId="3" fillId="3" borderId="14" xfId="0" applyNumberFormat="1" applyFont="1" applyFill="1" applyBorder="1" applyAlignment="1">
      <alignment horizontal="center"/>
    </xf>
    <xf numFmtId="170" fontId="3" fillId="3" borderId="0" xfId="0" applyNumberFormat="1" applyFont="1" applyFill="1" applyBorder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3" borderId="14" xfId="0" applyNumberFormat="1" applyFont="1" applyFill="1" applyBorder="1" applyAlignment="1">
      <alignment horizontal="center"/>
    </xf>
    <xf numFmtId="168" fontId="3" fillId="3" borderId="0" xfId="0" applyNumberFormat="1" applyFont="1" applyFill="1" applyAlignment="1">
      <alignment horizontal="center"/>
    </xf>
    <xf numFmtId="168" fontId="3" fillId="3" borderId="9" xfId="0" applyNumberFormat="1" applyFont="1" applyFill="1" applyBorder="1" applyAlignment="1">
      <alignment horizontal="center"/>
    </xf>
    <xf numFmtId="168" fontId="3" fillId="3" borderId="8" xfId="0" applyNumberFormat="1" applyFont="1" applyFill="1" applyBorder="1" applyAlignment="1">
      <alignment horizontal="center"/>
    </xf>
    <xf numFmtId="164" fontId="3" fillId="3" borderId="5" xfId="0" applyNumberFormat="1" applyFont="1" applyFill="1" applyBorder="1" applyAlignment="1">
      <alignment horizontal="center" vertical="center"/>
    </xf>
    <xf numFmtId="164" fontId="3" fillId="3" borderId="6" xfId="0" applyNumberFormat="1" applyFont="1" applyFill="1" applyBorder="1" applyAlignment="1">
      <alignment horizontal="center" vertical="center"/>
    </xf>
    <xf numFmtId="165" fontId="3" fillId="3" borderId="17" xfId="0" applyNumberFormat="1" applyFont="1" applyFill="1" applyBorder="1" applyAlignment="1">
      <alignment horizontal="center"/>
    </xf>
    <xf numFmtId="165" fontId="3" fillId="3" borderId="13" xfId="0" applyNumberFormat="1" applyFont="1" applyFill="1" applyBorder="1" applyAlignment="1">
      <alignment horizontal="center"/>
    </xf>
    <xf numFmtId="2" fontId="3" fillId="3" borderId="15" xfId="0" applyNumberFormat="1" applyFont="1" applyFill="1" applyBorder="1" applyAlignment="1">
      <alignment horizontal="center"/>
    </xf>
    <xf numFmtId="165" fontId="3" fillId="3" borderId="20" xfId="0" applyNumberFormat="1" applyFont="1" applyFill="1" applyBorder="1" applyAlignment="1">
      <alignment horizontal="center" vertical="center"/>
    </xf>
    <xf numFmtId="167" fontId="3" fillId="3" borderId="6" xfId="0" applyNumberFormat="1" applyFont="1" applyFill="1" applyBorder="1" applyAlignment="1">
      <alignment horizontal="center" vertical="center"/>
    </xf>
    <xf numFmtId="169" fontId="3" fillId="3" borderId="6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1" fontId="21" fillId="3" borderId="19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165" fontId="3" fillId="3" borderId="8" xfId="0" applyNumberFormat="1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20" fillId="2" borderId="0" xfId="0" applyFont="1" applyFill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right"/>
    </xf>
    <xf numFmtId="0" fontId="8" fillId="2" borderId="22" xfId="0" applyFont="1" applyFill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0" fontId="18" fillId="3" borderId="14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8" fillId="3" borderId="0" xfId="0" applyFont="1" applyFill="1" applyBorder="1" applyAlignment="1">
      <alignment horizontal="center" wrapText="1"/>
    </xf>
    <xf numFmtId="0" fontId="18" fillId="3" borderId="6" xfId="0" applyFont="1" applyFill="1" applyBorder="1" applyAlignment="1">
      <alignment horizont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2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76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121451</xdr:colOff>
      <xdr:row>12</xdr:row>
      <xdr:rowOff>127081</xdr:rowOff>
    </xdr:from>
    <xdr:to>
      <xdr:col>14</xdr:col>
      <xdr:colOff>828775</xdr:colOff>
      <xdr:row>16</xdr:row>
      <xdr:rowOff>209061</xdr:rowOff>
    </xdr:to>
    <xdr:sp macro="[0]!Temp2" textlink="">
      <xdr:nvSpPr>
        <xdr:cNvPr id="2" name="Elipse 1"/>
        <xdr:cNvSpPr>
          <a:spLocks noChangeAspect="1"/>
        </xdr:cNvSpPr>
      </xdr:nvSpPr>
      <xdr:spPr>
        <a:xfrm rot="21189532">
          <a:off x="9856001" y="3603706"/>
          <a:ext cx="1412174" cy="1072580"/>
        </a:xfrm>
        <a:prstGeom prst="ellipse">
          <a:avLst/>
        </a:prstGeom>
        <a:gradFill>
          <a:gsLst>
            <a:gs pos="0">
              <a:schemeClr val="tx1"/>
            </a:gs>
            <a:gs pos="44000">
              <a:schemeClr val="tx1">
                <a:alpha val="85000"/>
              </a:schemeClr>
            </a:gs>
            <a:gs pos="100000">
              <a:schemeClr val="accent5">
                <a:lumMod val="100000"/>
                <a:alpha val="70000"/>
              </a:schemeClr>
            </a:gs>
          </a:gsLst>
          <a:lin ang="3900000" scaled="0"/>
        </a:gradFill>
        <a:ln w="76200" cap="rnd" cmpd="tri">
          <a:solidFill>
            <a:srgbClr val="00B050"/>
          </a:solidFill>
          <a:prstDash val="sysDash"/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rgbClr val="00B050"/>
              </a:solidFill>
            </a:rPr>
            <a:t>T</a:t>
          </a:r>
          <a:r>
            <a:rPr lang="pt-BR" sz="1950" b="1" strike="noStrike" cap="none" normalizeH="0" baseline="-25000">
              <a:solidFill>
                <a:srgbClr val="00B050"/>
              </a:solidFill>
            </a:rPr>
            <a:t>SOLVER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B2:H80" totalsRowShown="0" headerRowDxfId="9" dataDxfId="7" headerRowBorderDxfId="8">
  <autoFilter ref="B2:H80"/>
  <tableColumns count="7">
    <tableColumn id="1" name="Resíduo (bi)" dataDxfId="6"/>
    <tableColumn id="2" name="Feed    (zi)" dataDxfId="5"/>
    <tableColumn id="3" name="Destilado (di)" dataDxfId="4"/>
    <tableColumn id="4" name="ρL [kg/m³]" dataDxfId="3"/>
    <tableColumn id="5" name="Ai" dataDxfId="2"/>
    <tableColumn id="6" name="Bi" dataDxfId="1"/>
    <tableColumn id="7" name="C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M84"/>
  <sheetViews>
    <sheetView showGridLines="0" tabSelected="1" workbookViewId="0">
      <selection activeCell="B3" sqref="B3"/>
    </sheetView>
  </sheetViews>
  <sheetFormatPr defaultColWidth="0" defaultRowHeight="15" zeroHeight="1" x14ac:dyDescent="0.25"/>
  <cols>
    <col min="1" max="1" width="14.7109375" style="10" customWidth="1"/>
    <col min="2" max="2" width="13.85546875" style="1" customWidth="1"/>
    <col min="3" max="3" width="12.140625" style="1" customWidth="1"/>
    <col min="4" max="4" width="15.140625" style="1" customWidth="1"/>
    <col min="5" max="5" width="12.28515625" style="1" customWidth="1"/>
    <col min="6" max="8" width="9.140625" style="1" customWidth="1"/>
    <col min="9" max="10" width="13.7109375" style="1" bestFit="1" customWidth="1"/>
    <col min="11" max="13" width="12.5703125" style="1" bestFit="1" customWidth="1"/>
    <col min="14" max="14" width="10.5703125" style="1" bestFit="1" customWidth="1"/>
    <col min="15" max="15" width="13.140625" style="1" customWidth="1"/>
    <col min="16" max="16" width="12" style="1" customWidth="1"/>
    <col min="17" max="17" width="9.5703125" style="1" bestFit="1" customWidth="1"/>
    <col min="18" max="20" width="10.7109375" style="1" bestFit="1" customWidth="1"/>
    <col min="21" max="22" width="9.42578125" style="1" bestFit="1" customWidth="1"/>
    <col min="23" max="23" width="12.28515625" style="1" bestFit="1" customWidth="1"/>
    <col min="24" max="24" width="12.140625" style="1" customWidth="1"/>
    <col min="25" max="25" width="10.140625" style="1" customWidth="1"/>
    <col min="26" max="26" width="12" style="1" customWidth="1"/>
    <col min="27" max="27" width="13.85546875" style="1" bestFit="1" customWidth="1"/>
    <col min="28" max="28" width="15.7109375" style="1" customWidth="1"/>
    <col min="29" max="30" width="14.28515625" style="1" customWidth="1"/>
    <col min="31" max="31" width="13.5703125" style="1" customWidth="1"/>
    <col min="32" max="33" width="13.7109375" style="1" customWidth="1"/>
    <col min="34" max="34" width="13.5703125" style="1" customWidth="1"/>
    <col min="35" max="37" width="11.42578125" style="1" customWidth="1"/>
    <col min="38" max="38" width="14.85546875" style="10" customWidth="1"/>
    <col min="39" max="39" width="4.28515625" style="10" hidden="1" customWidth="1"/>
    <col min="40" max="16384" width="9.140625" style="1" hidden="1"/>
  </cols>
  <sheetData>
    <row r="1" spans="1:38" ht="37.5" customHeight="1" thickBot="1" x14ac:dyDescent="0.4">
      <c r="A1" s="87" t="s">
        <v>81</v>
      </c>
      <c r="B1" s="87"/>
      <c r="C1" s="87"/>
      <c r="D1" s="87"/>
      <c r="E1" s="87"/>
      <c r="F1" s="88" t="s">
        <v>92</v>
      </c>
      <c r="G1" s="88"/>
      <c r="H1" s="88"/>
      <c r="I1" s="25">
        <f>SUM(I3:I80)-$L$2</f>
        <v>2.6597504927394766E-6</v>
      </c>
      <c r="J1" s="25">
        <f>SUM(J3:J80)-$L$2</f>
        <v>-1.6153555250753016E-5</v>
      </c>
      <c r="K1" s="11">
        <f>ABS(SUM(K3:K80)-$L$2^-1)</f>
        <v>5.2894933225133833E-10</v>
      </c>
      <c r="L1" s="2" t="s">
        <v>82</v>
      </c>
      <c r="M1" s="6" t="s">
        <v>95</v>
      </c>
      <c r="N1" s="6" t="s">
        <v>96</v>
      </c>
      <c r="O1" s="2" t="s">
        <v>106</v>
      </c>
      <c r="P1" s="2" t="s">
        <v>107</v>
      </c>
      <c r="Q1" s="2" t="s">
        <v>108</v>
      </c>
      <c r="R1" s="89" t="s">
        <v>83</v>
      </c>
      <c r="S1" s="89"/>
      <c r="T1" s="89"/>
      <c r="U1" s="90" t="s">
        <v>93</v>
      </c>
      <c r="V1" s="91"/>
      <c r="W1" s="91"/>
      <c r="X1" s="12">
        <f>ABS(SUM(Z3:Z80)-(1-M2))</f>
        <v>3.7402536184200086E-7</v>
      </c>
      <c r="Y1" s="15" t="s">
        <v>115</v>
      </c>
      <c r="Z1" s="86" t="s">
        <v>137</v>
      </c>
      <c r="AA1" s="86"/>
      <c r="AB1" s="6" t="s">
        <v>110</v>
      </c>
      <c r="AC1" s="3" t="s">
        <v>116</v>
      </c>
      <c r="AD1" s="30" t="s">
        <v>98</v>
      </c>
      <c r="AE1" s="10" t="s">
        <v>111</v>
      </c>
      <c r="AF1" s="75" t="s">
        <v>138</v>
      </c>
      <c r="AG1" s="75"/>
      <c r="AH1" s="76"/>
      <c r="AI1" s="72" t="s">
        <v>124</v>
      </c>
      <c r="AJ1" s="73"/>
      <c r="AK1" s="74"/>
      <c r="AL1" s="34"/>
    </row>
    <row r="2" spans="1:38" ht="39" customHeight="1" thickBot="1" x14ac:dyDescent="0.4">
      <c r="A2" s="4" t="s">
        <v>90</v>
      </c>
      <c r="B2" s="67" t="s">
        <v>103</v>
      </c>
      <c r="C2" s="67" t="s">
        <v>105</v>
      </c>
      <c r="D2" s="67" t="s">
        <v>104</v>
      </c>
      <c r="E2" s="68" t="s">
        <v>91</v>
      </c>
      <c r="F2" s="69" t="s">
        <v>87</v>
      </c>
      <c r="G2" s="69" t="s">
        <v>88</v>
      </c>
      <c r="H2" s="69" t="s">
        <v>89</v>
      </c>
      <c r="I2" s="8" t="s">
        <v>86</v>
      </c>
      <c r="J2" s="8" t="s">
        <v>85</v>
      </c>
      <c r="K2" s="9" t="s">
        <v>84</v>
      </c>
      <c r="L2" s="7">
        <v>101.325</v>
      </c>
      <c r="M2" s="7">
        <v>1</v>
      </c>
      <c r="N2" s="13">
        <v>2</v>
      </c>
      <c r="O2" s="52">
        <v>102.08211754007642</v>
      </c>
      <c r="P2" s="53">
        <v>64.681845371664252</v>
      </c>
      <c r="Q2" s="53">
        <v>62.832924534925233</v>
      </c>
      <c r="R2" s="5" t="s">
        <v>0</v>
      </c>
      <c r="S2" s="5" t="s">
        <v>1</v>
      </c>
      <c r="T2" s="5" t="s">
        <v>2</v>
      </c>
      <c r="U2" s="5" t="s">
        <v>0</v>
      </c>
      <c r="V2" s="5" t="s">
        <v>1</v>
      </c>
      <c r="W2" s="5" t="s">
        <v>2</v>
      </c>
      <c r="X2" s="20" t="s">
        <v>94</v>
      </c>
      <c r="Y2" s="57">
        <f>LN((VLOOKUP(LARGE($P$3:$P$80,1),$P$3:$Q$80,1,FALSE)/VLOOKUP(LARGE($L$3:$L$80,1),$L$3:$P$80,5,FALSE))*(VLOOKUP(LARGE($L$3:$L$80,1),$L$3:$P$80,1,FALSE)/VLOOKUP(LARGE($P$3:$P$80,1),$P$3:$Q$80,2,FALSE)))/LN(VLOOKUP(LARGE($P$3:$P$80,1),$P$3:$X$80,COLUMN(X2)-15,FALSE))</f>
        <v>5.3093149914912026</v>
      </c>
      <c r="Z2" s="58">
        <v>1.3019183039032254</v>
      </c>
      <c r="AA2" s="59">
        <f>IFERROR(SUM(AA3:AA80)-1,)</f>
        <v>0.45620196124746548</v>
      </c>
      <c r="AB2" s="60">
        <f>N2*AA2</f>
        <v>0.91240392249493096</v>
      </c>
      <c r="AC2" s="61">
        <f>((0.75-0.75*((AB2-AA2)/(AB2+1))^0.5668)+Y2)/(1-(0.75-0.75*((AB2-AA2)/(AB2+1))^0.5668))</f>
        <v>9.8246012718719058</v>
      </c>
      <c r="AD2" s="61">
        <f>((AC2-1)/(0.51-0.325*LOG10(N6*VLOOKUP(LARGE(P3:P80,1),P3:X80,COLUMN(X2)-15,FALSE))))*N4+2</f>
        <v>11.271490881914019</v>
      </c>
      <c r="AE2" s="62">
        <f>ROUNDUP((AD2-2)/N4,0)</f>
        <v>19</v>
      </c>
      <c r="AF2" s="10" t="s">
        <v>122</v>
      </c>
      <c r="AG2" s="10" t="s">
        <v>123</v>
      </c>
      <c r="AH2" s="14" t="s">
        <v>120</v>
      </c>
      <c r="AI2" s="33" t="s">
        <v>125</v>
      </c>
      <c r="AJ2" s="32" t="s">
        <v>126</v>
      </c>
      <c r="AK2" s="32" t="s">
        <v>127</v>
      </c>
      <c r="AL2" s="34" t="s">
        <v>128</v>
      </c>
    </row>
    <row r="3" spans="1:38" ht="21.75" thickTop="1" thickBot="1" x14ac:dyDescent="0.4">
      <c r="A3" s="14" t="s">
        <v>3</v>
      </c>
      <c r="B3" s="70">
        <v>0</v>
      </c>
      <c r="C3" s="70">
        <v>0.24</v>
      </c>
      <c r="D3" s="70">
        <v>0.4</v>
      </c>
      <c r="E3" s="71">
        <v>626</v>
      </c>
      <c r="F3" s="71">
        <v>13.7667</v>
      </c>
      <c r="G3" s="71">
        <v>2451.88</v>
      </c>
      <c r="H3" s="71">
        <v>232.01400000000001</v>
      </c>
      <c r="I3" s="49">
        <f>IFERROR(L3*EXP($F3-$G3/(O$2+$H3)),0)</f>
        <v>0</v>
      </c>
      <c r="J3" s="49">
        <f>IFERROR(M3*EXP($F3-$G3/(P$2+$H3)),0)</f>
        <v>58.887709513049252</v>
      </c>
      <c r="K3" s="49">
        <f>IFERROR(P3/EXP($F3-$G3/(Q$2+$H3)),0)</f>
        <v>1.7169289962565069E-3</v>
      </c>
      <c r="L3" s="49">
        <f>IF(B3&lt;&gt;0,B3,(C3*$O$8-D3*$O$10)/$O$12)</f>
        <v>0</v>
      </c>
      <c r="M3" s="50">
        <f>IF(C3&lt;&gt;0,C3,(D3*$O$10+B3*$O$12)/$O$8)</f>
        <v>0.24</v>
      </c>
      <c r="N3" s="17" t="s">
        <v>99</v>
      </c>
      <c r="O3" s="22" t="s">
        <v>109</v>
      </c>
      <c r="P3" s="54">
        <f>IF(D3&lt;&gt;0,D3,(C3*$O$8-B3*$O$12)/$O$10)</f>
        <v>0.4</v>
      </c>
      <c r="Q3" s="27">
        <f>B3</f>
        <v>0</v>
      </c>
      <c r="R3" s="40">
        <f>IFERROR(IF(I3=0,IF(AND($F3&lt;&gt;0,$G3&lt;&gt;0,$H3&lt;&gt;0),EXP($F3-$G3/(O$2+$H3)),0),I3/L3),0)</f>
        <v>618.84439992179284</v>
      </c>
      <c r="S3" s="40">
        <f>IFERROR(IF(J3=0,IF(AND($F3&lt;&gt;0,$G3&lt;&gt;0,$H3&lt;&gt;0),EXP($F3-$G3/(P$2+$H3)),0),J3/M3),0)</f>
        <v>245.36545630437189</v>
      </c>
      <c r="T3" s="40">
        <f>IFERROR(IF(AND($F3&lt;&gt;0,$G3&lt;&gt;0,$H3&lt;&gt;0),EXP($F3-$G3/(Q$2+$H3)),0),0)</f>
        <v>232.97410718331216</v>
      </c>
      <c r="U3" s="40">
        <f>R3/VLOOKUP(LARGE($L$3:$L$80,1),L$3:$W$80,7,FALSE)</f>
        <v>5.488433646289236</v>
      </c>
      <c r="V3" s="40">
        <f>S3/VLOOKUP(LARGE($L$3:$L$80,1),$L$3:$W$80,8,FALSE)</f>
        <v>7.3386259072590452</v>
      </c>
      <c r="W3" s="40">
        <f>T3/VLOOKUP(LARGE($L$3:$L$80,1),$L$3:$W$80,9,FALSE)</f>
        <v>7.4623572194464378</v>
      </c>
      <c r="X3" s="42">
        <f>(U3*V3*W3)^(1/3)</f>
        <v>6.698533507648774</v>
      </c>
      <c r="Y3" s="28">
        <f>C3</f>
        <v>0.24</v>
      </c>
      <c r="Z3" s="40">
        <f>IFERROR((X3*M3)/(X3-$Z$2),0)</f>
        <v>0.29789932784533335</v>
      </c>
      <c r="AA3" s="41">
        <f>IFERROR(X3*P3/(X3-$Z$2),0)</f>
        <v>0.49649887974222223</v>
      </c>
      <c r="AB3" s="77" t="s">
        <v>121</v>
      </c>
      <c r="AC3" s="78"/>
      <c r="AD3" s="79"/>
      <c r="AE3" s="43">
        <f>IFERROR(100*(AI3/SUM($AI$3:$AI$80))/E3,0)</f>
        <v>0</v>
      </c>
      <c r="AF3" s="43">
        <f>IFERROR(100*(AJ3/SUM($AJ$3:$AJ$80))/E3,0)</f>
        <v>3.0650492855668107E-2</v>
      </c>
      <c r="AG3" s="44">
        <f>IFERROR(100*(AK3/SUM($AK$3:$AK$80))/E3,0)</f>
        <v>5.6727977529417786E-2</v>
      </c>
      <c r="AH3" s="35">
        <v>72</v>
      </c>
      <c r="AI3" s="47">
        <f>$O$12*L3*$AH3</f>
        <v>0</v>
      </c>
      <c r="AJ3" s="47">
        <f>$O$8*M3*$AH3</f>
        <v>8640</v>
      </c>
      <c r="AK3" s="47">
        <f>$O$10*P3*$AH3</f>
        <v>8640</v>
      </c>
      <c r="AL3" s="14" t="s">
        <v>3</v>
      </c>
    </row>
    <row r="4" spans="1:38" ht="19.5" customHeight="1" thickBot="1" x14ac:dyDescent="0.4">
      <c r="A4" s="10" t="s">
        <v>4</v>
      </c>
      <c r="B4" s="70">
        <v>0.05</v>
      </c>
      <c r="C4" s="70">
        <v>0.35</v>
      </c>
      <c r="D4" s="70">
        <v>0.55000000000000004</v>
      </c>
      <c r="E4" s="71">
        <v>655</v>
      </c>
      <c r="F4" s="71">
        <v>13.8193</v>
      </c>
      <c r="G4" s="71">
        <v>2696.04</v>
      </c>
      <c r="H4" s="71">
        <v>224.31700000000001</v>
      </c>
      <c r="I4" s="49">
        <f t="shared" ref="I4:I67" si="0">IFERROR(L4*EXP($F4-$G4/(O$2+$H4)),0)</f>
        <v>12.98271586701865</v>
      </c>
      <c r="J4" s="49">
        <f t="shared" ref="J4:J67" si="1">IFERROR(M4*EXP($F4-$G4/(P$2+$H4)),0)</f>
        <v>31.205129011816624</v>
      </c>
      <c r="K4" s="49">
        <f t="shared" ref="K4:K67" si="2">IFERROR(P4/EXP($F4-$G4/(Q$2+$H4)),0)</f>
        <v>6.5507609556428315E-3</v>
      </c>
      <c r="L4" s="49">
        <f t="shared" ref="L4:L67" si="3">IF(B4&lt;&gt;0,B4,(C4*$O$8-D4*$O$10)/$O$12)</f>
        <v>0.05</v>
      </c>
      <c r="M4" s="51">
        <f t="shared" ref="M4:M67" si="4">IF(C4&lt;&gt;0,C4,(D4*$O$10+B4*$O$12)/$O$8)</f>
        <v>0.35</v>
      </c>
      <c r="N4" s="18">
        <v>0.5</v>
      </c>
      <c r="O4" s="16"/>
      <c r="P4" s="55">
        <f>IF(D4&lt;&gt;0,D4,(C4*$O$8-B4*$O$12)/$O$10)</f>
        <v>0.55000000000000004</v>
      </c>
      <c r="Q4" s="26">
        <f>B4</f>
        <v>0.05</v>
      </c>
      <c r="R4" s="40">
        <f t="shared" ref="R4:R67" si="5">IFERROR(IF(I4=0,IF(AND($F4&lt;&gt;0,$G4&lt;&gt;0,$H4&lt;&gt;0),EXP($F4-$G4/(O$2+$H4)),0),I4/L4),0)</f>
        <v>259.65431734037298</v>
      </c>
      <c r="S4" s="40">
        <f t="shared" ref="S4:S67" si="6">IFERROR(IF(J4=0,IF(AND($F4&lt;&gt;0,$G4&lt;&gt;0,$H4&lt;&gt;0),EXP($F4-$G4/(P$2+$H4)),0),J4/M4),0)</f>
        <v>89.157511462333218</v>
      </c>
      <c r="T4" s="40">
        <f t="shared" ref="T4:T67" si="7">IFERROR(IF(AND($F4&lt;&gt;0,$G4&lt;&gt;0,$H4&lt;&gt;0),EXP($F4-$G4/(Q$2+$H4)),0),0)</f>
        <v>83.9597115089705</v>
      </c>
      <c r="U4" s="40">
        <f>R4/VLOOKUP(LARGE($L$3:$L$80,1),L$3:$W$80,7,FALSE)</f>
        <v>2.3028333000593748</v>
      </c>
      <c r="V4" s="40">
        <f t="shared" ref="V4:V67" si="8">S4/VLOOKUP(LARGE($L$3:$L$80,1),$L$3:$W$80,8,FALSE)</f>
        <v>2.6666085491373455</v>
      </c>
      <c r="W4" s="40">
        <f t="shared" ref="W4:W67" si="9">T4/VLOOKUP(LARGE($L$3:$L$80,1),$L$3:$W$80,9,FALSE)</f>
        <v>2.6893003986431192</v>
      </c>
      <c r="X4" s="42">
        <f t="shared" ref="X4:X67" si="10">(U4*V4*W4)^(1/3)</f>
        <v>2.5465587195759629</v>
      </c>
      <c r="Y4" s="29">
        <f>C4</f>
        <v>0.35</v>
      </c>
      <c r="Z4" s="39">
        <f>IFERROR((X4*M4)/(X4-$Z$2),0)</f>
        <v>0.7161068696052546</v>
      </c>
      <c r="AA4" s="41">
        <f t="shared" ref="AA4:AA67" si="11">IFERROR(X4*P4/(X4-$Z$2),0)</f>
        <v>1.1253107950939716</v>
      </c>
      <c r="AB4" s="10" t="s">
        <v>114</v>
      </c>
      <c r="AC4" s="10" t="s">
        <v>113</v>
      </c>
      <c r="AD4" s="36" t="s">
        <v>112</v>
      </c>
      <c r="AE4" s="45">
        <f t="shared" ref="AE4:AE67" si="12">IFERROR(100*(AI4/SUM($AI$3:$AI$80))/E4,0)</f>
        <v>6.3428845373750785E-3</v>
      </c>
      <c r="AF4" s="43">
        <f t="shared" ref="AF4:AF67" si="13">IFERROR(100*(AJ4/SUM($AJ$3:$AJ$80))/E4,0)</f>
        <v>5.1026203057164606E-2</v>
      </c>
      <c r="AG4" s="44">
        <f t="shared" ref="AG4:AG67" si="14">IFERROR(100*(AK4/SUM($AK$3:$AK$80))/E4,0)</f>
        <v>8.9042836569685896E-2</v>
      </c>
      <c r="AH4" s="35">
        <v>86</v>
      </c>
      <c r="AI4" s="47">
        <f t="shared" ref="AI4:AI67" si="15">$O$12*L4*$AH4</f>
        <v>860.00000000000011</v>
      </c>
      <c r="AJ4" s="47">
        <f t="shared" ref="AJ4:AJ67" si="16">$O$8*M4*$AH4</f>
        <v>15050</v>
      </c>
      <c r="AK4" s="47">
        <f t="shared" ref="AK4:AK67" si="17">$O$10*P4*$AH4</f>
        <v>14190</v>
      </c>
      <c r="AL4" s="10" t="s">
        <v>4</v>
      </c>
    </row>
    <row r="5" spans="1:38" ht="19.5" thickBot="1" x14ac:dyDescent="0.4">
      <c r="A5" s="10" t="s">
        <v>5</v>
      </c>
      <c r="B5" s="70">
        <v>0.65</v>
      </c>
      <c r="C5" s="70">
        <v>0.28999999999999998</v>
      </c>
      <c r="D5" s="70">
        <v>0.05</v>
      </c>
      <c r="E5" s="71">
        <v>684</v>
      </c>
      <c r="F5" s="71">
        <v>13.8622</v>
      </c>
      <c r="G5" s="71">
        <v>2910.26</v>
      </c>
      <c r="H5" s="71">
        <v>216.43199999999999</v>
      </c>
      <c r="I5" s="49">
        <f t="shared" si="0"/>
        <v>73.290283871998398</v>
      </c>
      <c r="J5" s="49">
        <f t="shared" si="1"/>
        <v>9.6960906888418279</v>
      </c>
      <c r="K5" s="49">
        <f t="shared" si="2"/>
        <v>1.6015421863114587E-3</v>
      </c>
      <c r="L5" s="49">
        <f t="shared" si="3"/>
        <v>0.65</v>
      </c>
      <c r="M5" s="51">
        <f t="shared" si="4"/>
        <v>0.28999999999999998</v>
      </c>
      <c r="N5" s="19" t="s">
        <v>97</v>
      </c>
      <c r="O5" s="16"/>
      <c r="P5" s="55">
        <f>IF(D5&lt;&gt;0,D5,(C5*$O$8-B5*$O$12)/$O$10)</f>
        <v>0.05</v>
      </c>
      <c r="Q5" s="26">
        <f t="shared" ref="Q5:Q68" si="18">B5</f>
        <v>0.65</v>
      </c>
      <c r="R5" s="40">
        <f t="shared" si="5"/>
        <v>112.75428287999753</v>
      </c>
      <c r="S5" s="40">
        <f t="shared" si="6"/>
        <v>33.434795478764926</v>
      </c>
      <c r="T5" s="40">
        <f t="shared" si="7"/>
        <v>31.219908178101708</v>
      </c>
      <c r="U5" s="40">
        <f>R5/VLOOKUP(LARGE($L$3:$L$80,1),L$3:$W$80,7,FALSE)</f>
        <v>1</v>
      </c>
      <c r="V5" s="40">
        <f t="shared" si="8"/>
        <v>1</v>
      </c>
      <c r="W5" s="40">
        <f t="shared" si="9"/>
        <v>1</v>
      </c>
      <c r="X5" s="42">
        <f t="shared" si="10"/>
        <v>1</v>
      </c>
      <c r="Y5" s="29">
        <f t="shared" ref="Y5:Y68" si="19">C5</f>
        <v>0.28999999999999998</v>
      </c>
      <c r="Z5" s="39">
        <f t="shared" ref="Z5:Z67" si="20">IFERROR((X5*M5)/(X5-$Z$2),0)</f>
        <v>-0.96052473881462452</v>
      </c>
      <c r="AA5" s="41">
        <f t="shared" si="11"/>
        <v>-0.16560771358872839</v>
      </c>
      <c r="AB5" s="49">
        <f>10^(0.206*LOG10((O12/O10)*(VLOOKUP(LARGE(L3:L80,1),L3:M80,2,FALSE)/VLOOKUP(LARGE(P3:P80,1),P3:Y80,10,FALSE))*(VLOOKUP(LARGE(P3:P80,1),P3:Y80,1,FALSE)/VLOOKUP(LARGE(L3:L80,1),L3:P80,5,FALSE))^2))</f>
        <v>2.3765937865282414</v>
      </c>
      <c r="AC5" s="63">
        <f>(AE2+1)/(AB5+1)</f>
        <v>5.9231288287607953</v>
      </c>
      <c r="AD5" s="64">
        <f>AB5*AC5</f>
        <v>14.076871171239207</v>
      </c>
      <c r="AE5" s="46">
        <f t="shared" si="12"/>
        <v>9.1815690595248189E-2</v>
      </c>
      <c r="AF5" s="43">
        <f t="shared" si="13"/>
        <v>4.7077127269279873E-2</v>
      </c>
      <c r="AG5" s="44">
        <f t="shared" si="14"/>
        <v>9.0134913939184172E-3</v>
      </c>
      <c r="AH5" s="35">
        <v>100</v>
      </c>
      <c r="AI5" s="47">
        <f t="shared" si="15"/>
        <v>13000.000000000004</v>
      </c>
      <c r="AJ5" s="47">
        <f t="shared" si="16"/>
        <v>14500</v>
      </c>
      <c r="AK5" s="47">
        <f t="shared" si="17"/>
        <v>1500</v>
      </c>
      <c r="AL5" s="10" t="s">
        <v>5</v>
      </c>
    </row>
    <row r="6" spans="1:38" ht="19.5" customHeight="1" thickBot="1" x14ac:dyDescent="0.3">
      <c r="A6" s="10" t="s">
        <v>6</v>
      </c>
      <c r="B6" s="70">
        <v>0.3</v>
      </c>
      <c r="C6" s="70">
        <v>0.12</v>
      </c>
      <c r="D6" s="70">
        <v>0</v>
      </c>
      <c r="E6" s="71">
        <v>703</v>
      </c>
      <c r="F6" s="71">
        <v>13.9346</v>
      </c>
      <c r="G6" s="71">
        <v>3123.13</v>
      </c>
      <c r="H6" s="71">
        <v>209.63499999999999</v>
      </c>
      <c r="I6" s="49">
        <f t="shared" si="0"/>
        <v>15.05200292073344</v>
      </c>
      <c r="J6" s="49">
        <f t="shared" si="1"/>
        <v>1.5360546327370661</v>
      </c>
      <c r="K6" s="49">
        <f t="shared" si="2"/>
        <v>-1.9989228306006022E-18</v>
      </c>
      <c r="L6" s="49">
        <f t="shared" si="3"/>
        <v>0.3</v>
      </c>
      <c r="M6" s="51">
        <f t="shared" si="4"/>
        <v>0.12</v>
      </c>
      <c r="N6" s="18">
        <v>0.5</v>
      </c>
      <c r="O6" s="16"/>
      <c r="P6" s="55">
        <f t="shared" ref="P6:P67" si="21">IF(D6&lt;&gt;0,D6,(C6*$O$8-B6*$O$12)/$O$10)</f>
        <v>-2.3684757858670008E-17</v>
      </c>
      <c r="Q6" s="26">
        <f t="shared" si="18"/>
        <v>0.3</v>
      </c>
      <c r="R6" s="40">
        <f t="shared" si="5"/>
        <v>50.173343069111468</v>
      </c>
      <c r="S6" s="40">
        <f t="shared" si="6"/>
        <v>12.800455272808884</v>
      </c>
      <c r="T6" s="40">
        <f t="shared" si="7"/>
        <v>11.848760490445555</v>
      </c>
      <c r="U6" s="40">
        <f>R6/VLOOKUP(LARGE($L$3:$L$80,1),L$3:$W$80,7,FALSE)</f>
        <v>0.4449794880298259</v>
      </c>
      <c r="V6" s="40">
        <f t="shared" si="8"/>
        <v>0.3828483198271303</v>
      </c>
      <c r="W6" s="40">
        <f t="shared" si="9"/>
        <v>0.37952579561898014</v>
      </c>
      <c r="X6" s="42">
        <f t="shared" si="10"/>
        <v>0.40136177834828335</v>
      </c>
      <c r="Y6" s="29">
        <f t="shared" si="19"/>
        <v>0.12</v>
      </c>
      <c r="Z6" s="39">
        <f t="shared" si="20"/>
        <v>-5.3481832661325383E-2</v>
      </c>
      <c r="AA6" s="41">
        <f t="shared" si="11"/>
        <v>1.0555868803511671E-17</v>
      </c>
      <c r="AB6" s="80" t="str">
        <f>CONCATENATE("Alimentação no ",ROUNDDOWN(AD5,0),"° prato (a partir do topo)")</f>
        <v>Alimentação no 14° prato (a partir do topo)</v>
      </c>
      <c r="AC6" s="82" t="str">
        <f>CONCATENATE(ROUNDUP(AC5,0)+20," estágios de stripping           (",ROUNDDOWN(AC5,0)," pratos + 1 refervedor)")</f>
        <v>26 estágios de stripping           (5 pratos + 1 refervedor)</v>
      </c>
      <c r="AD6" s="84" t="str">
        <f>CONCATENATE(ROUNDDOWN(AD5,0)," estágios de retificação")</f>
        <v>14 estágios de retificação</v>
      </c>
      <c r="AE6" s="43">
        <f t="shared" si="12"/>
        <v>4.7003525264394823E-2</v>
      </c>
      <c r="AF6" s="43">
        <f t="shared" si="13"/>
        <v>2.1607216810414678E-2</v>
      </c>
      <c r="AG6" s="44">
        <f t="shared" si="14"/>
        <v>-4.7358465408744645E-18</v>
      </c>
      <c r="AH6" s="35">
        <v>114</v>
      </c>
      <c r="AI6" s="47">
        <f t="shared" si="15"/>
        <v>6840.0000000000009</v>
      </c>
      <c r="AJ6" s="47">
        <f t="shared" si="16"/>
        <v>6840</v>
      </c>
      <c r="AK6" s="47">
        <f t="shared" si="17"/>
        <v>-8.1001871876651421E-13</v>
      </c>
      <c r="AL6" s="10" t="s">
        <v>6</v>
      </c>
    </row>
    <row r="7" spans="1:38" ht="19.5" customHeight="1" thickBot="1" x14ac:dyDescent="0.3">
      <c r="A7" s="10" t="s">
        <v>7</v>
      </c>
      <c r="B7" s="70"/>
      <c r="C7" s="70"/>
      <c r="D7" s="70"/>
      <c r="E7" s="71"/>
      <c r="F7" s="71"/>
      <c r="G7" s="71"/>
      <c r="H7" s="71"/>
      <c r="I7" s="49">
        <f t="shared" si="0"/>
        <v>0</v>
      </c>
      <c r="J7" s="49">
        <f t="shared" si="1"/>
        <v>0</v>
      </c>
      <c r="K7" s="49">
        <f t="shared" si="2"/>
        <v>0</v>
      </c>
      <c r="L7" s="49">
        <f t="shared" si="3"/>
        <v>0</v>
      </c>
      <c r="M7" s="51">
        <f t="shared" si="4"/>
        <v>0</v>
      </c>
      <c r="N7" s="17" t="s">
        <v>100</v>
      </c>
      <c r="O7" s="23" t="s">
        <v>100</v>
      </c>
      <c r="P7" s="55">
        <f t="shared" si="21"/>
        <v>0</v>
      </c>
      <c r="Q7" s="26">
        <f t="shared" si="18"/>
        <v>0</v>
      </c>
      <c r="R7" s="40">
        <f t="shared" si="5"/>
        <v>0</v>
      </c>
      <c r="S7" s="40">
        <f t="shared" si="6"/>
        <v>0</v>
      </c>
      <c r="T7" s="40">
        <f t="shared" si="7"/>
        <v>0</v>
      </c>
      <c r="U7" s="40">
        <f>R7/VLOOKUP(LARGE($L$3:$L$80,1),L$3:$W$80,7,FALSE)</f>
        <v>0</v>
      </c>
      <c r="V7" s="40">
        <f t="shared" si="8"/>
        <v>0</v>
      </c>
      <c r="W7" s="40">
        <f t="shared" si="9"/>
        <v>0</v>
      </c>
      <c r="X7" s="42">
        <f t="shared" si="10"/>
        <v>0</v>
      </c>
      <c r="Y7" s="29">
        <f t="shared" si="19"/>
        <v>0</v>
      </c>
      <c r="Z7" s="39">
        <f t="shared" si="20"/>
        <v>0</v>
      </c>
      <c r="AA7" s="41">
        <f t="shared" si="11"/>
        <v>0</v>
      </c>
      <c r="AB7" s="80"/>
      <c r="AC7" s="82"/>
      <c r="AD7" s="84"/>
      <c r="AE7" s="43">
        <f t="shared" si="12"/>
        <v>0</v>
      </c>
      <c r="AF7" s="43">
        <f t="shared" si="13"/>
        <v>0</v>
      </c>
      <c r="AG7" s="44">
        <f t="shared" si="14"/>
        <v>0</v>
      </c>
      <c r="AH7" s="35"/>
      <c r="AI7" s="47">
        <f t="shared" si="15"/>
        <v>0</v>
      </c>
      <c r="AJ7" s="47">
        <f t="shared" si="16"/>
        <v>0</v>
      </c>
      <c r="AK7" s="47">
        <f t="shared" si="17"/>
        <v>0</v>
      </c>
      <c r="AL7" s="10" t="s">
        <v>7</v>
      </c>
    </row>
    <row r="8" spans="1:38" ht="19.5" customHeight="1" thickBot="1" x14ac:dyDescent="0.3">
      <c r="A8" s="10" t="s">
        <v>8</v>
      </c>
      <c r="B8" s="70"/>
      <c r="C8" s="70"/>
      <c r="D8" s="70"/>
      <c r="E8" s="71"/>
      <c r="F8" s="71"/>
      <c r="G8" s="71"/>
      <c r="H8" s="71"/>
      <c r="I8" s="49">
        <f t="shared" si="0"/>
        <v>0</v>
      </c>
      <c r="J8" s="49">
        <f t="shared" si="1"/>
        <v>0</v>
      </c>
      <c r="K8" s="49">
        <f t="shared" si="2"/>
        <v>0</v>
      </c>
      <c r="L8" s="49">
        <f t="shared" si="3"/>
        <v>0</v>
      </c>
      <c r="M8" s="51">
        <f t="shared" si="4"/>
        <v>0</v>
      </c>
      <c r="N8" s="18">
        <v>500</v>
      </c>
      <c r="O8" s="56">
        <f>IF(N8&lt;&gt;0,N8,IF(COUNT(N7:N12)=2,O10+O12,IF(N10&lt;&gt;0,N10*(B3-D3)/(B3-C3),N12*(D3-B3)/(D3-C3))))</f>
        <v>500</v>
      </c>
      <c r="P8" s="55">
        <f t="shared" si="21"/>
        <v>0</v>
      </c>
      <c r="Q8" s="26">
        <f t="shared" si="18"/>
        <v>0</v>
      </c>
      <c r="R8" s="40">
        <f t="shared" si="5"/>
        <v>0</v>
      </c>
      <c r="S8" s="40">
        <f t="shared" si="6"/>
        <v>0</v>
      </c>
      <c r="T8" s="40">
        <f t="shared" si="7"/>
        <v>0</v>
      </c>
      <c r="U8" s="40">
        <f>R8/VLOOKUP(LARGE($L$3:$L$80,1),L$3:$W$80,7,FALSE)</f>
        <v>0</v>
      </c>
      <c r="V8" s="40">
        <f t="shared" si="8"/>
        <v>0</v>
      </c>
      <c r="W8" s="40">
        <f t="shared" si="9"/>
        <v>0</v>
      </c>
      <c r="X8" s="42">
        <f t="shared" si="10"/>
        <v>0</v>
      </c>
      <c r="Y8" s="29">
        <f t="shared" si="19"/>
        <v>0</v>
      </c>
      <c r="Z8" s="39">
        <f t="shared" si="20"/>
        <v>0</v>
      </c>
      <c r="AA8" s="41">
        <f t="shared" si="11"/>
        <v>0</v>
      </c>
      <c r="AB8" s="80"/>
      <c r="AC8" s="82"/>
      <c r="AD8" s="84"/>
      <c r="AE8" s="43">
        <f t="shared" si="12"/>
        <v>0</v>
      </c>
      <c r="AF8" s="43">
        <f t="shared" si="13"/>
        <v>0</v>
      </c>
      <c r="AG8" s="44">
        <f t="shared" si="14"/>
        <v>0</v>
      </c>
      <c r="AH8" s="35"/>
      <c r="AI8" s="47">
        <f t="shared" si="15"/>
        <v>0</v>
      </c>
      <c r="AJ8" s="47">
        <f t="shared" si="16"/>
        <v>0</v>
      </c>
      <c r="AK8" s="47">
        <f t="shared" si="17"/>
        <v>0</v>
      </c>
      <c r="AL8" s="10" t="s">
        <v>8</v>
      </c>
    </row>
    <row r="9" spans="1:38" ht="19.5" customHeight="1" thickBot="1" x14ac:dyDescent="0.3">
      <c r="A9" s="10" t="s">
        <v>9</v>
      </c>
      <c r="B9" s="70"/>
      <c r="C9" s="70"/>
      <c r="D9" s="70"/>
      <c r="E9" s="71"/>
      <c r="F9" s="71"/>
      <c r="G9" s="71"/>
      <c r="H9" s="71"/>
      <c r="I9" s="49">
        <f t="shared" si="0"/>
        <v>0</v>
      </c>
      <c r="J9" s="49">
        <f t="shared" si="1"/>
        <v>0</v>
      </c>
      <c r="K9" s="49">
        <f t="shared" si="2"/>
        <v>0</v>
      </c>
      <c r="L9" s="49">
        <f t="shared" si="3"/>
        <v>0</v>
      </c>
      <c r="M9" s="51">
        <f t="shared" si="4"/>
        <v>0</v>
      </c>
      <c r="N9" s="17" t="s">
        <v>101</v>
      </c>
      <c r="O9" s="24" t="s">
        <v>101</v>
      </c>
      <c r="P9" s="55">
        <f t="shared" si="21"/>
        <v>0</v>
      </c>
      <c r="Q9" s="26">
        <f t="shared" si="18"/>
        <v>0</v>
      </c>
      <c r="R9" s="40">
        <f t="shared" si="5"/>
        <v>0</v>
      </c>
      <c r="S9" s="40">
        <f t="shared" si="6"/>
        <v>0</v>
      </c>
      <c r="T9" s="40">
        <f t="shared" si="7"/>
        <v>0</v>
      </c>
      <c r="U9" s="40">
        <f>R9/VLOOKUP(LARGE($L$3:$L$80,1),L$3:$W$80,7,FALSE)</f>
        <v>0</v>
      </c>
      <c r="V9" s="40">
        <f t="shared" si="8"/>
        <v>0</v>
      </c>
      <c r="W9" s="40">
        <f t="shared" si="9"/>
        <v>0</v>
      </c>
      <c r="X9" s="42">
        <f t="shared" si="10"/>
        <v>0</v>
      </c>
      <c r="Y9" s="29">
        <f t="shared" si="19"/>
        <v>0</v>
      </c>
      <c r="Z9" s="39">
        <f t="shared" si="20"/>
        <v>0</v>
      </c>
      <c r="AA9" s="41">
        <f t="shared" si="11"/>
        <v>0</v>
      </c>
      <c r="AB9" s="81"/>
      <c r="AC9" s="83"/>
      <c r="AD9" s="85"/>
      <c r="AE9" s="43">
        <f t="shared" si="12"/>
        <v>0</v>
      </c>
      <c r="AF9" s="43">
        <f t="shared" si="13"/>
        <v>0</v>
      </c>
      <c r="AG9" s="44">
        <f t="shared" si="14"/>
        <v>0</v>
      </c>
      <c r="AH9" s="35"/>
      <c r="AI9" s="47">
        <f t="shared" si="15"/>
        <v>0</v>
      </c>
      <c r="AJ9" s="47">
        <f t="shared" si="16"/>
        <v>0</v>
      </c>
      <c r="AK9" s="47">
        <f t="shared" si="17"/>
        <v>0</v>
      </c>
      <c r="AL9" s="10" t="s">
        <v>9</v>
      </c>
    </row>
    <row r="10" spans="1:38" ht="19.5" customHeight="1" thickBot="1" x14ac:dyDescent="0.4">
      <c r="A10" s="10" t="s">
        <v>10</v>
      </c>
      <c r="B10" s="70"/>
      <c r="C10" s="70"/>
      <c r="D10" s="70"/>
      <c r="E10" s="71"/>
      <c r="F10" s="71"/>
      <c r="G10" s="71"/>
      <c r="H10" s="71"/>
      <c r="I10" s="49">
        <f t="shared" si="0"/>
        <v>0</v>
      </c>
      <c r="J10" s="49">
        <f t="shared" si="1"/>
        <v>0</v>
      </c>
      <c r="K10" s="49">
        <f t="shared" si="2"/>
        <v>0</v>
      </c>
      <c r="L10" s="49">
        <f t="shared" si="3"/>
        <v>0</v>
      </c>
      <c r="M10" s="51">
        <f t="shared" si="4"/>
        <v>0</v>
      </c>
      <c r="N10" s="18"/>
      <c r="O10" s="56">
        <f>IF(N10&lt;&gt;0,N10,IF(COUNT(N7:N12)=2,N8-N12,IF(N8&lt;&gt;0,N8*(B3-C3)/(B3-D3),N12*(B3-C3)/(C3-D3))))</f>
        <v>300</v>
      </c>
      <c r="P10" s="55">
        <f t="shared" si="21"/>
        <v>0</v>
      </c>
      <c r="Q10" s="26">
        <f t="shared" si="18"/>
        <v>0</v>
      </c>
      <c r="R10" s="40">
        <f t="shared" si="5"/>
        <v>0</v>
      </c>
      <c r="S10" s="40">
        <f t="shared" si="6"/>
        <v>0</v>
      </c>
      <c r="T10" s="40">
        <f t="shared" si="7"/>
        <v>0</v>
      </c>
      <c r="U10" s="40">
        <f>R10/VLOOKUP(LARGE($L$3:$L$80,1),L$3:$W$80,7,FALSE)</f>
        <v>0</v>
      </c>
      <c r="V10" s="40">
        <f t="shared" si="8"/>
        <v>0</v>
      </c>
      <c r="W10" s="40">
        <f t="shared" si="9"/>
        <v>0</v>
      </c>
      <c r="X10" s="42">
        <f t="shared" si="10"/>
        <v>0</v>
      </c>
      <c r="Y10" s="29">
        <f t="shared" si="19"/>
        <v>0</v>
      </c>
      <c r="Z10" s="39">
        <f t="shared" si="20"/>
        <v>0</v>
      </c>
      <c r="AA10" s="41">
        <f t="shared" si="11"/>
        <v>0</v>
      </c>
      <c r="AB10" s="30" t="s">
        <v>117</v>
      </c>
      <c r="AC10" s="30" t="s">
        <v>118</v>
      </c>
      <c r="AD10" s="31" t="s">
        <v>119</v>
      </c>
      <c r="AE10" s="43">
        <f t="shared" si="12"/>
        <v>0</v>
      </c>
      <c r="AF10" s="43">
        <f t="shared" si="13"/>
        <v>0</v>
      </c>
      <c r="AG10" s="44">
        <f t="shared" si="14"/>
        <v>0</v>
      </c>
      <c r="AH10" s="35"/>
      <c r="AI10" s="47">
        <f t="shared" si="15"/>
        <v>0</v>
      </c>
      <c r="AJ10" s="47">
        <f t="shared" si="16"/>
        <v>0</v>
      </c>
      <c r="AK10" s="47">
        <f t="shared" si="17"/>
        <v>0</v>
      </c>
      <c r="AL10" s="10" t="s">
        <v>10</v>
      </c>
    </row>
    <row r="11" spans="1:38" ht="19.5" customHeight="1" thickBot="1" x14ac:dyDescent="0.3">
      <c r="A11" s="10" t="s">
        <v>11</v>
      </c>
      <c r="B11" s="70"/>
      <c r="C11" s="70"/>
      <c r="D11" s="70"/>
      <c r="E11" s="71"/>
      <c r="F11" s="71"/>
      <c r="G11" s="71"/>
      <c r="H11" s="71"/>
      <c r="I11" s="49">
        <f t="shared" si="0"/>
        <v>0</v>
      </c>
      <c r="J11" s="49">
        <f t="shared" si="1"/>
        <v>0</v>
      </c>
      <c r="K11" s="49">
        <f t="shared" si="2"/>
        <v>0</v>
      </c>
      <c r="L11" s="49">
        <f t="shared" si="3"/>
        <v>0</v>
      </c>
      <c r="M11" s="51">
        <f t="shared" si="4"/>
        <v>0</v>
      </c>
      <c r="N11" s="17" t="s">
        <v>102</v>
      </c>
      <c r="O11" s="24" t="s">
        <v>102</v>
      </c>
      <c r="P11" s="55">
        <f t="shared" si="21"/>
        <v>0</v>
      </c>
      <c r="Q11" s="26">
        <f t="shared" si="18"/>
        <v>0</v>
      </c>
      <c r="R11" s="40">
        <f t="shared" si="5"/>
        <v>0</v>
      </c>
      <c r="S11" s="40">
        <f t="shared" si="6"/>
        <v>0</v>
      </c>
      <c r="T11" s="40">
        <f t="shared" si="7"/>
        <v>0</v>
      </c>
      <c r="U11" s="40">
        <f>R11/VLOOKUP(LARGE($L$3:$L$80,1),L$3:$W$80,7,FALSE)</f>
        <v>0</v>
      </c>
      <c r="V11" s="40">
        <f t="shared" si="8"/>
        <v>0</v>
      </c>
      <c r="W11" s="40">
        <f t="shared" si="9"/>
        <v>0</v>
      </c>
      <c r="X11" s="42">
        <f t="shared" si="10"/>
        <v>0</v>
      </c>
      <c r="Y11" s="29">
        <f t="shared" si="19"/>
        <v>0</v>
      </c>
      <c r="Z11" s="39">
        <f>IFERROR((X11*M11)/(X11-$Z$2),0)</f>
        <v>0</v>
      </c>
      <c r="AA11" s="41">
        <f t="shared" si="11"/>
        <v>0</v>
      </c>
      <c r="AB11" s="63">
        <f>100/SUM(AE3:AE80)</f>
        <v>688.88504455708596</v>
      </c>
      <c r="AC11" s="63">
        <f>100/SUM(AF3:AF80)</f>
        <v>665.06589742242977</v>
      </c>
      <c r="AD11" s="65">
        <f t="shared" ref="AD11" si="22">100/SUM(AG3:AG80)</f>
        <v>646.06033332305867</v>
      </c>
      <c r="AE11" s="45">
        <f t="shared" si="12"/>
        <v>0</v>
      </c>
      <c r="AF11" s="43">
        <f t="shared" si="13"/>
        <v>0</v>
      </c>
      <c r="AG11" s="44">
        <f t="shared" si="14"/>
        <v>0</v>
      </c>
      <c r="AH11" s="35"/>
      <c r="AI11" s="47">
        <f t="shared" si="15"/>
        <v>0</v>
      </c>
      <c r="AJ11" s="47">
        <f t="shared" si="16"/>
        <v>0</v>
      </c>
      <c r="AK11" s="47">
        <f t="shared" si="17"/>
        <v>0</v>
      </c>
      <c r="AL11" s="10" t="s">
        <v>11</v>
      </c>
    </row>
    <row r="12" spans="1:38" ht="19.5" customHeight="1" thickBot="1" x14ac:dyDescent="0.4">
      <c r="A12" s="10" t="s">
        <v>12</v>
      </c>
      <c r="B12" s="70"/>
      <c r="C12" s="70"/>
      <c r="D12" s="70"/>
      <c r="E12" s="71"/>
      <c r="F12" s="71"/>
      <c r="G12" s="71"/>
      <c r="H12" s="71"/>
      <c r="I12" s="49">
        <f t="shared" si="0"/>
        <v>0</v>
      </c>
      <c r="J12" s="49">
        <f t="shared" si="1"/>
        <v>0</v>
      </c>
      <c r="K12" s="49">
        <f t="shared" si="2"/>
        <v>0</v>
      </c>
      <c r="L12" s="49">
        <f t="shared" si="3"/>
        <v>0</v>
      </c>
      <c r="M12" s="51">
        <f t="shared" si="4"/>
        <v>0</v>
      </c>
      <c r="N12" s="18"/>
      <c r="O12" s="56">
        <f>IF(N12&lt;&gt;0,N12,IF(COUNT(N7:N12)=2,N8-N10,IF(N8&lt;&gt;0,N8*(D3-C3)/(D3-B3),N10*(D3-C3)/(C3-B3))))</f>
        <v>200.00000000000003</v>
      </c>
      <c r="P12" s="55">
        <f t="shared" si="21"/>
        <v>0</v>
      </c>
      <c r="Q12" s="26">
        <f t="shared" si="18"/>
        <v>0</v>
      </c>
      <c r="R12" s="40">
        <f t="shared" si="5"/>
        <v>0</v>
      </c>
      <c r="S12" s="40">
        <f t="shared" si="6"/>
        <v>0</v>
      </c>
      <c r="T12" s="40">
        <f t="shared" si="7"/>
        <v>0</v>
      </c>
      <c r="U12" s="40">
        <f>R12/VLOOKUP(LARGE($L$3:$L$80,1),L$3:$W$80,7,FALSE)</f>
        <v>0</v>
      </c>
      <c r="V12" s="40">
        <f t="shared" si="8"/>
        <v>0</v>
      </c>
      <c r="W12" s="40">
        <f t="shared" si="9"/>
        <v>0</v>
      </c>
      <c r="X12" s="42">
        <f t="shared" si="10"/>
        <v>0</v>
      </c>
      <c r="Y12" s="29">
        <f t="shared" si="19"/>
        <v>0</v>
      </c>
      <c r="Z12" s="39">
        <f t="shared" si="20"/>
        <v>0</v>
      </c>
      <c r="AA12" s="41">
        <f t="shared" si="11"/>
        <v>0</v>
      </c>
      <c r="AB12" s="10" t="s">
        <v>129</v>
      </c>
      <c r="AC12" s="10" t="s">
        <v>130</v>
      </c>
      <c r="AD12" s="36" t="s">
        <v>131</v>
      </c>
      <c r="AE12" s="43">
        <f t="shared" si="12"/>
        <v>0</v>
      </c>
      <c r="AF12" s="43">
        <f t="shared" si="13"/>
        <v>0</v>
      </c>
      <c r="AG12" s="44">
        <f t="shared" si="14"/>
        <v>0</v>
      </c>
      <c r="AH12" s="35"/>
      <c r="AI12" s="47">
        <f t="shared" si="15"/>
        <v>0</v>
      </c>
      <c r="AJ12" s="47">
        <f t="shared" si="16"/>
        <v>0</v>
      </c>
      <c r="AK12" s="47">
        <f t="shared" si="17"/>
        <v>0</v>
      </c>
      <c r="AL12" s="10" t="s">
        <v>12</v>
      </c>
    </row>
    <row r="13" spans="1:38" ht="19.5" customHeight="1" x14ac:dyDescent="0.25">
      <c r="A13" s="10" t="s">
        <v>13</v>
      </c>
      <c r="B13" s="70"/>
      <c r="C13" s="70"/>
      <c r="D13" s="70"/>
      <c r="E13" s="71"/>
      <c r="F13" s="71"/>
      <c r="G13" s="71"/>
      <c r="H13" s="71"/>
      <c r="I13" s="49">
        <f t="shared" si="0"/>
        <v>0</v>
      </c>
      <c r="J13" s="49">
        <f t="shared" si="1"/>
        <v>0</v>
      </c>
      <c r="K13" s="49">
        <f t="shared" si="2"/>
        <v>0</v>
      </c>
      <c r="L13" s="49">
        <f t="shared" si="3"/>
        <v>0</v>
      </c>
      <c r="M13" s="51">
        <f t="shared" si="4"/>
        <v>0</v>
      </c>
      <c r="O13" s="16"/>
      <c r="P13" s="55">
        <f t="shared" si="21"/>
        <v>0</v>
      </c>
      <c r="Q13" s="26">
        <f t="shared" si="18"/>
        <v>0</v>
      </c>
      <c r="R13" s="40">
        <f t="shared" si="5"/>
        <v>0</v>
      </c>
      <c r="S13" s="40">
        <f t="shared" si="6"/>
        <v>0</v>
      </c>
      <c r="T13" s="40">
        <f t="shared" si="7"/>
        <v>0</v>
      </c>
      <c r="U13" s="40">
        <f>R13/VLOOKUP(LARGE($L$3:$L$80,1),L$3:$W$80,7,FALSE)</f>
        <v>0</v>
      </c>
      <c r="V13" s="40">
        <f t="shared" si="8"/>
        <v>0</v>
      </c>
      <c r="W13" s="40">
        <f t="shared" si="9"/>
        <v>0</v>
      </c>
      <c r="X13" s="42">
        <f t="shared" si="10"/>
        <v>0</v>
      </c>
      <c r="Y13" s="29">
        <f t="shared" si="19"/>
        <v>0</v>
      </c>
      <c r="Z13" s="39">
        <f t="shared" si="20"/>
        <v>0</v>
      </c>
      <c r="AA13" s="41">
        <f t="shared" si="11"/>
        <v>0</v>
      </c>
      <c r="AB13" s="63">
        <f>SUM(AI3:AI80)/O12</f>
        <v>103.5</v>
      </c>
      <c r="AC13" s="63">
        <f>SUM(AJ3:AJ80)/O8</f>
        <v>90.06</v>
      </c>
      <c r="AD13" s="63">
        <f>SUM(AK3:AK80)/O10</f>
        <v>81.099999999999994</v>
      </c>
      <c r="AE13" s="45">
        <f t="shared" si="12"/>
        <v>0</v>
      </c>
      <c r="AF13" s="43">
        <f t="shared" si="13"/>
        <v>0</v>
      </c>
      <c r="AG13" s="44">
        <f t="shared" si="14"/>
        <v>0</v>
      </c>
      <c r="AH13" s="35"/>
      <c r="AI13" s="47">
        <f t="shared" si="15"/>
        <v>0</v>
      </c>
      <c r="AJ13" s="47">
        <f t="shared" si="16"/>
        <v>0</v>
      </c>
      <c r="AK13" s="47">
        <f t="shared" si="17"/>
        <v>0</v>
      </c>
      <c r="AL13" s="10" t="s">
        <v>13</v>
      </c>
    </row>
    <row r="14" spans="1:38" ht="19.5" customHeight="1" x14ac:dyDescent="0.35">
      <c r="A14" s="10" t="s">
        <v>14</v>
      </c>
      <c r="B14" s="70"/>
      <c r="C14" s="70"/>
      <c r="D14" s="70"/>
      <c r="E14" s="71"/>
      <c r="F14" s="71"/>
      <c r="G14" s="71"/>
      <c r="H14" s="71"/>
      <c r="I14" s="49">
        <f t="shared" si="0"/>
        <v>0</v>
      </c>
      <c r="J14" s="49">
        <f t="shared" si="1"/>
        <v>0</v>
      </c>
      <c r="K14" s="49">
        <f t="shared" si="2"/>
        <v>0</v>
      </c>
      <c r="L14" s="49">
        <f t="shared" si="3"/>
        <v>0</v>
      </c>
      <c r="M14" s="51">
        <f t="shared" si="4"/>
        <v>0</v>
      </c>
      <c r="O14" s="16"/>
      <c r="P14" s="55">
        <f t="shared" si="21"/>
        <v>0</v>
      </c>
      <c r="Q14" s="26">
        <f t="shared" si="18"/>
        <v>0</v>
      </c>
      <c r="R14" s="40">
        <f t="shared" si="5"/>
        <v>0</v>
      </c>
      <c r="S14" s="40">
        <f t="shared" si="6"/>
        <v>0</v>
      </c>
      <c r="T14" s="40">
        <f t="shared" si="7"/>
        <v>0</v>
      </c>
      <c r="U14" s="40">
        <f>R14/VLOOKUP(LARGE($L$3:$L$80,1),L$3:$W$80,7,FALSE)</f>
        <v>0</v>
      </c>
      <c r="V14" s="40">
        <f t="shared" si="8"/>
        <v>0</v>
      </c>
      <c r="W14" s="40">
        <f t="shared" si="9"/>
        <v>0</v>
      </c>
      <c r="X14" s="42">
        <f t="shared" si="10"/>
        <v>0</v>
      </c>
      <c r="Y14" s="29">
        <f t="shared" si="19"/>
        <v>0</v>
      </c>
      <c r="Z14" s="39">
        <f t="shared" si="20"/>
        <v>0</v>
      </c>
      <c r="AA14" s="41">
        <f t="shared" si="11"/>
        <v>0</v>
      </c>
      <c r="AB14" s="10" t="s">
        <v>132</v>
      </c>
      <c r="AC14" s="10" t="s">
        <v>133</v>
      </c>
      <c r="AD14" s="37" t="s">
        <v>134</v>
      </c>
      <c r="AE14" s="43">
        <f t="shared" si="12"/>
        <v>0</v>
      </c>
      <c r="AF14" s="43">
        <f t="shared" si="13"/>
        <v>0</v>
      </c>
      <c r="AG14" s="44">
        <f t="shared" si="14"/>
        <v>0</v>
      </c>
      <c r="AH14" s="35"/>
      <c r="AI14" s="47">
        <f t="shared" si="15"/>
        <v>0</v>
      </c>
      <c r="AJ14" s="47">
        <f t="shared" si="16"/>
        <v>0</v>
      </c>
      <c r="AK14" s="47">
        <f t="shared" si="17"/>
        <v>0</v>
      </c>
      <c r="AL14" s="10" t="s">
        <v>14</v>
      </c>
    </row>
    <row r="15" spans="1:38" ht="19.5" customHeight="1" x14ac:dyDescent="0.25">
      <c r="A15" s="10" t="s">
        <v>15</v>
      </c>
      <c r="B15" s="70"/>
      <c r="C15" s="70"/>
      <c r="D15" s="70"/>
      <c r="E15" s="71"/>
      <c r="F15" s="71"/>
      <c r="G15" s="71"/>
      <c r="H15" s="71"/>
      <c r="I15" s="49">
        <f t="shared" si="0"/>
        <v>0</v>
      </c>
      <c r="J15" s="49">
        <f t="shared" si="1"/>
        <v>0</v>
      </c>
      <c r="K15" s="49">
        <f t="shared" si="2"/>
        <v>0</v>
      </c>
      <c r="L15" s="49">
        <f t="shared" si="3"/>
        <v>0</v>
      </c>
      <c r="M15" s="51">
        <f t="shared" si="4"/>
        <v>0</v>
      </c>
      <c r="O15" s="16"/>
      <c r="P15" s="55">
        <f t="shared" si="21"/>
        <v>0</v>
      </c>
      <c r="Q15" s="26">
        <f t="shared" si="18"/>
        <v>0</v>
      </c>
      <c r="R15" s="40">
        <f t="shared" si="5"/>
        <v>0</v>
      </c>
      <c r="S15" s="40">
        <f t="shared" si="6"/>
        <v>0</v>
      </c>
      <c r="T15" s="40">
        <f t="shared" si="7"/>
        <v>0</v>
      </c>
      <c r="U15" s="40">
        <f>R15/VLOOKUP(LARGE($L$3:$L$80,1),L$3:$W$80,7,FALSE)</f>
        <v>0</v>
      </c>
      <c r="V15" s="40">
        <f t="shared" si="8"/>
        <v>0</v>
      </c>
      <c r="W15" s="40">
        <f t="shared" si="9"/>
        <v>0</v>
      </c>
      <c r="X15" s="42">
        <f t="shared" si="10"/>
        <v>0</v>
      </c>
      <c r="Y15" s="29">
        <f t="shared" si="19"/>
        <v>0</v>
      </c>
      <c r="Z15" s="39">
        <f t="shared" si="20"/>
        <v>0</v>
      </c>
      <c r="AA15" s="41">
        <f t="shared" si="11"/>
        <v>0</v>
      </c>
      <c r="AB15" s="63">
        <f>(L2/101.325)*((AD13+AB13)/2)/(0.08206*((O2+Q2)/2+273.15))</f>
        <v>3.1630004284698754</v>
      </c>
      <c r="AC15" s="63">
        <f>(-0.171*N4^2+0.27*N4-0.047)*(((AD11+AB11)/2-AB15)/AB15)^0.5</f>
        <v>0.65577408683451544</v>
      </c>
      <c r="AD15" s="64">
        <f>O10*(AB2+1)</f>
        <v>573.72117674847925</v>
      </c>
      <c r="AE15" s="43">
        <f t="shared" si="12"/>
        <v>0</v>
      </c>
      <c r="AF15" s="43">
        <f t="shared" si="13"/>
        <v>0</v>
      </c>
      <c r="AG15" s="44">
        <f t="shared" si="14"/>
        <v>0</v>
      </c>
      <c r="AH15" s="35"/>
      <c r="AI15" s="47">
        <f t="shared" si="15"/>
        <v>0</v>
      </c>
      <c r="AJ15" s="47">
        <f t="shared" si="16"/>
        <v>0</v>
      </c>
      <c r="AK15" s="47">
        <f t="shared" si="17"/>
        <v>0</v>
      </c>
      <c r="AL15" s="10" t="s">
        <v>15</v>
      </c>
    </row>
    <row r="16" spans="1:38" ht="19.5" customHeight="1" x14ac:dyDescent="0.35">
      <c r="A16" s="10" t="s">
        <v>16</v>
      </c>
      <c r="B16" s="70"/>
      <c r="C16" s="70"/>
      <c r="D16" s="70"/>
      <c r="E16" s="71"/>
      <c r="F16" s="71"/>
      <c r="G16" s="71"/>
      <c r="H16" s="71"/>
      <c r="I16" s="49">
        <f t="shared" si="0"/>
        <v>0</v>
      </c>
      <c r="J16" s="49">
        <f t="shared" si="1"/>
        <v>0</v>
      </c>
      <c r="K16" s="49">
        <f t="shared" si="2"/>
        <v>0</v>
      </c>
      <c r="L16" s="49">
        <f t="shared" si="3"/>
        <v>0</v>
      </c>
      <c r="M16" s="51">
        <f t="shared" si="4"/>
        <v>0</v>
      </c>
      <c r="O16" s="16"/>
      <c r="P16" s="55">
        <f t="shared" si="21"/>
        <v>0</v>
      </c>
      <c r="Q16" s="26">
        <f t="shared" si="18"/>
        <v>0</v>
      </c>
      <c r="R16" s="40">
        <f t="shared" si="5"/>
        <v>0</v>
      </c>
      <c r="S16" s="40">
        <f t="shared" si="6"/>
        <v>0</v>
      </c>
      <c r="T16" s="40">
        <f>IFERROR(IF(AND(#REF!&lt;&gt;0,$G16&lt;&gt;0,$H16&lt;&gt;0),EXP(#REF!-$G16/(Q$2+$H16)),0),0)</f>
        <v>0</v>
      </c>
      <c r="U16" s="40">
        <f>R16/VLOOKUP(LARGE($L$3:$L$80,1),L$3:$W$80,7,FALSE)</f>
        <v>0</v>
      </c>
      <c r="V16" s="40">
        <f t="shared" si="8"/>
        <v>0</v>
      </c>
      <c r="W16" s="40">
        <f t="shared" si="9"/>
        <v>0</v>
      </c>
      <c r="X16" s="42">
        <f t="shared" si="10"/>
        <v>0</v>
      </c>
      <c r="Y16" s="29">
        <f t="shared" si="19"/>
        <v>0</v>
      </c>
      <c r="Z16" s="39">
        <f t="shared" si="20"/>
        <v>0</v>
      </c>
      <c r="AA16" s="41">
        <f t="shared" si="11"/>
        <v>0</v>
      </c>
      <c r="AB16" s="10" t="s">
        <v>135</v>
      </c>
      <c r="AC16" s="10" t="s">
        <v>136</v>
      </c>
      <c r="AD16" s="36" t="s">
        <v>139</v>
      </c>
      <c r="AE16" s="43">
        <f t="shared" si="12"/>
        <v>0</v>
      </c>
      <c r="AF16" s="43">
        <f t="shared" si="13"/>
        <v>0</v>
      </c>
      <c r="AG16" s="44">
        <f t="shared" si="14"/>
        <v>0</v>
      </c>
      <c r="AH16" s="35"/>
      <c r="AI16" s="47">
        <f t="shared" si="15"/>
        <v>0</v>
      </c>
      <c r="AJ16" s="47">
        <f t="shared" si="16"/>
        <v>0</v>
      </c>
      <c r="AK16" s="47">
        <f t="shared" si="17"/>
        <v>0</v>
      </c>
      <c r="AL16" s="10" t="s">
        <v>16</v>
      </c>
    </row>
    <row r="17" spans="1:38" ht="19.5" customHeight="1" x14ac:dyDescent="0.25">
      <c r="A17" s="10" t="s">
        <v>17</v>
      </c>
      <c r="B17" s="70"/>
      <c r="C17" s="70"/>
      <c r="D17" s="70"/>
      <c r="E17" s="71"/>
      <c r="F17" s="71"/>
      <c r="G17" s="71"/>
      <c r="H17" s="71"/>
      <c r="I17" s="49">
        <f t="shared" si="0"/>
        <v>0</v>
      </c>
      <c r="J17" s="49">
        <f t="shared" si="1"/>
        <v>0</v>
      </c>
      <c r="K17" s="49">
        <f t="shared" si="2"/>
        <v>0</v>
      </c>
      <c r="L17" s="49">
        <f t="shared" si="3"/>
        <v>0</v>
      </c>
      <c r="M17" s="51">
        <f t="shared" si="4"/>
        <v>0</v>
      </c>
      <c r="O17" s="16"/>
      <c r="P17" s="55">
        <f t="shared" si="21"/>
        <v>0</v>
      </c>
      <c r="Q17" s="26">
        <f t="shared" si="18"/>
        <v>0</v>
      </c>
      <c r="R17" s="40">
        <f t="shared" si="5"/>
        <v>0</v>
      </c>
      <c r="S17" s="40">
        <f t="shared" si="6"/>
        <v>0</v>
      </c>
      <c r="T17" s="40">
        <f t="shared" si="7"/>
        <v>0</v>
      </c>
      <c r="U17" s="40">
        <f>R17/VLOOKUP(LARGE($L$3:$L$80,1),L$3:$W$80,7,FALSE)</f>
        <v>0</v>
      </c>
      <c r="V17" s="40">
        <f t="shared" si="8"/>
        <v>0</v>
      </c>
      <c r="W17" s="40">
        <f t="shared" si="9"/>
        <v>0</v>
      </c>
      <c r="X17" s="42">
        <f t="shared" si="10"/>
        <v>0</v>
      </c>
      <c r="Y17" s="29">
        <f t="shared" si="19"/>
        <v>0</v>
      </c>
      <c r="Z17" s="39">
        <f>IFERROR((X17*M17)/(X17-$Z$2),0)</f>
        <v>0</v>
      </c>
      <c r="AA17" s="41">
        <f t="shared" si="11"/>
        <v>0</v>
      </c>
      <c r="AB17" s="63">
        <f>(L2/101.325)*AD13/(0.08206*(Q2+273.15))</f>
        <v>2.9415222346818961</v>
      </c>
      <c r="AC17" s="63">
        <f>AD15*AD13/(AB17*3600)</f>
        <v>4.3938689375885724</v>
      </c>
      <c r="AD17" s="66">
        <f>(4*AC17/(PI()*AC15))^0.5</f>
        <v>2.920797732963019</v>
      </c>
      <c r="AE17" s="43">
        <f t="shared" si="12"/>
        <v>0</v>
      </c>
      <c r="AF17" s="43">
        <f t="shared" si="13"/>
        <v>0</v>
      </c>
      <c r="AG17" s="44">
        <f t="shared" si="14"/>
        <v>0</v>
      </c>
      <c r="AH17" s="35"/>
      <c r="AI17" s="47">
        <f t="shared" si="15"/>
        <v>0</v>
      </c>
      <c r="AJ17" s="47">
        <f t="shared" si="16"/>
        <v>0</v>
      </c>
      <c r="AK17" s="47">
        <f t="shared" si="17"/>
        <v>0</v>
      </c>
      <c r="AL17" s="10" t="s">
        <v>17</v>
      </c>
    </row>
    <row r="18" spans="1:38" ht="19.5" customHeight="1" x14ac:dyDescent="0.25">
      <c r="A18" s="10" t="s">
        <v>18</v>
      </c>
      <c r="B18" s="70"/>
      <c r="C18" s="70"/>
      <c r="D18" s="70"/>
      <c r="E18" s="71"/>
      <c r="F18" s="71"/>
      <c r="G18" s="71"/>
      <c r="H18" s="71"/>
      <c r="I18" s="49">
        <f t="shared" si="0"/>
        <v>0</v>
      </c>
      <c r="J18" s="49">
        <f t="shared" si="1"/>
        <v>0</v>
      </c>
      <c r="K18" s="49">
        <f t="shared" si="2"/>
        <v>0</v>
      </c>
      <c r="L18" s="49">
        <f t="shared" si="3"/>
        <v>0</v>
      </c>
      <c r="M18" s="51">
        <f t="shared" si="4"/>
        <v>0</v>
      </c>
      <c r="O18" s="16"/>
      <c r="P18" s="55">
        <f t="shared" si="21"/>
        <v>0</v>
      </c>
      <c r="Q18" s="26">
        <f t="shared" si="18"/>
        <v>0</v>
      </c>
      <c r="R18" s="40">
        <f t="shared" si="5"/>
        <v>0</v>
      </c>
      <c r="S18" s="40">
        <f t="shared" si="6"/>
        <v>0</v>
      </c>
      <c r="T18" s="40">
        <f t="shared" si="7"/>
        <v>0</v>
      </c>
      <c r="U18" s="40">
        <f>R18/VLOOKUP(LARGE($L$3:$L$80,1),L$3:$W$80,7,FALSE)</f>
        <v>0</v>
      </c>
      <c r="V18" s="40">
        <f t="shared" si="8"/>
        <v>0</v>
      </c>
      <c r="W18" s="40">
        <f t="shared" si="9"/>
        <v>0</v>
      </c>
      <c r="X18" s="42">
        <f t="shared" si="10"/>
        <v>0</v>
      </c>
      <c r="Y18" s="29">
        <f t="shared" si="19"/>
        <v>0</v>
      </c>
      <c r="Z18" s="39">
        <f t="shared" si="20"/>
        <v>0</v>
      </c>
      <c r="AA18" s="41">
        <f t="shared" si="11"/>
        <v>0</v>
      </c>
      <c r="AD18" s="16"/>
      <c r="AE18" s="43">
        <f t="shared" si="12"/>
        <v>0</v>
      </c>
      <c r="AF18" s="43">
        <f t="shared" si="13"/>
        <v>0</v>
      </c>
      <c r="AG18" s="44">
        <f t="shared" si="14"/>
        <v>0</v>
      </c>
      <c r="AH18" s="35"/>
      <c r="AI18" s="47">
        <f t="shared" si="15"/>
        <v>0</v>
      </c>
      <c r="AJ18" s="47">
        <f t="shared" si="16"/>
        <v>0</v>
      </c>
      <c r="AK18" s="47">
        <f t="shared" si="17"/>
        <v>0</v>
      </c>
      <c r="AL18" s="10" t="s">
        <v>18</v>
      </c>
    </row>
    <row r="19" spans="1:38" ht="19.5" customHeight="1" x14ac:dyDescent="0.25">
      <c r="A19" s="10" t="s">
        <v>19</v>
      </c>
      <c r="B19" s="70"/>
      <c r="C19" s="70"/>
      <c r="D19" s="70"/>
      <c r="E19" s="71"/>
      <c r="F19" s="71"/>
      <c r="G19" s="71"/>
      <c r="H19" s="71"/>
      <c r="I19" s="49">
        <f t="shared" si="0"/>
        <v>0</v>
      </c>
      <c r="J19" s="49">
        <f t="shared" si="1"/>
        <v>0</v>
      </c>
      <c r="K19" s="49">
        <f t="shared" si="2"/>
        <v>0</v>
      </c>
      <c r="L19" s="49">
        <f t="shared" si="3"/>
        <v>0</v>
      </c>
      <c r="M19" s="51">
        <f t="shared" si="4"/>
        <v>0</v>
      </c>
      <c r="O19" s="16"/>
      <c r="P19" s="55">
        <f t="shared" si="21"/>
        <v>0</v>
      </c>
      <c r="Q19" s="26">
        <f t="shared" si="18"/>
        <v>0</v>
      </c>
      <c r="R19" s="40">
        <f t="shared" si="5"/>
        <v>0</v>
      </c>
      <c r="S19" s="40">
        <f t="shared" si="6"/>
        <v>0</v>
      </c>
      <c r="T19" s="40">
        <f t="shared" si="7"/>
        <v>0</v>
      </c>
      <c r="U19" s="40">
        <f>R19/VLOOKUP(LARGE($L$3:$L$80,1),L$3:$W$80,7,FALSE)</f>
        <v>0</v>
      </c>
      <c r="V19" s="40">
        <f t="shared" si="8"/>
        <v>0</v>
      </c>
      <c r="W19" s="40">
        <f t="shared" si="9"/>
        <v>0</v>
      </c>
      <c r="X19" s="42">
        <f t="shared" si="10"/>
        <v>0</v>
      </c>
      <c r="Y19" s="29">
        <f t="shared" si="19"/>
        <v>0</v>
      </c>
      <c r="Z19" s="39">
        <f t="shared" si="20"/>
        <v>0</v>
      </c>
      <c r="AA19" s="41">
        <f t="shared" si="11"/>
        <v>0</v>
      </c>
      <c r="AD19" s="16"/>
      <c r="AE19" s="43">
        <f t="shared" si="12"/>
        <v>0</v>
      </c>
      <c r="AF19" s="43">
        <f t="shared" si="13"/>
        <v>0</v>
      </c>
      <c r="AG19" s="44">
        <f t="shared" si="14"/>
        <v>0</v>
      </c>
      <c r="AH19" s="35"/>
      <c r="AI19" s="47">
        <f t="shared" si="15"/>
        <v>0</v>
      </c>
      <c r="AJ19" s="47">
        <f t="shared" si="16"/>
        <v>0</v>
      </c>
      <c r="AK19" s="47">
        <f t="shared" si="17"/>
        <v>0</v>
      </c>
      <c r="AL19" s="10" t="s">
        <v>19</v>
      </c>
    </row>
    <row r="20" spans="1:38" ht="19.5" customHeight="1" x14ac:dyDescent="0.25">
      <c r="A20" s="10" t="s">
        <v>20</v>
      </c>
      <c r="B20" s="70"/>
      <c r="C20" s="70"/>
      <c r="D20" s="70"/>
      <c r="E20" s="71"/>
      <c r="F20" s="71"/>
      <c r="G20" s="71"/>
      <c r="H20" s="71"/>
      <c r="I20" s="49">
        <f t="shared" si="0"/>
        <v>0</v>
      </c>
      <c r="J20" s="49">
        <f t="shared" si="1"/>
        <v>0</v>
      </c>
      <c r="K20" s="49">
        <f t="shared" si="2"/>
        <v>0</v>
      </c>
      <c r="L20" s="49">
        <f t="shared" si="3"/>
        <v>0</v>
      </c>
      <c r="M20" s="51">
        <f t="shared" si="4"/>
        <v>0</v>
      </c>
      <c r="O20" s="16"/>
      <c r="P20" s="55">
        <f t="shared" si="21"/>
        <v>0</v>
      </c>
      <c r="Q20" s="26">
        <f t="shared" si="18"/>
        <v>0</v>
      </c>
      <c r="R20" s="40">
        <f t="shared" si="5"/>
        <v>0</v>
      </c>
      <c r="S20" s="40">
        <f t="shared" si="6"/>
        <v>0</v>
      </c>
      <c r="T20" s="40">
        <f t="shared" si="7"/>
        <v>0</v>
      </c>
      <c r="U20" s="40">
        <f>R20/VLOOKUP(LARGE($L$3:$L$80,1),L$3:$W$80,7,FALSE)</f>
        <v>0</v>
      </c>
      <c r="V20" s="40">
        <f t="shared" si="8"/>
        <v>0</v>
      </c>
      <c r="W20" s="40">
        <f t="shared" si="9"/>
        <v>0</v>
      </c>
      <c r="X20" s="42">
        <f t="shared" si="10"/>
        <v>0</v>
      </c>
      <c r="Y20" s="29">
        <f t="shared" si="19"/>
        <v>0</v>
      </c>
      <c r="Z20" s="39">
        <f t="shared" si="20"/>
        <v>0</v>
      </c>
      <c r="AA20" s="41">
        <f t="shared" si="11"/>
        <v>0</v>
      </c>
      <c r="AD20" s="16"/>
      <c r="AE20" s="43">
        <f t="shared" si="12"/>
        <v>0</v>
      </c>
      <c r="AF20" s="43">
        <f t="shared" si="13"/>
        <v>0</v>
      </c>
      <c r="AG20" s="44">
        <f t="shared" si="14"/>
        <v>0</v>
      </c>
      <c r="AH20" s="35"/>
      <c r="AI20" s="47">
        <f t="shared" si="15"/>
        <v>0</v>
      </c>
      <c r="AJ20" s="47">
        <f t="shared" si="16"/>
        <v>0</v>
      </c>
      <c r="AK20" s="47">
        <f t="shared" si="17"/>
        <v>0</v>
      </c>
      <c r="AL20" s="10" t="s">
        <v>20</v>
      </c>
    </row>
    <row r="21" spans="1:38" ht="19.5" customHeight="1" x14ac:dyDescent="0.25">
      <c r="A21" s="10" t="s">
        <v>21</v>
      </c>
      <c r="B21" s="70"/>
      <c r="C21" s="70"/>
      <c r="D21" s="70"/>
      <c r="E21" s="71"/>
      <c r="F21" s="71"/>
      <c r="G21" s="71"/>
      <c r="H21" s="71"/>
      <c r="I21" s="49">
        <f t="shared" si="0"/>
        <v>0</v>
      </c>
      <c r="J21" s="49">
        <f t="shared" si="1"/>
        <v>0</v>
      </c>
      <c r="K21" s="49">
        <f t="shared" si="2"/>
        <v>0</v>
      </c>
      <c r="L21" s="49">
        <f t="shared" si="3"/>
        <v>0</v>
      </c>
      <c r="M21" s="51">
        <f t="shared" si="4"/>
        <v>0</v>
      </c>
      <c r="O21" s="16"/>
      <c r="P21" s="55">
        <f t="shared" si="21"/>
        <v>0</v>
      </c>
      <c r="Q21" s="26">
        <f t="shared" si="18"/>
        <v>0</v>
      </c>
      <c r="R21" s="40">
        <f t="shared" si="5"/>
        <v>0</v>
      </c>
      <c r="S21" s="40">
        <f t="shared" si="6"/>
        <v>0</v>
      </c>
      <c r="T21" s="40">
        <f t="shared" si="7"/>
        <v>0</v>
      </c>
      <c r="U21" s="40">
        <f>R21/VLOOKUP(LARGE($L$3:$L$80,1),L$3:$W$80,7,FALSE)</f>
        <v>0</v>
      </c>
      <c r="V21" s="40">
        <f t="shared" si="8"/>
        <v>0</v>
      </c>
      <c r="W21" s="40">
        <f t="shared" si="9"/>
        <v>0</v>
      </c>
      <c r="X21" s="42">
        <f t="shared" si="10"/>
        <v>0</v>
      </c>
      <c r="Y21" s="29">
        <f t="shared" si="19"/>
        <v>0</v>
      </c>
      <c r="Z21" s="39">
        <f t="shared" si="20"/>
        <v>0</v>
      </c>
      <c r="AA21" s="41">
        <f t="shared" si="11"/>
        <v>0</v>
      </c>
      <c r="AD21" s="16"/>
      <c r="AE21" s="43">
        <f t="shared" si="12"/>
        <v>0</v>
      </c>
      <c r="AF21" s="43">
        <f t="shared" si="13"/>
        <v>0</v>
      </c>
      <c r="AG21" s="44">
        <f t="shared" si="14"/>
        <v>0</v>
      </c>
      <c r="AH21" s="35"/>
      <c r="AI21" s="47">
        <f t="shared" si="15"/>
        <v>0</v>
      </c>
      <c r="AJ21" s="47">
        <f t="shared" si="16"/>
        <v>0</v>
      </c>
      <c r="AK21" s="47">
        <f t="shared" si="17"/>
        <v>0</v>
      </c>
      <c r="AL21" s="10" t="s">
        <v>21</v>
      </c>
    </row>
    <row r="22" spans="1:38" ht="19.5" customHeight="1" x14ac:dyDescent="0.25">
      <c r="A22" s="10" t="s">
        <v>22</v>
      </c>
      <c r="B22" s="70"/>
      <c r="C22" s="70"/>
      <c r="D22" s="70"/>
      <c r="E22" s="71"/>
      <c r="F22" s="71"/>
      <c r="G22" s="71"/>
      <c r="H22" s="71"/>
      <c r="I22" s="49">
        <f t="shared" si="0"/>
        <v>0</v>
      </c>
      <c r="J22" s="49">
        <f t="shared" si="1"/>
        <v>0</v>
      </c>
      <c r="K22" s="49">
        <f t="shared" si="2"/>
        <v>0</v>
      </c>
      <c r="L22" s="49">
        <f t="shared" si="3"/>
        <v>0</v>
      </c>
      <c r="M22" s="51">
        <f t="shared" si="4"/>
        <v>0</v>
      </c>
      <c r="O22" s="16"/>
      <c r="P22" s="55">
        <f t="shared" si="21"/>
        <v>0</v>
      </c>
      <c r="Q22" s="26">
        <f t="shared" si="18"/>
        <v>0</v>
      </c>
      <c r="R22" s="40">
        <f t="shared" si="5"/>
        <v>0</v>
      </c>
      <c r="S22" s="40">
        <f t="shared" si="6"/>
        <v>0</v>
      </c>
      <c r="T22" s="40">
        <f t="shared" si="7"/>
        <v>0</v>
      </c>
      <c r="U22" s="40">
        <f>R22/VLOOKUP(LARGE($L$3:$L$80,1),L$3:$W$80,7,FALSE)</f>
        <v>0</v>
      </c>
      <c r="V22" s="40">
        <f t="shared" si="8"/>
        <v>0</v>
      </c>
      <c r="W22" s="40">
        <f t="shared" si="9"/>
        <v>0</v>
      </c>
      <c r="X22" s="42">
        <f t="shared" si="10"/>
        <v>0</v>
      </c>
      <c r="Y22" s="29">
        <f t="shared" si="19"/>
        <v>0</v>
      </c>
      <c r="Z22" s="39">
        <f t="shared" si="20"/>
        <v>0</v>
      </c>
      <c r="AA22" s="41">
        <f t="shared" si="11"/>
        <v>0</v>
      </c>
      <c r="AD22" s="16"/>
      <c r="AE22" s="43">
        <f t="shared" si="12"/>
        <v>0</v>
      </c>
      <c r="AF22" s="43">
        <f t="shared" si="13"/>
        <v>0</v>
      </c>
      <c r="AG22" s="44">
        <f t="shared" si="14"/>
        <v>0</v>
      </c>
      <c r="AH22" s="35"/>
      <c r="AI22" s="47">
        <f t="shared" si="15"/>
        <v>0</v>
      </c>
      <c r="AJ22" s="47">
        <f t="shared" si="16"/>
        <v>0</v>
      </c>
      <c r="AK22" s="47">
        <f t="shared" si="17"/>
        <v>0</v>
      </c>
      <c r="AL22" s="10" t="s">
        <v>22</v>
      </c>
    </row>
    <row r="23" spans="1:38" ht="19.5" customHeight="1" x14ac:dyDescent="0.25">
      <c r="A23" s="10" t="s">
        <v>23</v>
      </c>
      <c r="B23" s="70"/>
      <c r="C23" s="70"/>
      <c r="D23" s="70"/>
      <c r="E23" s="71"/>
      <c r="F23" s="71"/>
      <c r="G23" s="71"/>
      <c r="H23" s="71"/>
      <c r="I23" s="49">
        <f t="shared" si="0"/>
        <v>0</v>
      </c>
      <c r="J23" s="49">
        <f t="shared" si="1"/>
        <v>0</v>
      </c>
      <c r="K23" s="49">
        <f t="shared" si="2"/>
        <v>0</v>
      </c>
      <c r="L23" s="49">
        <f t="shared" si="3"/>
        <v>0</v>
      </c>
      <c r="M23" s="51">
        <f t="shared" si="4"/>
        <v>0</v>
      </c>
      <c r="O23" s="16"/>
      <c r="P23" s="55">
        <f t="shared" si="21"/>
        <v>0</v>
      </c>
      <c r="Q23" s="26">
        <f t="shared" si="18"/>
        <v>0</v>
      </c>
      <c r="R23" s="40">
        <f t="shared" si="5"/>
        <v>0</v>
      </c>
      <c r="S23" s="40">
        <f t="shared" si="6"/>
        <v>0</v>
      </c>
      <c r="T23" s="40">
        <f t="shared" si="7"/>
        <v>0</v>
      </c>
      <c r="U23" s="40">
        <f>R23/VLOOKUP(LARGE($L$3:$L$80,1),L$3:$W$80,7,FALSE)</f>
        <v>0</v>
      </c>
      <c r="V23" s="40">
        <f t="shared" si="8"/>
        <v>0</v>
      </c>
      <c r="W23" s="40">
        <f t="shared" si="9"/>
        <v>0</v>
      </c>
      <c r="X23" s="42">
        <f t="shared" si="10"/>
        <v>0</v>
      </c>
      <c r="Y23" s="29">
        <f t="shared" si="19"/>
        <v>0</v>
      </c>
      <c r="Z23" s="39">
        <f t="shared" si="20"/>
        <v>0</v>
      </c>
      <c r="AA23" s="41">
        <f t="shared" si="11"/>
        <v>0</v>
      </c>
      <c r="AD23" s="16"/>
      <c r="AE23" s="43">
        <f t="shared" si="12"/>
        <v>0</v>
      </c>
      <c r="AF23" s="43">
        <f t="shared" si="13"/>
        <v>0</v>
      </c>
      <c r="AG23" s="44">
        <f t="shared" si="14"/>
        <v>0</v>
      </c>
      <c r="AH23" s="35"/>
      <c r="AI23" s="47">
        <f t="shared" si="15"/>
        <v>0</v>
      </c>
      <c r="AJ23" s="47">
        <f t="shared" si="16"/>
        <v>0</v>
      </c>
      <c r="AK23" s="47">
        <f t="shared" si="17"/>
        <v>0</v>
      </c>
      <c r="AL23" s="10" t="s">
        <v>23</v>
      </c>
    </row>
    <row r="24" spans="1:38" ht="19.5" customHeight="1" x14ac:dyDescent="0.25">
      <c r="A24" s="10" t="s">
        <v>24</v>
      </c>
      <c r="B24" s="70"/>
      <c r="C24" s="70"/>
      <c r="D24" s="70"/>
      <c r="E24" s="71"/>
      <c r="F24" s="71"/>
      <c r="G24" s="71"/>
      <c r="H24" s="71"/>
      <c r="I24" s="49">
        <f t="shared" si="0"/>
        <v>0</v>
      </c>
      <c r="J24" s="49">
        <f t="shared" si="1"/>
        <v>0</v>
      </c>
      <c r="K24" s="49">
        <f t="shared" si="2"/>
        <v>0</v>
      </c>
      <c r="L24" s="49">
        <f t="shared" si="3"/>
        <v>0</v>
      </c>
      <c r="M24" s="51">
        <f t="shared" si="4"/>
        <v>0</v>
      </c>
      <c r="O24" s="16"/>
      <c r="P24" s="55">
        <f t="shared" si="21"/>
        <v>0</v>
      </c>
      <c r="Q24" s="26">
        <f t="shared" si="18"/>
        <v>0</v>
      </c>
      <c r="R24" s="40">
        <f t="shared" si="5"/>
        <v>0</v>
      </c>
      <c r="S24" s="40">
        <f t="shared" si="6"/>
        <v>0</v>
      </c>
      <c r="T24" s="40">
        <f t="shared" si="7"/>
        <v>0</v>
      </c>
      <c r="U24" s="40">
        <f>R24/VLOOKUP(LARGE($L$3:$L$80,1),L$3:$W$80,7,FALSE)</f>
        <v>0</v>
      </c>
      <c r="V24" s="40">
        <f t="shared" si="8"/>
        <v>0</v>
      </c>
      <c r="W24" s="40">
        <f t="shared" si="9"/>
        <v>0</v>
      </c>
      <c r="X24" s="42">
        <f t="shared" si="10"/>
        <v>0</v>
      </c>
      <c r="Y24" s="29">
        <f t="shared" si="19"/>
        <v>0</v>
      </c>
      <c r="Z24" s="39">
        <f t="shared" si="20"/>
        <v>0</v>
      </c>
      <c r="AA24" s="41">
        <f t="shared" si="11"/>
        <v>0</v>
      </c>
      <c r="AD24" s="16"/>
      <c r="AE24" s="43">
        <f t="shared" si="12"/>
        <v>0</v>
      </c>
      <c r="AF24" s="43">
        <f t="shared" si="13"/>
        <v>0</v>
      </c>
      <c r="AG24" s="44">
        <f t="shared" si="14"/>
        <v>0</v>
      </c>
      <c r="AH24" s="35"/>
      <c r="AI24" s="47">
        <f t="shared" si="15"/>
        <v>0</v>
      </c>
      <c r="AJ24" s="47">
        <f t="shared" si="16"/>
        <v>0</v>
      </c>
      <c r="AK24" s="47">
        <f t="shared" si="17"/>
        <v>0</v>
      </c>
      <c r="AL24" s="10" t="s">
        <v>24</v>
      </c>
    </row>
    <row r="25" spans="1:38" ht="19.5" customHeight="1" x14ac:dyDescent="0.25">
      <c r="A25" s="10" t="s">
        <v>25</v>
      </c>
      <c r="B25" s="70"/>
      <c r="C25" s="70"/>
      <c r="D25" s="70"/>
      <c r="E25" s="71"/>
      <c r="F25" s="71"/>
      <c r="G25" s="71"/>
      <c r="H25" s="71"/>
      <c r="I25" s="49">
        <f t="shared" si="0"/>
        <v>0</v>
      </c>
      <c r="J25" s="49">
        <f t="shared" si="1"/>
        <v>0</v>
      </c>
      <c r="K25" s="49">
        <f t="shared" si="2"/>
        <v>0</v>
      </c>
      <c r="L25" s="49">
        <f t="shared" si="3"/>
        <v>0</v>
      </c>
      <c r="M25" s="51">
        <f t="shared" si="4"/>
        <v>0</v>
      </c>
      <c r="O25" s="16"/>
      <c r="P25" s="55">
        <f t="shared" si="21"/>
        <v>0</v>
      </c>
      <c r="Q25" s="26">
        <f t="shared" si="18"/>
        <v>0</v>
      </c>
      <c r="R25" s="40">
        <f t="shared" si="5"/>
        <v>0</v>
      </c>
      <c r="S25" s="40">
        <f t="shared" si="6"/>
        <v>0</v>
      </c>
      <c r="T25" s="40">
        <f t="shared" si="7"/>
        <v>0</v>
      </c>
      <c r="U25" s="40">
        <f>R25/VLOOKUP(LARGE($L$3:$L$80,1),L$3:$W$80,7,FALSE)</f>
        <v>0</v>
      </c>
      <c r="V25" s="40">
        <f t="shared" si="8"/>
        <v>0</v>
      </c>
      <c r="W25" s="40">
        <f t="shared" si="9"/>
        <v>0</v>
      </c>
      <c r="X25" s="42">
        <f t="shared" si="10"/>
        <v>0</v>
      </c>
      <c r="Y25" s="29">
        <f t="shared" si="19"/>
        <v>0</v>
      </c>
      <c r="Z25" s="39">
        <f t="shared" si="20"/>
        <v>0</v>
      </c>
      <c r="AA25" s="41">
        <f t="shared" si="11"/>
        <v>0</v>
      </c>
      <c r="AD25" s="16"/>
      <c r="AE25" s="43">
        <f t="shared" si="12"/>
        <v>0</v>
      </c>
      <c r="AF25" s="43">
        <f t="shared" si="13"/>
        <v>0</v>
      </c>
      <c r="AG25" s="44">
        <f t="shared" si="14"/>
        <v>0</v>
      </c>
      <c r="AH25" s="35"/>
      <c r="AI25" s="47">
        <f t="shared" si="15"/>
        <v>0</v>
      </c>
      <c r="AJ25" s="47">
        <f t="shared" si="16"/>
        <v>0</v>
      </c>
      <c r="AK25" s="47">
        <f t="shared" si="17"/>
        <v>0</v>
      </c>
      <c r="AL25" s="10" t="s">
        <v>25</v>
      </c>
    </row>
    <row r="26" spans="1:38" ht="19.5" customHeight="1" x14ac:dyDescent="0.25">
      <c r="A26" s="10" t="s">
        <v>26</v>
      </c>
      <c r="B26" s="70"/>
      <c r="C26" s="70"/>
      <c r="D26" s="70"/>
      <c r="E26" s="71"/>
      <c r="F26" s="71"/>
      <c r="G26" s="71"/>
      <c r="H26" s="71"/>
      <c r="I26" s="49">
        <f t="shared" si="0"/>
        <v>0</v>
      </c>
      <c r="J26" s="49">
        <f t="shared" si="1"/>
        <v>0</v>
      </c>
      <c r="K26" s="49">
        <f t="shared" si="2"/>
        <v>0</v>
      </c>
      <c r="L26" s="49">
        <f t="shared" si="3"/>
        <v>0</v>
      </c>
      <c r="M26" s="51">
        <f t="shared" si="4"/>
        <v>0</v>
      </c>
      <c r="O26" s="16"/>
      <c r="P26" s="55">
        <f t="shared" si="21"/>
        <v>0</v>
      </c>
      <c r="Q26" s="26">
        <f t="shared" si="18"/>
        <v>0</v>
      </c>
      <c r="R26" s="40">
        <f t="shared" si="5"/>
        <v>0</v>
      </c>
      <c r="S26" s="40">
        <f t="shared" si="6"/>
        <v>0</v>
      </c>
      <c r="T26" s="40">
        <f t="shared" si="7"/>
        <v>0</v>
      </c>
      <c r="U26" s="40">
        <f>R26/VLOOKUP(LARGE($L$3:$L$80,1),L$3:$W$80,7,FALSE)</f>
        <v>0</v>
      </c>
      <c r="V26" s="40">
        <f t="shared" si="8"/>
        <v>0</v>
      </c>
      <c r="W26" s="40">
        <f t="shared" si="9"/>
        <v>0</v>
      </c>
      <c r="X26" s="42">
        <f t="shared" si="10"/>
        <v>0</v>
      </c>
      <c r="Y26" s="29">
        <f t="shared" si="19"/>
        <v>0</v>
      </c>
      <c r="Z26" s="39">
        <f t="shared" si="20"/>
        <v>0</v>
      </c>
      <c r="AA26" s="41">
        <f t="shared" si="11"/>
        <v>0</v>
      </c>
      <c r="AD26" s="16"/>
      <c r="AE26" s="43">
        <f t="shared" si="12"/>
        <v>0</v>
      </c>
      <c r="AF26" s="43">
        <f t="shared" si="13"/>
        <v>0</v>
      </c>
      <c r="AG26" s="44">
        <f t="shared" si="14"/>
        <v>0</v>
      </c>
      <c r="AH26" s="35"/>
      <c r="AI26" s="47">
        <f t="shared" si="15"/>
        <v>0</v>
      </c>
      <c r="AJ26" s="47">
        <f t="shared" si="16"/>
        <v>0</v>
      </c>
      <c r="AK26" s="47">
        <f t="shared" si="17"/>
        <v>0</v>
      </c>
      <c r="AL26" s="10" t="s">
        <v>26</v>
      </c>
    </row>
    <row r="27" spans="1:38" ht="19.5" customHeight="1" x14ac:dyDescent="0.25">
      <c r="A27" s="10" t="s">
        <v>27</v>
      </c>
      <c r="B27" s="70"/>
      <c r="C27" s="70"/>
      <c r="D27" s="70"/>
      <c r="E27" s="71"/>
      <c r="F27" s="71"/>
      <c r="G27" s="71"/>
      <c r="H27" s="71"/>
      <c r="I27" s="49">
        <f t="shared" si="0"/>
        <v>0</v>
      </c>
      <c r="J27" s="49">
        <f t="shared" si="1"/>
        <v>0</v>
      </c>
      <c r="K27" s="49">
        <f t="shared" si="2"/>
        <v>0</v>
      </c>
      <c r="L27" s="49">
        <f t="shared" si="3"/>
        <v>0</v>
      </c>
      <c r="M27" s="51">
        <f t="shared" si="4"/>
        <v>0</v>
      </c>
      <c r="O27" s="16"/>
      <c r="P27" s="55">
        <f t="shared" si="21"/>
        <v>0</v>
      </c>
      <c r="Q27" s="26">
        <f t="shared" si="18"/>
        <v>0</v>
      </c>
      <c r="R27" s="40">
        <f t="shared" si="5"/>
        <v>0</v>
      </c>
      <c r="S27" s="40">
        <f t="shared" si="6"/>
        <v>0</v>
      </c>
      <c r="T27" s="40">
        <f t="shared" si="7"/>
        <v>0</v>
      </c>
      <c r="U27" s="40">
        <f>R27/VLOOKUP(LARGE($L$3:$L$80,1),L$3:$W$80,7,FALSE)</f>
        <v>0</v>
      </c>
      <c r="V27" s="40">
        <f t="shared" si="8"/>
        <v>0</v>
      </c>
      <c r="W27" s="40">
        <f t="shared" si="9"/>
        <v>0</v>
      </c>
      <c r="X27" s="42">
        <f t="shared" si="10"/>
        <v>0</v>
      </c>
      <c r="Y27" s="29">
        <f t="shared" si="19"/>
        <v>0</v>
      </c>
      <c r="Z27" s="39">
        <f t="shared" si="20"/>
        <v>0</v>
      </c>
      <c r="AA27" s="41">
        <f t="shared" si="11"/>
        <v>0</v>
      </c>
      <c r="AD27" s="16"/>
      <c r="AE27" s="43">
        <f t="shared" si="12"/>
        <v>0</v>
      </c>
      <c r="AF27" s="43">
        <f t="shared" si="13"/>
        <v>0</v>
      </c>
      <c r="AG27" s="44">
        <f t="shared" si="14"/>
        <v>0</v>
      </c>
      <c r="AH27" s="35"/>
      <c r="AI27" s="47">
        <f t="shared" si="15"/>
        <v>0</v>
      </c>
      <c r="AJ27" s="47">
        <f t="shared" si="16"/>
        <v>0</v>
      </c>
      <c r="AK27" s="47">
        <f t="shared" si="17"/>
        <v>0</v>
      </c>
      <c r="AL27" s="10" t="s">
        <v>27</v>
      </c>
    </row>
    <row r="28" spans="1:38" ht="19.5" customHeight="1" x14ac:dyDescent="0.25">
      <c r="A28" s="10" t="s">
        <v>28</v>
      </c>
      <c r="B28" s="70"/>
      <c r="C28" s="70"/>
      <c r="D28" s="70"/>
      <c r="E28" s="71"/>
      <c r="F28" s="71"/>
      <c r="G28" s="71"/>
      <c r="H28" s="71"/>
      <c r="I28" s="49">
        <f t="shared" si="0"/>
        <v>0</v>
      </c>
      <c r="J28" s="49">
        <f t="shared" si="1"/>
        <v>0</v>
      </c>
      <c r="K28" s="49">
        <f t="shared" si="2"/>
        <v>0</v>
      </c>
      <c r="L28" s="49">
        <f t="shared" si="3"/>
        <v>0</v>
      </c>
      <c r="M28" s="51">
        <f t="shared" si="4"/>
        <v>0</v>
      </c>
      <c r="O28" s="16"/>
      <c r="P28" s="55">
        <f t="shared" si="21"/>
        <v>0</v>
      </c>
      <c r="Q28" s="26">
        <f t="shared" si="18"/>
        <v>0</v>
      </c>
      <c r="R28" s="40">
        <f t="shared" si="5"/>
        <v>0</v>
      </c>
      <c r="S28" s="40">
        <f t="shared" si="6"/>
        <v>0</v>
      </c>
      <c r="T28" s="40">
        <f t="shared" si="7"/>
        <v>0</v>
      </c>
      <c r="U28" s="40">
        <f>R28/VLOOKUP(LARGE($L$3:$L$80,1),L$3:$W$80,7,FALSE)</f>
        <v>0</v>
      </c>
      <c r="V28" s="40">
        <f t="shared" si="8"/>
        <v>0</v>
      </c>
      <c r="W28" s="40">
        <f t="shared" si="9"/>
        <v>0</v>
      </c>
      <c r="X28" s="42">
        <f t="shared" si="10"/>
        <v>0</v>
      </c>
      <c r="Y28" s="29">
        <f t="shared" si="19"/>
        <v>0</v>
      </c>
      <c r="Z28" s="39">
        <f t="shared" si="20"/>
        <v>0</v>
      </c>
      <c r="AA28" s="41">
        <f t="shared" si="11"/>
        <v>0</v>
      </c>
      <c r="AD28" s="16"/>
      <c r="AE28" s="43">
        <f t="shared" si="12"/>
        <v>0</v>
      </c>
      <c r="AF28" s="43">
        <f t="shared" si="13"/>
        <v>0</v>
      </c>
      <c r="AG28" s="44">
        <f t="shared" si="14"/>
        <v>0</v>
      </c>
      <c r="AH28" s="35"/>
      <c r="AI28" s="47">
        <f t="shared" si="15"/>
        <v>0</v>
      </c>
      <c r="AJ28" s="47">
        <f t="shared" si="16"/>
        <v>0</v>
      </c>
      <c r="AK28" s="47">
        <f t="shared" si="17"/>
        <v>0</v>
      </c>
      <c r="AL28" s="10" t="s">
        <v>28</v>
      </c>
    </row>
    <row r="29" spans="1:38" ht="19.5" customHeight="1" x14ac:dyDescent="0.25">
      <c r="A29" s="10" t="s">
        <v>29</v>
      </c>
      <c r="B29" s="70"/>
      <c r="C29" s="70"/>
      <c r="D29" s="70"/>
      <c r="E29" s="71"/>
      <c r="F29" s="71"/>
      <c r="G29" s="71"/>
      <c r="H29" s="71"/>
      <c r="I29" s="49">
        <f t="shared" si="0"/>
        <v>0</v>
      </c>
      <c r="J29" s="49">
        <f t="shared" si="1"/>
        <v>0</v>
      </c>
      <c r="K29" s="49">
        <f t="shared" si="2"/>
        <v>0</v>
      </c>
      <c r="L29" s="49">
        <f t="shared" si="3"/>
        <v>0</v>
      </c>
      <c r="M29" s="51">
        <f t="shared" si="4"/>
        <v>0</v>
      </c>
      <c r="O29" s="16"/>
      <c r="P29" s="55">
        <f t="shared" si="21"/>
        <v>0</v>
      </c>
      <c r="Q29" s="26">
        <f t="shared" si="18"/>
        <v>0</v>
      </c>
      <c r="R29" s="40">
        <f t="shared" si="5"/>
        <v>0</v>
      </c>
      <c r="S29" s="40">
        <f t="shared" si="6"/>
        <v>0</v>
      </c>
      <c r="T29" s="40">
        <f t="shared" si="7"/>
        <v>0</v>
      </c>
      <c r="U29" s="40">
        <f>R29/VLOOKUP(LARGE($L$3:$L$80,1),L$3:$W$80,7,FALSE)</f>
        <v>0</v>
      </c>
      <c r="V29" s="40">
        <f t="shared" si="8"/>
        <v>0</v>
      </c>
      <c r="W29" s="40">
        <f t="shared" si="9"/>
        <v>0</v>
      </c>
      <c r="X29" s="42">
        <f t="shared" si="10"/>
        <v>0</v>
      </c>
      <c r="Y29" s="29">
        <f t="shared" si="19"/>
        <v>0</v>
      </c>
      <c r="Z29" s="39">
        <f t="shared" si="20"/>
        <v>0</v>
      </c>
      <c r="AA29" s="41">
        <f t="shared" si="11"/>
        <v>0</v>
      </c>
      <c r="AD29" s="16"/>
      <c r="AE29" s="43">
        <f t="shared" si="12"/>
        <v>0</v>
      </c>
      <c r="AF29" s="43">
        <f t="shared" si="13"/>
        <v>0</v>
      </c>
      <c r="AG29" s="44">
        <f t="shared" si="14"/>
        <v>0</v>
      </c>
      <c r="AH29" s="35"/>
      <c r="AI29" s="47">
        <f t="shared" si="15"/>
        <v>0</v>
      </c>
      <c r="AJ29" s="47">
        <f t="shared" si="16"/>
        <v>0</v>
      </c>
      <c r="AK29" s="47">
        <f t="shared" si="17"/>
        <v>0</v>
      </c>
      <c r="AL29" s="10" t="s">
        <v>29</v>
      </c>
    </row>
    <row r="30" spans="1:38" ht="19.5" customHeight="1" x14ac:dyDescent="0.25">
      <c r="A30" s="10" t="s">
        <v>30</v>
      </c>
      <c r="B30" s="70"/>
      <c r="C30" s="70"/>
      <c r="D30" s="70"/>
      <c r="E30" s="71"/>
      <c r="F30" s="71"/>
      <c r="G30" s="71"/>
      <c r="H30" s="71"/>
      <c r="I30" s="49">
        <f t="shared" si="0"/>
        <v>0</v>
      </c>
      <c r="J30" s="49">
        <f t="shared" si="1"/>
        <v>0</v>
      </c>
      <c r="K30" s="49">
        <f t="shared" si="2"/>
        <v>0</v>
      </c>
      <c r="L30" s="49">
        <f t="shared" si="3"/>
        <v>0</v>
      </c>
      <c r="M30" s="51">
        <f t="shared" si="4"/>
        <v>0</v>
      </c>
      <c r="O30" s="16"/>
      <c r="P30" s="55">
        <f t="shared" si="21"/>
        <v>0</v>
      </c>
      <c r="Q30" s="26">
        <f t="shared" si="18"/>
        <v>0</v>
      </c>
      <c r="R30" s="40">
        <f t="shared" si="5"/>
        <v>0</v>
      </c>
      <c r="S30" s="40">
        <f t="shared" si="6"/>
        <v>0</v>
      </c>
      <c r="T30" s="40">
        <f t="shared" si="7"/>
        <v>0</v>
      </c>
      <c r="U30" s="40">
        <f>R30/VLOOKUP(LARGE($L$3:$L$80,1),L$3:$W$80,7,FALSE)</f>
        <v>0</v>
      </c>
      <c r="V30" s="40">
        <f t="shared" si="8"/>
        <v>0</v>
      </c>
      <c r="W30" s="40">
        <f t="shared" si="9"/>
        <v>0</v>
      </c>
      <c r="X30" s="42">
        <f t="shared" si="10"/>
        <v>0</v>
      </c>
      <c r="Y30" s="29">
        <f t="shared" si="19"/>
        <v>0</v>
      </c>
      <c r="Z30" s="39">
        <f t="shared" si="20"/>
        <v>0</v>
      </c>
      <c r="AA30" s="41">
        <f t="shared" si="11"/>
        <v>0</v>
      </c>
      <c r="AD30" s="16"/>
      <c r="AE30" s="43">
        <f t="shared" si="12"/>
        <v>0</v>
      </c>
      <c r="AF30" s="43">
        <f t="shared" si="13"/>
        <v>0</v>
      </c>
      <c r="AG30" s="44">
        <f t="shared" si="14"/>
        <v>0</v>
      </c>
      <c r="AH30" s="35"/>
      <c r="AI30" s="47">
        <f t="shared" si="15"/>
        <v>0</v>
      </c>
      <c r="AJ30" s="47">
        <f t="shared" si="16"/>
        <v>0</v>
      </c>
      <c r="AK30" s="47">
        <f t="shared" si="17"/>
        <v>0</v>
      </c>
      <c r="AL30" s="10" t="s">
        <v>30</v>
      </c>
    </row>
    <row r="31" spans="1:38" ht="19.5" customHeight="1" x14ac:dyDescent="0.25">
      <c r="A31" s="10" t="s">
        <v>31</v>
      </c>
      <c r="B31" s="70"/>
      <c r="C31" s="70"/>
      <c r="D31" s="70"/>
      <c r="E31" s="71"/>
      <c r="F31" s="71"/>
      <c r="G31" s="71"/>
      <c r="H31" s="71"/>
      <c r="I31" s="49">
        <f t="shared" si="0"/>
        <v>0</v>
      </c>
      <c r="J31" s="49">
        <f t="shared" si="1"/>
        <v>0</v>
      </c>
      <c r="K31" s="49">
        <f t="shared" si="2"/>
        <v>0</v>
      </c>
      <c r="L31" s="49">
        <f t="shared" si="3"/>
        <v>0</v>
      </c>
      <c r="M31" s="51">
        <f t="shared" si="4"/>
        <v>0</v>
      </c>
      <c r="O31" s="16"/>
      <c r="P31" s="55">
        <f t="shared" si="21"/>
        <v>0</v>
      </c>
      <c r="Q31" s="26">
        <f t="shared" si="18"/>
        <v>0</v>
      </c>
      <c r="R31" s="40">
        <f t="shared" si="5"/>
        <v>0</v>
      </c>
      <c r="S31" s="40">
        <f t="shared" si="6"/>
        <v>0</v>
      </c>
      <c r="T31" s="40">
        <f t="shared" si="7"/>
        <v>0</v>
      </c>
      <c r="U31" s="40">
        <f>R31/VLOOKUP(LARGE($L$3:$L$80,1),L$3:$W$80,7,FALSE)</f>
        <v>0</v>
      </c>
      <c r="V31" s="40">
        <f t="shared" si="8"/>
        <v>0</v>
      </c>
      <c r="W31" s="40">
        <f t="shared" si="9"/>
        <v>0</v>
      </c>
      <c r="X31" s="42">
        <f t="shared" si="10"/>
        <v>0</v>
      </c>
      <c r="Y31" s="29">
        <f t="shared" si="19"/>
        <v>0</v>
      </c>
      <c r="Z31" s="39">
        <f t="shared" si="20"/>
        <v>0</v>
      </c>
      <c r="AA31" s="41">
        <f t="shared" si="11"/>
        <v>0</v>
      </c>
      <c r="AD31" s="16"/>
      <c r="AE31" s="43">
        <f t="shared" si="12"/>
        <v>0</v>
      </c>
      <c r="AF31" s="43">
        <f t="shared" si="13"/>
        <v>0</v>
      </c>
      <c r="AG31" s="44">
        <f t="shared" si="14"/>
        <v>0</v>
      </c>
      <c r="AH31" s="35"/>
      <c r="AI31" s="47">
        <f t="shared" si="15"/>
        <v>0</v>
      </c>
      <c r="AJ31" s="47">
        <f t="shared" si="16"/>
        <v>0</v>
      </c>
      <c r="AK31" s="47">
        <f t="shared" si="17"/>
        <v>0</v>
      </c>
      <c r="AL31" s="10" t="s">
        <v>31</v>
      </c>
    </row>
    <row r="32" spans="1:38" ht="19.5" customHeight="1" x14ac:dyDescent="0.25">
      <c r="A32" s="10" t="s">
        <v>32</v>
      </c>
      <c r="B32" s="70"/>
      <c r="C32" s="70"/>
      <c r="D32" s="70"/>
      <c r="E32" s="71"/>
      <c r="F32" s="71"/>
      <c r="G32" s="71"/>
      <c r="H32" s="71"/>
      <c r="I32" s="49">
        <f t="shared" si="0"/>
        <v>0</v>
      </c>
      <c r="J32" s="49">
        <f t="shared" si="1"/>
        <v>0</v>
      </c>
      <c r="K32" s="49">
        <f t="shared" si="2"/>
        <v>0</v>
      </c>
      <c r="L32" s="49">
        <f t="shared" si="3"/>
        <v>0</v>
      </c>
      <c r="M32" s="51">
        <f t="shared" si="4"/>
        <v>0</v>
      </c>
      <c r="O32" s="16"/>
      <c r="P32" s="55">
        <f t="shared" si="21"/>
        <v>0</v>
      </c>
      <c r="Q32" s="26">
        <f t="shared" si="18"/>
        <v>0</v>
      </c>
      <c r="R32" s="40">
        <f t="shared" si="5"/>
        <v>0</v>
      </c>
      <c r="S32" s="40">
        <f t="shared" si="6"/>
        <v>0</v>
      </c>
      <c r="T32" s="40">
        <f t="shared" si="7"/>
        <v>0</v>
      </c>
      <c r="U32" s="40">
        <f>R32/VLOOKUP(LARGE($L$3:$L$80,1),L$3:$W$80,7,FALSE)</f>
        <v>0</v>
      </c>
      <c r="V32" s="40">
        <f t="shared" si="8"/>
        <v>0</v>
      </c>
      <c r="W32" s="40">
        <f t="shared" si="9"/>
        <v>0</v>
      </c>
      <c r="X32" s="42">
        <f t="shared" si="10"/>
        <v>0</v>
      </c>
      <c r="Y32" s="29">
        <f t="shared" si="19"/>
        <v>0</v>
      </c>
      <c r="Z32" s="39">
        <f t="shared" si="20"/>
        <v>0</v>
      </c>
      <c r="AA32" s="41">
        <f t="shared" si="11"/>
        <v>0</v>
      </c>
      <c r="AD32" s="16"/>
      <c r="AE32" s="43">
        <f t="shared" si="12"/>
        <v>0</v>
      </c>
      <c r="AF32" s="43">
        <f t="shared" si="13"/>
        <v>0</v>
      </c>
      <c r="AG32" s="44">
        <f t="shared" si="14"/>
        <v>0</v>
      </c>
      <c r="AH32" s="35"/>
      <c r="AI32" s="47">
        <f t="shared" si="15"/>
        <v>0</v>
      </c>
      <c r="AJ32" s="47">
        <f t="shared" si="16"/>
        <v>0</v>
      </c>
      <c r="AK32" s="47">
        <f t="shared" si="17"/>
        <v>0</v>
      </c>
      <c r="AL32" s="10" t="s">
        <v>32</v>
      </c>
    </row>
    <row r="33" spans="1:38" ht="19.5" customHeight="1" x14ac:dyDescent="0.25">
      <c r="A33" s="10" t="s">
        <v>33</v>
      </c>
      <c r="B33" s="70"/>
      <c r="C33" s="70"/>
      <c r="D33" s="70"/>
      <c r="E33" s="71"/>
      <c r="F33" s="71"/>
      <c r="G33" s="71"/>
      <c r="H33" s="71"/>
      <c r="I33" s="49">
        <f t="shared" si="0"/>
        <v>0</v>
      </c>
      <c r="J33" s="49">
        <f t="shared" si="1"/>
        <v>0</v>
      </c>
      <c r="K33" s="49">
        <f t="shared" si="2"/>
        <v>0</v>
      </c>
      <c r="L33" s="49">
        <f t="shared" si="3"/>
        <v>0</v>
      </c>
      <c r="M33" s="51">
        <f t="shared" si="4"/>
        <v>0</v>
      </c>
      <c r="O33" s="16"/>
      <c r="P33" s="55">
        <f t="shared" si="21"/>
        <v>0</v>
      </c>
      <c r="Q33" s="26">
        <f t="shared" si="18"/>
        <v>0</v>
      </c>
      <c r="R33" s="40">
        <f t="shared" si="5"/>
        <v>0</v>
      </c>
      <c r="S33" s="40">
        <f t="shared" si="6"/>
        <v>0</v>
      </c>
      <c r="T33" s="40">
        <f t="shared" si="7"/>
        <v>0</v>
      </c>
      <c r="U33" s="40">
        <f>R33/VLOOKUP(LARGE($L$3:$L$80,1),L$3:$W$80,7,FALSE)</f>
        <v>0</v>
      </c>
      <c r="V33" s="40">
        <f t="shared" si="8"/>
        <v>0</v>
      </c>
      <c r="W33" s="40">
        <f t="shared" si="9"/>
        <v>0</v>
      </c>
      <c r="X33" s="42">
        <f t="shared" si="10"/>
        <v>0</v>
      </c>
      <c r="Y33" s="29">
        <f t="shared" si="19"/>
        <v>0</v>
      </c>
      <c r="Z33" s="39">
        <f t="shared" si="20"/>
        <v>0</v>
      </c>
      <c r="AA33" s="41">
        <f t="shared" si="11"/>
        <v>0</v>
      </c>
      <c r="AD33" s="16"/>
      <c r="AE33" s="43">
        <f t="shared" si="12"/>
        <v>0</v>
      </c>
      <c r="AF33" s="43">
        <f t="shared" si="13"/>
        <v>0</v>
      </c>
      <c r="AG33" s="44">
        <f t="shared" si="14"/>
        <v>0</v>
      </c>
      <c r="AH33" s="35"/>
      <c r="AI33" s="47">
        <f t="shared" si="15"/>
        <v>0</v>
      </c>
      <c r="AJ33" s="47">
        <f t="shared" si="16"/>
        <v>0</v>
      </c>
      <c r="AK33" s="47">
        <f t="shared" si="17"/>
        <v>0</v>
      </c>
      <c r="AL33" s="10" t="s">
        <v>33</v>
      </c>
    </row>
    <row r="34" spans="1:38" ht="19.5" customHeight="1" x14ac:dyDescent="0.25">
      <c r="A34" s="10" t="s">
        <v>34</v>
      </c>
      <c r="B34" s="70"/>
      <c r="C34" s="70"/>
      <c r="D34" s="70"/>
      <c r="E34" s="71"/>
      <c r="F34" s="71"/>
      <c r="G34" s="71"/>
      <c r="H34" s="71"/>
      <c r="I34" s="49">
        <f t="shared" si="0"/>
        <v>0</v>
      </c>
      <c r="J34" s="49">
        <f t="shared" si="1"/>
        <v>0</v>
      </c>
      <c r="K34" s="49">
        <f t="shared" si="2"/>
        <v>0</v>
      </c>
      <c r="L34" s="49">
        <f t="shared" si="3"/>
        <v>0</v>
      </c>
      <c r="M34" s="51">
        <f t="shared" si="4"/>
        <v>0</v>
      </c>
      <c r="O34" s="16"/>
      <c r="P34" s="55">
        <f t="shared" si="21"/>
        <v>0</v>
      </c>
      <c r="Q34" s="26">
        <f t="shared" si="18"/>
        <v>0</v>
      </c>
      <c r="R34" s="40">
        <f t="shared" si="5"/>
        <v>0</v>
      </c>
      <c r="S34" s="40">
        <f t="shared" si="6"/>
        <v>0</v>
      </c>
      <c r="T34" s="40">
        <f t="shared" si="7"/>
        <v>0</v>
      </c>
      <c r="U34" s="40">
        <f>R34/VLOOKUP(LARGE($L$3:$L$80,1),L$3:$W$80,7,FALSE)</f>
        <v>0</v>
      </c>
      <c r="V34" s="40">
        <f t="shared" si="8"/>
        <v>0</v>
      </c>
      <c r="W34" s="40">
        <f t="shared" si="9"/>
        <v>0</v>
      </c>
      <c r="X34" s="42">
        <f t="shared" si="10"/>
        <v>0</v>
      </c>
      <c r="Y34" s="29">
        <f t="shared" si="19"/>
        <v>0</v>
      </c>
      <c r="Z34" s="39">
        <f t="shared" si="20"/>
        <v>0</v>
      </c>
      <c r="AA34" s="41">
        <f t="shared" si="11"/>
        <v>0</v>
      </c>
      <c r="AD34" s="16"/>
      <c r="AE34" s="43">
        <f t="shared" si="12"/>
        <v>0</v>
      </c>
      <c r="AF34" s="43">
        <f t="shared" si="13"/>
        <v>0</v>
      </c>
      <c r="AG34" s="44">
        <f t="shared" si="14"/>
        <v>0</v>
      </c>
      <c r="AH34" s="35"/>
      <c r="AI34" s="47">
        <f t="shared" si="15"/>
        <v>0</v>
      </c>
      <c r="AJ34" s="47">
        <f t="shared" si="16"/>
        <v>0</v>
      </c>
      <c r="AK34" s="47">
        <f t="shared" si="17"/>
        <v>0</v>
      </c>
      <c r="AL34" s="10" t="s">
        <v>34</v>
      </c>
    </row>
    <row r="35" spans="1:38" ht="19.5" customHeight="1" x14ac:dyDescent="0.25">
      <c r="A35" s="10" t="s">
        <v>35</v>
      </c>
      <c r="B35" s="70"/>
      <c r="C35" s="70"/>
      <c r="D35" s="70"/>
      <c r="E35" s="71"/>
      <c r="F35" s="71"/>
      <c r="G35" s="71"/>
      <c r="H35" s="71"/>
      <c r="I35" s="49">
        <f t="shared" si="0"/>
        <v>0</v>
      </c>
      <c r="J35" s="49">
        <f t="shared" si="1"/>
        <v>0</v>
      </c>
      <c r="K35" s="49">
        <f t="shared" si="2"/>
        <v>0</v>
      </c>
      <c r="L35" s="49">
        <f t="shared" si="3"/>
        <v>0</v>
      </c>
      <c r="M35" s="51">
        <f t="shared" si="4"/>
        <v>0</v>
      </c>
      <c r="O35" s="16"/>
      <c r="P35" s="55">
        <f t="shared" si="21"/>
        <v>0</v>
      </c>
      <c r="Q35" s="26">
        <f t="shared" si="18"/>
        <v>0</v>
      </c>
      <c r="R35" s="40">
        <f t="shared" si="5"/>
        <v>0</v>
      </c>
      <c r="S35" s="40">
        <f t="shared" si="6"/>
        <v>0</v>
      </c>
      <c r="T35" s="40">
        <f t="shared" si="7"/>
        <v>0</v>
      </c>
      <c r="U35" s="40">
        <f>R35/VLOOKUP(LARGE($L$3:$L$80,1),L$3:$W$80,7,FALSE)</f>
        <v>0</v>
      </c>
      <c r="V35" s="40">
        <f t="shared" si="8"/>
        <v>0</v>
      </c>
      <c r="W35" s="40">
        <f t="shared" si="9"/>
        <v>0</v>
      </c>
      <c r="X35" s="42">
        <f t="shared" si="10"/>
        <v>0</v>
      </c>
      <c r="Y35" s="29">
        <f t="shared" si="19"/>
        <v>0</v>
      </c>
      <c r="Z35" s="39">
        <f t="shared" si="20"/>
        <v>0</v>
      </c>
      <c r="AA35" s="41">
        <f t="shared" si="11"/>
        <v>0</v>
      </c>
      <c r="AD35" s="16"/>
      <c r="AE35" s="43">
        <f t="shared" si="12"/>
        <v>0</v>
      </c>
      <c r="AF35" s="43">
        <f t="shared" si="13"/>
        <v>0</v>
      </c>
      <c r="AG35" s="44">
        <f t="shared" si="14"/>
        <v>0</v>
      </c>
      <c r="AH35" s="35"/>
      <c r="AI35" s="47">
        <f t="shared" si="15"/>
        <v>0</v>
      </c>
      <c r="AJ35" s="47">
        <f t="shared" si="16"/>
        <v>0</v>
      </c>
      <c r="AK35" s="47">
        <f t="shared" si="17"/>
        <v>0</v>
      </c>
      <c r="AL35" s="10" t="s">
        <v>35</v>
      </c>
    </row>
    <row r="36" spans="1:38" ht="19.5" customHeight="1" x14ac:dyDescent="0.25">
      <c r="A36" s="10" t="s">
        <v>36</v>
      </c>
      <c r="B36" s="70"/>
      <c r="C36" s="70"/>
      <c r="D36" s="70"/>
      <c r="E36" s="71"/>
      <c r="F36" s="71"/>
      <c r="G36" s="71"/>
      <c r="H36" s="71"/>
      <c r="I36" s="49">
        <f t="shared" si="0"/>
        <v>0</v>
      </c>
      <c r="J36" s="49">
        <f t="shared" si="1"/>
        <v>0</v>
      </c>
      <c r="K36" s="49">
        <f t="shared" si="2"/>
        <v>0</v>
      </c>
      <c r="L36" s="49">
        <f t="shared" si="3"/>
        <v>0</v>
      </c>
      <c r="M36" s="51">
        <f t="shared" si="4"/>
        <v>0</v>
      </c>
      <c r="O36" s="16"/>
      <c r="P36" s="55">
        <f t="shared" si="21"/>
        <v>0</v>
      </c>
      <c r="Q36" s="26">
        <f t="shared" si="18"/>
        <v>0</v>
      </c>
      <c r="R36" s="40">
        <f t="shared" si="5"/>
        <v>0</v>
      </c>
      <c r="S36" s="40">
        <f t="shared" si="6"/>
        <v>0</v>
      </c>
      <c r="T36" s="40">
        <f t="shared" si="7"/>
        <v>0</v>
      </c>
      <c r="U36" s="40">
        <f>R36/VLOOKUP(LARGE($L$3:$L$80,1),L$3:$W$80,7,FALSE)</f>
        <v>0</v>
      </c>
      <c r="V36" s="40">
        <f t="shared" si="8"/>
        <v>0</v>
      </c>
      <c r="W36" s="40">
        <f t="shared" si="9"/>
        <v>0</v>
      </c>
      <c r="X36" s="42">
        <f t="shared" si="10"/>
        <v>0</v>
      </c>
      <c r="Y36" s="29">
        <f t="shared" si="19"/>
        <v>0</v>
      </c>
      <c r="Z36" s="39">
        <f t="shared" si="20"/>
        <v>0</v>
      </c>
      <c r="AA36" s="41">
        <f t="shared" si="11"/>
        <v>0</v>
      </c>
      <c r="AD36" s="16"/>
      <c r="AE36" s="43">
        <f t="shared" si="12"/>
        <v>0</v>
      </c>
      <c r="AF36" s="43">
        <f t="shared" si="13"/>
        <v>0</v>
      </c>
      <c r="AG36" s="44">
        <f t="shared" si="14"/>
        <v>0</v>
      </c>
      <c r="AH36" s="35"/>
      <c r="AI36" s="47">
        <f t="shared" si="15"/>
        <v>0</v>
      </c>
      <c r="AJ36" s="47">
        <f t="shared" si="16"/>
        <v>0</v>
      </c>
      <c r="AK36" s="47">
        <f t="shared" si="17"/>
        <v>0</v>
      </c>
      <c r="AL36" s="10" t="s">
        <v>36</v>
      </c>
    </row>
    <row r="37" spans="1:38" ht="19.5" customHeight="1" x14ac:dyDescent="0.25">
      <c r="A37" s="10" t="s">
        <v>37</v>
      </c>
      <c r="B37" s="70"/>
      <c r="C37" s="70"/>
      <c r="D37" s="70"/>
      <c r="E37" s="71"/>
      <c r="F37" s="71"/>
      <c r="G37" s="71"/>
      <c r="H37" s="71"/>
      <c r="I37" s="49">
        <f t="shared" si="0"/>
        <v>0</v>
      </c>
      <c r="J37" s="49">
        <f t="shared" si="1"/>
        <v>0</v>
      </c>
      <c r="K37" s="49">
        <f t="shared" si="2"/>
        <v>0</v>
      </c>
      <c r="L37" s="49">
        <f t="shared" si="3"/>
        <v>0</v>
      </c>
      <c r="M37" s="51">
        <f t="shared" si="4"/>
        <v>0</v>
      </c>
      <c r="O37" s="16"/>
      <c r="P37" s="55">
        <f t="shared" si="21"/>
        <v>0</v>
      </c>
      <c r="Q37" s="26">
        <f t="shared" si="18"/>
        <v>0</v>
      </c>
      <c r="R37" s="40">
        <f t="shared" si="5"/>
        <v>0</v>
      </c>
      <c r="S37" s="40">
        <f t="shared" si="6"/>
        <v>0</v>
      </c>
      <c r="T37" s="40">
        <f t="shared" si="7"/>
        <v>0</v>
      </c>
      <c r="U37" s="40">
        <f>R37/VLOOKUP(LARGE($L$3:$L$80,1),L$3:$W$80,7,FALSE)</f>
        <v>0</v>
      </c>
      <c r="V37" s="40">
        <f t="shared" si="8"/>
        <v>0</v>
      </c>
      <c r="W37" s="40">
        <f t="shared" si="9"/>
        <v>0</v>
      </c>
      <c r="X37" s="42">
        <f t="shared" si="10"/>
        <v>0</v>
      </c>
      <c r="Y37" s="29">
        <f t="shared" si="19"/>
        <v>0</v>
      </c>
      <c r="Z37" s="39">
        <f t="shared" si="20"/>
        <v>0</v>
      </c>
      <c r="AA37" s="41">
        <f t="shared" si="11"/>
        <v>0</v>
      </c>
      <c r="AD37" s="16"/>
      <c r="AE37" s="43">
        <f t="shared" si="12"/>
        <v>0</v>
      </c>
      <c r="AF37" s="43">
        <f t="shared" si="13"/>
        <v>0</v>
      </c>
      <c r="AG37" s="44">
        <f t="shared" si="14"/>
        <v>0</v>
      </c>
      <c r="AH37" s="35"/>
      <c r="AI37" s="47">
        <f t="shared" si="15"/>
        <v>0</v>
      </c>
      <c r="AJ37" s="47">
        <f t="shared" si="16"/>
        <v>0</v>
      </c>
      <c r="AK37" s="47">
        <f t="shared" si="17"/>
        <v>0</v>
      </c>
      <c r="AL37" s="10" t="s">
        <v>37</v>
      </c>
    </row>
    <row r="38" spans="1:38" ht="19.5" customHeight="1" x14ac:dyDescent="0.25">
      <c r="A38" s="10" t="s">
        <v>38</v>
      </c>
      <c r="B38" s="70"/>
      <c r="C38" s="70"/>
      <c r="D38" s="70"/>
      <c r="E38" s="71"/>
      <c r="F38" s="71"/>
      <c r="G38" s="71"/>
      <c r="H38" s="71"/>
      <c r="I38" s="49">
        <f t="shared" si="0"/>
        <v>0</v>
      </c>
      <c r="J38" s="49">
        <f t="shared" si="1"/>
        <v>0</v>
      </c>
      <c r="K38" s="49">
        <f t="shared" si="2"/>
        <v>0</v>
      </c>
      <c r="L38" s="49">
        <f t="shared" si="3"/>
        <v>0</v>
      </c>
      <c r="M38" s="51">
        <f t="shared" si="4"/>
        <v>0</v>
      </c>
      <c r="O38" s="16"/>
      <c r="P38" s="55">
        <f t="shared" si="21"/>
        <v>0</v>
      </c>
      <c r="Q38" s="26">
        <f t="shared" si="18"/>
        <v>0</v>
      </c>
      <c r="R38" s="40">
        <f t="shared" si="5"/>
        <v>0</v>
      </c>
      <c r="S38" s="40">
        <f t="shared" si="6"/>
        <v>0</v>
      </c>
      <c r="T38" s="40">
        <f t="shared" si="7"/>
        <v>0</v>
      </c>
      <c r="U38" s="40">
        <f>R38/VLOOKUP(LARGE($L$3:$L$80,1),L$3:$W$80,7,FALSE)</f>
        <v>0</v>
      </c>
      <c r="V38" s="40">
        <f t="shared" si="8"/>
        <v>0</v>
      </c>
      <c r="W38" s="40">
        <f t="shared" si="9"/>
        <v>0</v>
      </c>
      <c r="X38" s="42">
        <f t="shared" si="10"/>
        <v>0</v>
      </c>
      <c r="Y38" s="29">
        <f t="shared" si="19"/>
        <v>0</v>
      </c>
      <c r="Z38" s="39">
        <f t="shared" si="20"/>
        <v>0</v>
      </c>
      <c r="AA38" s="41">
        <f t="shared" si="11"/>
        <v>0</v>
      </c>
      <c r="AD38" s="16"/>
      <c r="AE38" s="43">
        <f t="shared" si="12"/>
        <v>0</v>
      </c>
      <c r="AF38" s="43">
        <f t="shared" si="13"/>
        <v>0</v>
      </c>
      <c r="AG38" s="44">
        <f t="shared" si="14"/>
        <v>0</v>
      </c>
      <c r="AH38" s="35"/>
      <c r="AI38" s="47">
        <f t="shared" si="15"/>
        <v>0</v>
      </c>
      <c r="AJ38" s="47">
        <f t="shared" si="16"/>
        <v>0</v>
      </c>
      <c r="AK38" s="47">
        <f t="shared" si="17"/>
        <v>0</v>
      </c>
      <c r="AL38" s="10" t="s">
        <v>38</v>
      </c>
    </row>
    <row r="39" spans="1:38" ht="19.5" customHeight="1" x14ac:dyDescent="0.25">
      <c r="A39" s="10" t="s">
        <v>39</v>
      </c>
      <c r="B39" s="70"/>
      <c r="C39" s="70"/>
      <c r="D39" s="70"/>
      <c r="E39" s="71"/>
      <c r="F39" s="71"/>
      <c r="G39" s="71"/>
      <c r="H39" s="71"/>
      <c r="I39" s="49">
        <f t="shared" si="0"/>
        <v>0</v>
      </c>
      <c r="J39" s="49">
        <f t="shared" si="1"/>
        <v>0</v>
      </c>
      <c r="K39" s="49">
        <f t="shared" si="2"/>
        <v>0</v>
      </c>
      <c r="L39" s="49">
        <f t="shared" si="3"/>
        <v>0</v>
      </c>
      <c r="M39" s="51">
        <f t="shared" si="4"/>
        <v>0</v>
      </c>
      <c r="O39" s="16"/>
      <c r="P39" s="55">
        <f t="shared" si="21"/>
        <v>0</v>
      </c>
      <c r="Q39" s="26">
        <f t="shared" si="18"/>
        <v>0</v>
      </c>
      <c r="R39" s="40">
        <f t="shared" si="5"/>
        <v>0</v>
      </c>
      <c r="S39" s="40">
        <f t="shared" si="6"/>
        <v>0</v>
      </c>
      <c r="T39" s="40">
        <f t="shared" si="7"/>
        <v>0</v>
      </c>
      <c r="U39" s="40">
        <f>R39/VLOOKUP(LARGE($L$3:$L$80,1),L$3:$W$80,7,FALSE)</f>
        <v>0</v>
      </c>
      <c r="V39" s="40">
        <f t="shared" si="8"/>
        <v>0</v>
      </c>
      <c r="W39" s="40">
        <f t="shared" si="9"/>
        <v>0</v>
      </c>
      <c r="X39" s="42">
        <f t="shared" si="10"/>
        <v>0</v>
      </c>
      <c r="Y39" s="29">
        <f t="shared" si="19"/>
        <v>0</v>
      </c>
      <c r="Z39" s="39">
        <f t="shared" si="20"/>
        <v>0</v>
      </c>
      <c r="AA39" s="41">
        <f t="shared" si="11"/>
        <v>0</v>
      </c>
      <c r="AD39" s="16"/>
      <c r="AE39" s="43">
        <f t="shared" si="12"/>
        <v>0</v>
      </c>
      <c r="AF39" s="43">
        <f t="shared" si="13"/>
        <v>0</v>
      </c>
      <c r="AG39" s="44">
        <f t="shared" si="14"/>
        <v>0</v>
      </c>
      <c r="AH39" s="35"/>
      <c r="AI39" s="47">
        <f t="shared" si="15"/>
        <v>0</v>
      </c>
      <c r="AJ39" s="47">
        <f t="shared" si="16"/>
        <v>0</v>
      </c>
      <c r="AK39" s="47">
        <f t="shared" si="17"/>
        <v>0</v>
      </c>
      <c r="AL39" s="10" t="s">
        <v>39</v>
      </c>
    </row>
    <row r="40" spans="1:38" ht="19.5" customHeight="1" x14ac:dyDescent="0.25">
      <c r="A40" s="10" t="s">
        <v>40</v>
      </c>
      <c r="B40" s="70"/>
      <c r="C40" s="70"/>
      <c r="D40" s="70"/>
      <c r="E40" s="71"/>
      <c r="F40" s="71"/>
      <c r="G40" s="71"/>
      <c r="H40" s="71"/>
      <c r="I40" s="49">
        <f t="shared" si="0"/>
        <v>0</v>
      </c>
      <c r="J40" s="49">
        <f t="shared" si="1"/>
        <v>0</v>
      </c>
      <c r="K40" s="49">
        <f t="shared" si="2"/>
        <v>0</v>
      </c>
      <c r="L40" s="49">
        <f t="shared" si="3"/>
        <v>0</v>
      </c>
      <c r="M40" s="51">
        <f t="shared" si="4"/>
        <v>0</v>
      </c>
      <c r="O40" s="16"/>
      <c r="P40" s="55">
        <f t="shared" si="21"/>
        <v>0</v>
      </c>
      <c r="Q40" s="26">
        <f t="shared" si="18"/>
        <v>0</v>
      </c>
      <c r="R40" s="40">
        <f t="shared" si="5"/>
        <v>0</v>
      </c>
      <c r="S40" s="40">
        <f t="shared" si="6"/>
        <v>0</v>
      </c>
      <c r="T40" s="40">
        <f t="shared" si="7"/>
        <v>0</v>
      </c>
      <c r="U40" s="40">
        <f>R40/VLOOKUP(LARGE($L$3:$L$80,1),L$3:$W$80,7,FALSE)</f>
        <v>0</v>
      </c>
      <c r="V40" s="40">
        <f t="shared" si="8"/>
        <v>0</v>
      </c>
      <c r="W40" s="40">
        <f t="shared" si="9"/>
        <v>0</v>
      </c>
      <c r="X40" s="42">
        <f t="shared" si="10"/>
        <v>0</v>
      </c>
      <c r="Y40" s="29">
        <f t="shared" si="19"/>
        <v>0</v>
      </c>
      <c r="Z40" s="39">
        <f t="shared" si="20"/>
        <v>0</v>
      </c>
      <c r="AA40" s="41">
        <f t="shared" si="11"/>
        <v>0</v>
      </c>
      <c r="AD40" s="16"/>
      <c r="AE40" s="43">
        <f t="shared" si="12"/>
        <v>0</v>
      </c>
      <c r="AF40" s="43">
        <f t="shared" si="13"/>
        <v>0</v>
      </c>
      <c r="AG40" s="44">
        <f t="shared" si="14"/>
        <v>0</v>
      </c>
      <c r="AH40" s="35"/>
      <c r="AI40" s="47">
        <f t="shared" si="15"/>
        <v>0</v>
      </c>
      <c r="AJ40" s="47">
        <f t="shared" si="16"/>
        <v>0</v>
      </c>
      <c r="AK40" s="47">
        <f t="shared" si="17"/>
        <v>0</v>
      </c>
      <c r="AL40" s="10" t="s">
        <v>40</v>
      </c>
    </row>
    <row r="41" spans="1:38" ht="19.5" customHeight="1" x14ac:dyDescent="0.25">
      <c r="A41" s="10" t="s">
        <v>41</v>
      </c>
      <c r="B41" s="70"/>
      <c r="C41" s="70"/>
      <c r="D41" s="70"/>
      <c r="E41" s="71"/>
      <c r="F41" s="71"/>
      <c r="G41" s="71"/>
      <c r="H41" s="71"/>
      <c r="I41" s="49">
        <f t="shared" si="0"/>
        <v>0</v>
      </c>
      <c r="J41" s="49">
        <f t="shared" si="1"/>
        <v>0</v>
      </c>
      <c r="K41" s="49">
        <f t="shared" si="2"/>
        <v>0</v>
      </c>
      <c r="L41" s="49">
        <f t="shared" si="3"/>
        <v>0</v>
      </c>
      <c r="M41" s="51">
        <f t="shared" si="4"/>
        <v>0</v>
      </c>
      <c r="O41" s="16"/>
      <c r="P41" s="55">
        <f t="shared" si="21"/>
        <v>0</v>
      </c>
      <c r="Q41" s="26">
        <f t="shared" si="18"/>
        <v>0</v>
      </c>
      <c r="R41" s="40">
        <f t="shared" si="5"/>
        <v>0</v>
      </c>
      <c r="S41" s="40">
        <f t="shared" si="6"/>
        <v>0</v>
      </c>
      <c r="T41" s="40">
        <f t="shared" si="7"/>
        <v>0</v>
      </c>
      <c r="U41" s="40">
        <f>R41/VLOOKUP(LARGE($L$3:$L$80,1),L$3:$W$80,7,FALSE)</f>
        <v>0</v>
      </c>
      <c r="V41" s="40">
        <f t="shared" si="8"/>
        <v>0</v>
      </c>
      <c r="W41" s="40">
        <f t="shared" si="9"/>
        <v>0</v>
      </c>
      <c r="X41" s="42">
        <f t="shared" si="10"/>
        <v>0</v>
      </c>
      <c r="Y41" s="29">
        <f t="shared" si="19"/>
        <v>0</v>
      </c>
      <c r="Z41" s="39">
        <f t="shared" si="20"/>
        <v>0</v>
      </c>
      <c r="AA41" s="41">
        <f t="shared" si="11"/>
        <v>0</v>
      </c>
      <c r="AD41" s="16"/>
      <c r="AE41" s="43">
        <f t="shared" si="12"/>
        <v>0</v>
      </c>
      <c r="AF41" s="43">
        <f t="shared" si="13"/>
        <v>0</v>
      </c>
      <c r="AG41" s="44">
        <f t="shared" si="14"/>
        <v>0</v>
      </c>
      <c r="AH41" s="35"/>
      <c r="AI41" s="47">
        <f t="shared" si="15"/>
        <v>0</v>
      </c>
      <c r="AJ41" s="47">
        <f t="shared" si="16"/>
        <v>0</v>
      </c>
      <c r="AK41" s="47">
        <f t="shared" si="17"/>
        <v>0</v>
      </c>
      <c r="AL41" s="10" t="s">
        <v>41</v>
      </c>
    </row>
    <row r="42" spans="1:38" ht="19.5" customHeight="1" x14ac:dyDescent="0.25">
      <c r="A42" s="10" t="s">
        <v>42</v>
      </c>
      <c r="B42" s="70"/>
      <c r="C42" s="70"/>
      <c r="D42" s="70"/>
      <c r="E42" s="71"/>
      <c r="F42" s="71"/>
      <c r="G42" s="71"/>
      <c r="H42" s="71"/>
      <c r="I42" s="49">
        <f t="shared" si="0"/>
        <v>0</v>
      </c>
      <c r="J42" s="49">
        <f t="shared" si="1"/>
        <v>0</v>
      </c>
      <c r="K42" s="49">
        <f t="shared" si="2"/>
        <v>0</v>
      </c>
      <c r="L42" s="49">
        <f t="shared" si="3"/>
        <v>0</v>
      </c>
      <c r="M42" s="51">
        <f t="shared" si="4"/>
        <v>0</v>
      </c>
      <c r="O42" s="16"/>
      <c r="P42" s="55">
        <f t="shared" si="21"/>
        <v>0</v>
      </c>
      <c r="Q42" s="26">
        <f t="shared" si="18"/>
        <v>0</v>
      </c>
      <c r="R42" s="40">
        <f t="shared" si="5"/>
        <v>0</v>
      </c>
      <c r="S42" s="40">
        <f t="shared" si="6"/>
        <v>0</v>
      </c>
      <c r="T42" s="40">
        <f t="shared" si="7"/>
        <v>0</v>
      </c>
      <c r="U42" s="40">
        <f>R42/VLOOKUP(LARGE($L$3:$L$80,1),L$3:$W$80,7,FALSE)</f>
        <v>0</v>
      </c>
      <c r="V42" s="40">
        <f t="shared" si="8"/>
        <v>0</v>
      </c>
      <c r="W42" s="40">
        <f t="shared" si="9"/>
        <v>0</v>
      </c>
      <c r="X42" s="42">
        <f t="shared" si="10"/>
        <v>0</v>
      </c>
      <c r="Y42" s="29">
        <f t="shared" si="19"/>
        <v>0</v>
      </c>
      <c r="Z42" s="39">
        <f t="shared" si="20"/>
        <v>0</v>
      </c>
      <c r="AA42" s="41">
        <f t="shared" si="11"/>
        <v>0</v>
      </c>
      <c r="AD42" s="16"/>
      <c r="AE42" s="43">
        <f t="shared" si="12"/>
        <v>0</v>
      </c>
      <c r="AF42" s="43">
        <f t="shared" si="13"/>
        <v>0</v>
      </c>
      <c r="AG42" s="44">
        <f t="shared" si="14"/>
        <v>0</v>
      </c>
      <c r="AH42" s="35"/>
      <c r="AI42" s="47">
        <f t="shared" si="15"/>
        <v>0</v>
      </c>
      <c r="AJ42" s="47">
        <f t="shared" si="16"/>
        <v>0</v>
      </c>
      <c r="AK42" s="47">
        <f t="shared" si="17"/>
        <v>0</v>
      </c>
      <c r="AL42" s="10" t="s">
        <v>42</v>
      </c>
    </row>
    <row r="43" spans="1:38" ht="19.5" customHeight="1" x14ac:dyDescent="0.25">
      <c r="A43" s="10" t="s">
        <v>43</v>
      </c>
      <c r="B43" s="70"/>
      <c r="C43" s="70"/>
      <c r="D43" s="70"/>
      <c r="E43" s="71"/>
      <c r="F43" s="71"/>
      <c r="G43" s="71"/>
      <c r="H43" s="71"/>
      <c r="I43" s="49">
        <f t="shared" si="0"/>
        <v>0</v>
      </c>
      <c r="J43" s="49">
        <f t="shared" si="1"/>
        <v>0</v>
      </c>
      <c r="K43" s="49">
        <f t="shared" si="2"/>
        <v>0</v>
      </c>
      <c r="L43" s="49">
        <f t="shared" si="3"/>
        <v>0</v>
      </c>
      <c r="M43" s="51">
        <f t="shared" si="4"/>
        <v>0</v>
      </c>
      <c r="O43" s="16"/>
      <c r="P43" s="55">
        <f t="shared" si="21"/>
        <v>0</v>
      </c>
      <c r="Q43" s="26">
        <f t="shared" si="18"/>
        <v>0</v>
      </c>
      <c r="R43" s="40">
        <f t="shared" si="5"/>
        <v>0</v>
      </c>
      <c r="S43" s="40">
        <f t="shared" si="6"/>
        <v>0</v>
      </c>
      <c r="T43" s="40">
        <f t="shared" si="7"/>
        <v>0</v>
      </c>
      <c r="U43" s="40">
        <f>R43/VLOOKUP(LARGE($L$3:$L$80,1),L$3:$W$80,7,FALSE)</f>
        <v>0</v>
      </c>
      <c r="V43" s="40">
        <f t="shared" si="8"/>
        <v>0</v>
      </c>
      <c r="W43" s="40">
        <f t="shared" si="9"/>
        <v>0</v>
      </c>
      <c r="X43" s="42">
        <f t="shared" si="10"/>
        <v>0</v>
      </c>
      <c r="Y43" s="29">
        <f t="shared" si="19"/>
        <v>0</v>
      </c>
      <c r="Z43" s="39">
        <f t="shared" si="20"/>
        <v>0</v>
      </c>
      <c r="AA43" s="41">
        <f t="shared" si="11"/>
        <v>0</v>
      </c>
      <c r="AD43" s="16"/>
      <c r="AE43" s="43">
        <f t="shared" si="12"/>
        <v>0</v>
      </c>
      <c r="AF43" s="43">
        <f t="shared" si="13"/>
        <v>0</v>
      </c>
      <c r="AG43" s="44">
        <f t="shared" si="14"/>
        <v>0</v>
      </c>
      <c r="AH43" s="35"/>
      <c r="AI43" s="47">
        <f t="shared" si="15"/>
        <v>0</v>
      </c>
      <c r="AJ43" s="47">
        <f t="shared" si="16"/>
        <v>0</v>
      </c>
      <c r="AK43" s="47">
        <f t="shared" si="17"/>
        <v>0</v>
      </c>
      <c r="AL43" s="10" t="s">
        <v>43</v>
      </c>
    </row>
    <row r="44" spans="1:38" ht="19.5" customHeight="1" x14ac:dyDescent="0.25">
      <c r="A44" s="10" t="s">
        <v>44</v>
      </c>
      <c r="B44" s="70"/>
      <c r="C44" s="70"/>
      <c r="D44" s="70"/>
      <c r="E44" s="71"/>
      <c r="F44" s="71"/>
      <c r="G44" s="71"/>
      <c r="H44" s="71"/>
      <c r="I44" s="49">
        <f t="shared" si="0"/>
        <v>0</v>
      </c>
      <c r="J44" s="49">
        <f t="shared" si="1"/>
        <v>0</v>
      </c>
      <c r="K44" s="49">
        <f t="shared" si="2"/>
        <v>0</v>
      </c>
      <c r="L44" s="49">
        <f t="shared" si="3"/>
        <v>0</v>
      </c>
      <c r="M44" s="51">
        <f t="shared" si="4"/>
        <v>0</v>
      </c>
      <c r="O44" s="16"/>
      <c r="P44" s="55">
        <f t="shared" si="21"/>
        <v>0</v>
      </c>
      <c r="Q44" s="26">
        <f t="shared" si="18"/>
        <v>0</v>
      </c>
      <c r="R44" s="40">
        <f t="shared" si="5"/>
        <v>0</v>
      </c>
      <c r="S44" s="40">
        <f t="shared" si="6"/>
        <v>0</v>
      </c>
      <c r="T44" s="40">
        <f t="shared" si="7"/>
        <v>0</v>
      </c>
      <c r="U44" s="40">
        <f>R44/VLOOKUP(LARGE($L$3:$L$80,1),L$3:$W$80,7,FALSE)</f>
        <v>0</v>
      </c>
      <c r="V44" s="40">
        <f t="shared" si="8"/>
        <v>0</v>
      </c>
      <c r="W44" s="40">
        <f t="shared" si="9"/>
        <v>0</v>
      </c>
      <c r="X44" s="42">
        <f t="shared" si="10"/>
        <v>0</v>
      </c>
      <c r="Y44" s="29">
        <f t="shared" si="19"/>
        <v>0</v>
      </c>
      <c r="Z44" s="39">
        <f t="shared" si="20"/>
        <v>0</v>
      </c>
      <c r="AA44" s="41">
        <f t="shared" si="11"/>
        <v>0</v>
      </c>
      <c r="AD44" s="16"/>
      <c r="AE44" s="43">
        <f t="shared" si="12"/>
        <v>0</v>
      </c>
      <c r="AF44" s="43">
        <f t="shared" si="13"/>
        <v>0</v>
      </c>
      <c r="AG44" s="44">
        <f t="shared" si="14"/>
        <v>0</v>
      </c>
      <c r="AH44" s="35"/>
      <c r="AI44" s="47">
        <f t="shared" si="15"/>
        <v>0</v>
      </c>
      <c r="AJ44" s="47">
        <f t="shared" si="16"/>
        <v>0</v>
      </c>
      <c r="AK44" s="47">
        <f t="shared" si="17"/>
        <v>0</v>
      </c>
      <c r="AL44" s="10" t="s">
        <v>44</v>
      </c>
    </row>
    <row r="45" spans="1:38" ht="19.5" customHeight="1" x14ac:dyDescent="0.25">
      <c r="A45" s="10" t="s">
        <v>45</v>
      </c>
      <c r="B45" s="70"/>
      <c r="C45" s="70"/>
      <c r="D45" s="70"/>
      <c r="E45" s="71"/>
      <c r="F45" s="71"/>
      <c r="G45" s="71"/>
      <c r="H45" s="71"/>
      <c r="I45" s="49">
        <f t="shared" si="0"/>
        <v>0</v>
      </c>
      <c r="J45" s="49">
        <f t="shared" si="1"/>
        <v>0</v>
      </c>
      <c r="K45" s="49">
        <f t="shared" si="2"/>
        <v>0</v>
      </c>
      <c r="L45" s="49">
        <f t="shared" si="3"/>
        <v>0</v>
      </c>
      <c r="M45" s="51">
        <f t="shared" si="4"/>
        <v>0</v>
      </c>
      <c r="O45" s="16"/>
      <c r="P45" s="55">
        <f t="shared" si="21"/>
        <v>0</v>
      </c>
      <c r="Q45" s="26">
        <f t="shared" si="18"/>
        <v>0</v>
      </c>
      <c r="R45" s="40">
        <f t="shared" si="5"/>
        <v>0</v>
      </c>
      <c r="S45" s="40">
        <f t="shared" si="6"/>
        <v>0</v>
      </c>
      <c r="T45" s="40">
        <f t="shared" si="7"/>
        <v>0</v>
      </c>
      <c r="U45" s="40">
        <f>R45/VLOOKUP(LARGE($L$3:$L$80,1),L$3:$W$80,7,FALSE)</f>
        <v>0</v>
      </c>
      <c r="V45" s="40">
        <f t="shared" si="8"/>
        <v>0</v>
      </c>
      <c r="W45" s="40">
        <f t="shared" si="9"/>
        <v>0</v>
      </c>
      <c r="X45" s="42">
        <f t="shared" si="10"/>
        <v>0</v>
      </c>
      <c r="Y45" s="29">
        <f t="shared" si="19"/>
        <v>0</v>
      </c>
      <c r="Z45" s="39">
        <f t="shared" si="20"/>
        <v>0</v>
      </c>
      <c r="AA45" s="41">
        <f t="shared" si="11"/>
        <v>0</v>
      </c>
      <c r="AD45" s="16"/>
      <c r="AE45" s="43">
        <f t="shared" si="12"/>
        <v>0</v>
      </c>
      <c r="AF45" s="43">
        <f t="shared" si="13"/>
        <v>0</v>
      </c>
      <c r="AG45" s="44">
        <f t="shared" si="14"/>
        <v>0</v>
      </c>
      <c r="AH45" s="35"/>
      <c r="AI45" s="47">
        <f t="shared" si="15"/>
        <v>0</v>
      </c>
      <c r="AJ45" s="47">
        <f t="shared" si="16"/>
        <v>0</v>
      </c>
      <c r="AK45" s="47">
        <f t="shared" si="17"/>
        <v>0</v>
      </c>
      <c r="AL45" s="10" t="s">
        <v>45</v>
      </c>
    </row>
    <row r="46" spans="1:38" ht="19.5" customHeight="1" x14ac:dyDescent="0.25">
      <c r="A46" s="10" t="s">
        <v>46</v>
      </c>
      <c r="B46" s="70"/>
      <c r="C46" s="70"/>
      <c r="D46" s="70"/>
      <c r="E46" s="71"/>
      <c r="F46" s="71"/>
      <c r="G46" s="71"/>
      <c r="H46" s="71"/>
      <c r="I46" s="49">
        <f t="shared" si="0"/>
        <v>0</v>
      </c>
      <c r="J46" s="49">
        <f t="shared" si="1"/>
        <v>0</v>
      </c>
      <c r="K46" s="49">
        <f t="shared" si="2"/>
        <v>0</v>
      </c>
      <c r="L46" s="49">
        <f t="shared" si="3"/>
        <v>0</v>
      </c>
      <c r="M46" s="51">
        <f t="shared" si="4"/>
        <v>0</v>
      </c>
      <c r="O46" s="16"/>
      <c r="P46" s="55">
        <f t="shared" si="21"/>
        <v>0</v>
      </c>
      <c r="Q46" s="26">
        <f t="shared" si="18"/>
        <v>0</v>
      </c>
      <c r="R46" s="40">
        <f t="shared" si="5"/>
        <v>0</v>
      </c>
      <c r="S46" s="40">
        <f t="shared" si="6"/>
        <v>0</v>
      </c>
      <c r="T46" s="40">
        <f t="shared" si="7"/>
        <v>0</v>
      </c>
      <c r="U46" s="40">
        <f>R46/VLOOKUP(LARGE($L$3:$L$80,1),L$3:$W$80,7,FALSE)</f>
        <v>0</v>
      </c>
      <c r="V46" s="40">
        <f t="shared" si="8"/>
        <v>0</v>
      </c>
      <c r="W46" s="40">
        <f t="shared" si="9"/>
        <v>0</v>
      </c>
      <c r="X46" s="42">
        <f t="shared" si="10"/>
        <v>0</v>
      </c>
      <c r="Y46" s="29">
        <f t="shared" si="19"/>
        <v>0</v>
      </c>
      <c r="Z46" s="39">
        <f t="shared" si="20"/>
        <v>0</v>
      </c>
      <c r="AA46" s="41">
        <f t="shared" si="11"/>
        <v>0</v>
      </c>
      <c r="AD46" s="16"/>
      <c r="AE46" s="43">
        <f t="shared" si="12"/>
        <v>0</v>
      </c>
      <c r="AF46" s="43">
        <f t="shared" si="13"/>
        <v>0</v>
      </c>
      <c r="AG46" s="44">
        <f t="shared" si="14"/>
        <v>0</v>
      </c>
      <c r="AH46" s="35"/>
      <c r="AI46" s="47">
        <f t="shared" si="15"/>
        <v>0</v>
      </c>
      <c r="AJ46" s="47">
        <f t="shared" si="16"/>
        <v>0</v>
      </c>
      <c r="AK46" s="47">
        <f t="shared" si="17"/>
        <v>0</v>
      </c>
      <c r="AL46" s="10" t="s">
        <v>46</v>
      </c>
    </row>
    <row r="47" spans="1:38" ht="19.5" customHeight="1" x14ac:dyDescent="0.25">
      <c r="A47" s="10" t="s">
        <v>47</v>
      </c>
      <c r="B47" s="70"/>
      <c r="C47" s="70"/>
      <c r="D47" s="70"/>
      <c r="E47" s="71"/>
      <c r="F47" s="71"/>
      <c r="G47" s="71"/>
      <c r="H47" s="71"/>
      <c r="I47" s="49">
        <f t="shared" si="0"/>
        <v>0</v>
      </c>
      <c r="J47" s="49">
        <f t="shared" si="1"/>
        <v>0</v>
      </c>
      <c r="K47" s="49">
        <f t="shared" si="2"/>
        <v>0</v>
      </c>
      <c r="L47" s="49">
        <f t="shared" si="3"/>
        <v>0</v>
      </c>
      <c r="M47" s="51">
        <f t="shared" si="4"/>
        <v>0</v>
      </c>
      <c r="O47" s="16"/>
      <c r="P47" s="55">
        <f t="shared" si="21"/>
        <v>0</v>
      </c>
      <c r="Q47" s="26">
        <f t="shared" si="18"/>
        <v>0</v>
      </c>
      <c r="R47" s="40">
        <f t="shared" si="5"/>
        <v>0</v>
      </c>
      <c r="S47" s="40">
        <f t="shared" si="6"/>
        <v>0</v>
      </c>
      <c r="T47" s="40">
        <f t="shared" si="7"/>
        <v>0</v>
      </c>
      <c r="U47" s="40">
        <f>R47/VLOOKUP(LARGE($L$3:$L$80,1),L$3:$W$80,7,FALSE)</f>
        <v>0</v>
      </c>
      <c r="V47" s="40">
        <f t="shared" si="8"/>
        <v>0</v>
      </c>
      <c r="W47" s="40">
        <f t="shared" si="9"/>
        <v>0</v>
      </c>
      <c r="X47" s="42">
        <f t="shared" si="10"/>
        <v>0</v>
      </c>
      <c r="Y47" s="29">
        <f t="shared" si="19"/>
        <v>0</v>
      </c>
      <c r="Z47" s="39">
        <f t="shared" si="20"/>
        <v>0</v>
      </c>
      <c r="AA47" s="41">
        <f t="shared" si="11"/>
        <v>0</v>
      </c>
      <c r="AD47" s="16"/>
      <c r="AE47" s="43">
        <f t="shared" si="12"/>
        <v>0</v>
      </c>
      <c r="AF47" s="43">
        <f t="shared" si="13"/>
        <v>0</v>
      </c>
      <c r="AG47" s="44">
        <f t="shared" si="14"/>
        <v>0</v>
      </c>
      <c r="AH47" s="35"/>
      <c r="AI47" s="47">
        <f t="shared" si="15"/>
        <v>0</v>
      </c>
      <c r="AJ47" s="47">
        <f t="shared" si="16"/>
        <v>0</v>
      </c>
      <c r="AK47" s="47">
        <f t="shared" si="17"/>
        <v>0</v>
      </c>
      <c r="AL47" s="10" t="s">
        <v>47</v>
      </c>
    </row>
    <row r="48" spans="1:38" ht="19.5" customHeight="1" x14ac:dyDescent="0.25">
      <c r="A48" s="10" t="s">
        <v>48</v>
      </c>
      <c r="B48" s="70"/>
      <c r="C48" s="70"/>
      <c r="D48" s="70"/>
      <c r="E48" s="71"/>
      <c r="F48" s="71"/>
      <c r="G48" s="71"/>
      <c r="H48" s="71"/>
      <c r="I48" s="49">
        <f t="shared" si="0"/>
        <v>0</v>
      </c>
      <c r="J48" s="49">
        <f t="shared" si="1"/>
        <v>0</v>
      </c>
      <c r="K48" s="49">
        <f t="shared" si="2"/>
        <v>0</v>
      </c>
      <c r="L48" s="49">
        <f t="shared" si="3"/>
        <v>0</v>
      </c>
      <c r="M48" s="51">
        <f t="shared" si="4"/>
        <v>0</v>
      </c>
      <c r="O48" s="16"/>
      <c r="P48" s="55">
        <f t="shared" si="21"/>
        <v>0</v>
      </c>
      <c r="Q48" s="26">
        <f t="shared" si="18"/>
        <v>0</v>
      </c>
      <c r="R48" s="40">
        <f t="shared" si="5"/>
        <v>0</v>
      </c>
      <c r="S48" s="40">
        <f t="shared" si="6"/>
        <v>0</v>
      </c>
      <c r="T48" s="40">
        <f t="shared" si="7"/>
        <v>0</v>
      </c>
      <c r="U48" s="40">
        <f>R48/VLOOKUP(LARGE($L$3:$L$80,1),L$3:$W$80,7,FALSE)</f>
        <v>0</v>
      </c>
      <c r="V48" s="40">
        <f t="shared" si="8"/>
        <v>0</v>
      </c>
      <c r="W48" s="40">
        <f t="shared" si="9"/>
        <v>0</v>
      </c>
      <c r="X48" s="42">
        <f t="shared" si="10"/>
        <v>0</v>
      </c>
      <c r="Y48" s="29">
        <f t="shared" si="19"/>
        <v>0</v>
      </c>
      <c r="Z48" s="39">
        <f t="shared" si="20"/>
        <v>0</v>
      </c>
      <c r="AA48" s="41">
        <f t="shared" si="11"/>
        <v>0</v>
      </c>
      <c r="AD48" s="16"/>
      <c r="AE48" s="43">
        <f t="shared" si="12"/>
        <v>0</v>
      </c>
      <c r="AF48" s="43">
        <f t="shared" si="13"/>
        <v>0</v>
      </c>
      <c r="AG48" s="44">
        <f t="shared" si="14"/>
        <v>0</v>
      </c>
      <c r="AH48" s="35"/>
      <c r="AI48" s="47">
        <f t="shared" si="15"/>
        <v>0</v>
      </c>
      <c r="AJ48" s="47">
        <f t="shared" si="16"/>
        <v>0</v>
      </c>
      <c r="AK48" s="47">
        <f t="shared" si="17"/>
        <v>0</v>
      </c>
      <c r="AL48" s="10" t="s">
        <v>48</v>
      </c>
    </row>
    <row r="49" spans="1:38" ht="19.5" customHeight="1" x14ac:dyDescent="0.25">
      <c r="A49" s="10" t="s">
        <v>49</v>
      </c>
      <c r="B49" s="70"/>
      <c r="C49" s="70"/>
      <c r="D49" s="70"/>
      <c r="E49" s="71"/>
      <c r="F49" s="71"/>
      <c r="G49" s="71"/>
      <c r="H49" s="71"/>
      <c r="I49" s="49">
        <f t="shared" si="0"/>
        <v>0</v>
      </c>
      <c r="J49" s="49">
        <f t="shared" si="1"/>
        <v>0</v>
      </c>
      <c r="K49" s="49">
        <f t="shared" si="2"/>
        <v>0</v>
      </c>
      <c r="L49" s="49">
        <f t="shared" si="3"/>
        <v>0</v>
      </c>
      <c r="M49" s="51">
        <f t="shared" si="4"/>
        <v>0</v>
      </c>
      <c r="O49" s="16"/>
      <c r="P49" s="55">
        <f t="shared" si="21"/>
        <v>0</v>
      </c>
      <c r="Q49" s="26">
        <f t="shared" si="18"/>
        <v>0</v>
      </c>
      <c r="R49" s="40">
        <f t="shared" si="5"/>
        <v>0</v>
      </c>
      <c r="S49" s="40">
        <f t="shared" si="6"/>
        <v>0</v>
      </c>
      <c r="T49" s="40">
        <f t="shared" si="7"/>
        <v>0</v>
      </c>
      <c r="U49" s="40">
        <f>R49/VLOOKUP(LARGE($L$3:$L$80,1),L$3:$W$80,7,FALSE)</f>
        <v>0</v>
      </c>
      <c r="V49" s="40">
        <f t="shared" si="8"/>
        <v>0</v>
      </c>
      <c r="W49" s="40">
        <f t="shared" si="9"/>
        <v>0</v>
      </c>
      <c r="X49" s="42">
        <f t="shared" si="10"/>
        <v>0</v>
      </c>
      <c r="Y49" s="29">
        <f t="shared" si="19"/>
        <v>0</v>
      </c>
      <c r="Z49" s="39">
        <f t="shared" si="20"/>
        <v>0</v>
      </c>
      <c r="AA49" s="41">
        <f t="shared" si="11"/>
        <v>0</v>
      </c>
      <c r="AD49" s="16"/>
      <c r="AE49" s="43">
        <f t="shared" si="12"/>
        <v>0</v>
      </c>
      <c r="AF49" s="43">
        <f t="shared" si="13"/>
        <v>0</v>
      </c>
      <c r="AG49" s="44">
        <f t="shared" si="14"/>
        <v>0</v>
      </c>
      <c r="AH49" s="35"/>
      <c r="AI49" s="47">
        <f t="shared" si="15"/>
        <v>0</v>
      </c>
      <c r="AJ49" s="47">
        <f t="shared" si="16"/>
        <v>0</v>
      </c>
      <c r="AK49" s="47">
        <f t="shared" si="17"/>
        <v>0</v>
      </c>
      <c r="AL49" s="10" t="s">
        <v>49</v>
      </c>
    </row>
    <row r="50" spans="1:38" ht="19.5" customHeight="1" x14ac:dyDescent="0.25">
      <c r="A50" s="10" t="s">
        <v>50</v>
      </c>
      <c r="B50" s="70"/>
      <c r="C50" s="70"/>
      <c r="D50" s="70"/>
      <c r="E50" s="71"/>
      <c r="F50" s="71"/>
      <c r="G50" s="71"/>
      <c r="H50" s="71"/>
      <c r="I50" s="49">
        <f t="shared" si="0"/>
        <v>0</v>
      </c>
      <c r="J50" s="49">
        <f t="shared" si="1"/>
        <v>0</v>
      </c>
      <c r="K50" s="49">
        <f t="shared" si="2"/>
        <v>0</v>
      </c>
      <c r="L50" s="49">
        <f t="shared" si="3"/>
        <v>0</v>
      </c>
      <c r="M50" s="51">
        <f t="shared" si="4"/>
        <v>0</v>
      </c>
      <c r="O50" s="16"/>
      <c r="P50" s="55">
        <f t="shared" si="21"/>
        <v>0</v>
      </c>
      <c r="Q50" s="26">
        <f t="shared" si="18"/>
        <v>0</v>
      </c>
      <c r="R50" s="40">
        <f t="shared" si="5"/>
        <v>0</v>
      </c>
      <c r="S50" s="40">
        <f t="shared" si="6"/>
        <v>0</v>
      </c>
      <c r="T50" s="40">
        <f t="shared" si="7"/>
        <v>0</v>
      </c>
      <c r="U50" s="40">
        <f>R50/VLOOKUP(LARGE($L$3:$L$80,1),L$3:$W$80,7,FALSE)</f>
        <v>0</v>
      </c>
      <c r="V50" s="40">
        <f t="shared" si="8"/>
        <v>0</v>
      </c>
      <c r="W50" s="40">
        <f t="shared" si="9"/>
        <v>0</v>
      </c>
      <c r="X50" s="42">
        <f t="shared" si="10"/>
        <v>0</v>
      </c>
      <c r="Y50" s="29">
        <f t="shared" si="19"/>
        <v>0</v>
      </c>
      <c r="Z50" s="39">
        <f t="shared" si="20"/>
        <v>0</v>
      </c>
      <c r="AA50" s="41">
        <f t="shared" si="11"/>
        <v>0</v>
      </c>
      <c r="AD50" s="16"/>
      <c r="AE50" s="43">
        <f t="shared" si="12"/>
        <v>0</v>
      </c>
      <c r="AF50" s="43">
        <f t="shared" si="13"/>
        <v>0</v>
      </c>
      <c r="AG50" s="44">
        <f t="shared" si="14"/>
        <v>0</v>
      </c>
      <c r="AH50" s="35"/>
      <c r="AI50" s="47">
        <f t="shared" si="15"/>
        <v>0</v>
      </c>
      <c r="AJ50" s="47">
        <f t="shared" si="16"/>
        <v>0</v>
      </c>
      <c r="AK50" s="47">
        <f t="shared" si="17"/>
        <v>0</v>
      </c>
      <c r="AL50" s="10" t="s">
        <v>50</v>
      </c>
    </row>
    <row r="51" spans="1:38" ht="19.5" customHeight="1" x14ac:dyDescent="0.25">
      <c r="A51" s="10" t="s">
        <v>51</v>
      </c>
      <c r="B51" s="70"/>
      <c r="C51" s="70"/>
      <c r="D51" s="70"/>
      <c r="E51" s="71"/>
      <c r="F51" s="71"/>
      <c r="G51" s="71"/>
      <c r="H51" s="71"/>
      <c r="I51" s="49">
        <f t="shared" si="0"/>
        <v>0</v>
      </c>
      <c r="J51" s="49">
        <f t="shared" si="1"/>
        <v>0</v>
      </c>
      <c r="K51" s="49">
        <f t="shared" si="2"/>
        <v>0</v>
      </c>
      <c r="L51" s="49">
        <f t="shared" si="3"/>
        <v>0</v>
      </c>
      <c r="M51" s="51">
        <f t="shared" si="4"/>
        <v>0</v>
      </c>
      <c r="O51" s="16"/>
      <c r="P51" s="55">
        <f t="shared" si="21"/>
        <v>0</v>
      </c>
      <c r="Q51" s="26">
        <f t="shared" si="18"/>
        <v>0</v>
      </c>
      <c r="R51" s="40">
        <f t="shared" si="5"/>
        <v>0</v>
      </c>
      <c r="S51" s="40">
        <f t="shared" si="6"/>
        <v>0</v>
      </c>
      <c r="T51" s="40">
        <f t="shared" si="7"/>
        <v>0</v>
      </c>
      <c r="U51" s="40">
        <f>R51/VLOOKUP(LARGE($L$3:$L$80,1),L$3:$W$80,7,FALSE)</f>
        <v>0</v>
      </c>
      <c r="V51" s="40">
        <f t="shared" si="8"/>
        <v>0</v>
      </c>
      <c r="W51" s="40">
        <f t="shared" si="9"/>
        <v>0</v>
      </c>
      <c r="X51" s="42">
        <f t="shared" si="10"/>
        <v>0</v>
      </c>
      <c r="Y51" s="29">
        <f t="shared" si="19"/>
        <v>0</v>
      </c>
      <c r="Z51" s="39">
        <f t="shared" si="20"/>
        <v>0</v>
      </c>
      <c r="AA51" s="41">
        <f t="shared" si="11"/>
        <v>0</v>
      </c>
      <c r="AD51" s="16"/>
      <c r="AE51" s="43">
        <f t="shared" si="12"/>
        <v>0</v>
      </c>
      <c r="AF51" s="43">
        <f t="shared" si="13"/>
        <v>0</v>
      </c>
      <c r="AG51" s="44">
        <f t="shared" si="14"/>
        <v>0</v>
      </c>
      <c r="AH51" s="35"/>
      <c r="AI51" s="47">
        <f t="shared" si="15"/>
        <v>0</v>
      </c>
      <c r="AJ51" s="47">
        <f t="shared" si="16"/>
        <v>0</v>
      </c>
      <c r="AK51" s="47">
        <f t="shared" si="17"/>
        <v>0</v>
      </c>
      <c r="AL51" s="10" t="s">
        <v>51</v>
      </c>
    </row>
    <row r="52" spans="1:38" ht="19.5" customHeight="1" x14ac:dyDescent="0.25">
      <c r="A52" s="10" t="s">
        <v>52</v>
      </c>
      <c r="B52" s="70"/>
      <c r="C52" s="70"/>
      <c r="D52" s="70"/>
      <c r="E52" s="71"/>
      <c r="F52" s="71"/>
      <c r="G52" s="71"/>
      <c r="H52" s="71"/>
      <c r="I52" s="49">
        <f t="shared" si="0"/>
        <v>0</v>
      </c>
      <c r="J52" s="49">
        <f t="shared" si="1"/>
        <v>0</v>
      </c>
      <c r="K52" s="49">
        <f t="shared" si="2"/>
        <v>0</v>
      </c>
      <c r="L52" s="49">
        <f t="shared" si="3"/>
        <v>0</v>
      </c>
      <c r="M52" s="51">
        <f t="shared" si="4"/>
        <v>0</v>
      </c>
      <c r="O52" s="16"/>
      <c r="P52" s="55">
        <f t="shared" si="21"/>
        <v>0</v>
      </c>
      <c r="Q52" s="26">
        <f t="shared" si="18"/>
        <v>0</v>
      </c>
      <c r="R52" s="40">
        <f t="shared" si="5"/>
        <v>0</v>
      </c>
      <c r="S52" s="40">
        <f t="shared" si="6"/>
        <v>0</v>
      </c>
      <c r="T52" s="40">
        <f t="shared" si="7"/>
        <v>0</v>
      </c>
      <c r="U52" s="40">
        <f>R52/VLOOKUP(LARGE($L$3:$L$80,1),L$3:$W$80,7,FALSE)</f>
        <v>0</v>
      </c>
      <c r="V52" s="40">
        <f t="shared" si="8"/>
        <v>0</v>
      </c>
      <c r="W52" s="40">
        <f t="shared" si="9"/>
        <v>0</v>
      </c>
      <c r="X52" s="42">
        <f t="shared" si="10"/>
        <v>0</v>
      </c>
      <c r="Y52" s="29">
        <f t="shared" si="19"/>
        <v>0</v>
      </c>
      <c r="Z52" s="39">
        <f t="shared" si="20"/>
        <v>0</v>
      </c>
      <c r="AA52" s="41">
        <f t="shared" si="11"/>
        <v>0</v>
      </c>
      <c r="AD52" s="16"/>
      <c r="AE52" s="43">
        <f t="shared" si="12"/>
        <v>0</v>
      </c>
      <c r="AF52" s="43">
        <f t="shared" si="13"/>
        <v>0</v>
      </c>
      <c r="AG52" s="44">
        <f t="shared" si="14"/>
        <v>0</v>
      </c>
      <c r="AH52" s="35"/>
      <c r="AI52" s="47">
        <f t="shared" si="15"/>
        <v>0</v>
      </c>
      <c r="AJ52" s="47">
        <f t="shared" si="16"/>
        <v>0</v>
      </c>
      <c r="AK52" s="47">
        <f t="shared" si="17"/>
        <v>0</v>
      </c>
      <c r="AL52" s="10" t="s">
        <v>52</v>
      </c>
    </row>
    <row r="53" spans="1:38" ht="19.5" customHeight="1" x14ac:dyDescent="0.25">
      <c r="A53" s="10" t="s">
        <v>53</v>
      </c>
      <c r="B53" s="70"/>
      <c r="C53" s="70"/>
      <c r="D53" s="70"/>
      <c r="E53" s="71"/>
      <c r="F53" s="71"/>
      <c r="G53" s="71"/>
      <c r="H53" s="71"/>
      <c r="I53" s="49">
        <f t="shared" si="0"/>
        <v>0</v>
      </c>
      <c r="J53" s="49">
        <f t="shared" si="1"/>
        <v>0</v>
      </c>
      <c r="K53" s="49">
        <f t="shared" si="2"/>
        <v>0</v>
      </c>
      <c r="L53" s="49">
        <f t="shared" si="3"/>
        <v>0</v>
      </c>
      <c r="M53" s="51">
        <f t="shared" si="4"/>
        <v>0</v>
      </c>
      <c r="O53" s="16"/>
      <c r="P53" s="55">
        <f t="shared" si="21"/>
        <v>0</v>
      </c>
      <c r="Q53" s="26">
        <f t="shared" si="18"/>
        <v>0</v>
      </c>
      <c r="R53" s="40">
        <f t="shared" si="5"/>
        <v>0</v>
      </c>
      <c r="S53" s="40">
        <f t="shared" si="6"/>
        <v>0</v>
      </c>
      <c r="T53" s="40">
        <f t="shared" si="7"/>
        <v>0</v>
      </c>
      <c r="U53" s="40">
        <f>R53/VLOOKUP(LARGE($L$3:$L$80,1),L$3:$W$80,7,FALSE)</f>
        <v>0</v>
      </c>
      <c r="V53" s="40">
        <f t="shared" si="8"/>
        <v>0</v>
      </c>
      <c r="W53" s="40">
        <f t="shared" si="9"/>
        <v>0</v>
      </c>
      <c r="X53" s="42">
        <f t="shared" si="10"/>
        <v>0</v>
      </c>
      <c r="Y53" s="29">
        <f t="shared" si="19"/>
        <v>0</v>
      </c>
      <c r="Z53" s="39">
        <f t="shared" si="20"/>
        <v>0</v>
      </c>
      <c r="AA53" s="41">
        <f t="shared" si="11"/>
        <v>0</v>
      </c>
      <c r="AD53" s="16"/>
      <c r="AE53" s="43">
        <f t="shared" si="12"/>
        <v>0</v>
      </c>
      <c r="AF53" s="43">
        <f t="shared" si="13"/>
        <v>0</v>
      </c>
      <c r="AG53" s="44">
        <f t="shared" si="14"/>
        <v>0</v>
      </c>
      <c r="AH53" s="35"/>
      <c r="AI53" s="47">
        <f t="shared" si="15"/>
        <v>0</v>
      </c>
      <c r="AJ53" s="47">
        <f t="shared" si="16"/>
        <v>0</v>
      </c>
      <c r="AK53" s="47">
        <f t="shared" si="17"/>
        <v>0</v>
      </c>
      <c r="AL53" s="10" t="s">
        <v>53</v>
      </c>
    </row>
    <row r="54" spans="1:38" ht="19.5" customHeight="1" x14ac:dyDescent="0.25">
      <c r="A54" s="10" t="s">
        <v>54</v>
      </c>
      <c r="B54" s="70"/>
      <c r="C54" s="70"/>
      <c r="D54" s="70"/>
      <c r="E54" s="71"/>
      <c r="F54" s="71"/>
      <c r="G54" s="71"/>
      <c r="H54" s="71"/>
      <c r="I54" s="49">
        <f t="shared" si="0"/>
        <v>0</v>
      </c>
      <c r="J54" s="49">
        <f t="shared" si="1"/>
        <v>0</v>
      </c>
      <c r="K54" s="49">
        <f t="shared" si="2"/>
        <v>0</v>
      </c>
      <c r="L54" s="49">
        <f t="shared" si="3"/>
        <v>0</v>
      </c>
      <c r="M54" s="51">
        <f t="shared" si="4"/>
        <v>0</v>
      </c>
      <c r="O54" s="16"/>
      <c r="P54" s="55">
        <f t="shared" si="21"/>
        <v>0</v>
      </c>
      <c r="Q54" s="26">
        <f t="shared" si="18"/>
        <v>0</v>
      </c>
      <c r="R54" s="40">
        <f t="shared" si="5"/>
        <v>0</v>
      </c>
      <c r="S54" s="40">
        <f t="shared" si="6"/>
        <v>0</v>
      </c>
      <c r="T54" s="40">
        <f t="shared" si="7"/>
        <v>0</v>
      </c>
      <c r="U54" s="40">
        <f>R54/VLOOKUP(LARGE($L$3:$L$80,1),L$3:$W$80,7,FALSE)</f>
        <v>0</v>
      </c>
      <c r="V54" s="40">
        <f t="shared" si="8"/>
        <v>0</v>
      </c>
      <c r="W54" s="40">
        <f t="shared" si="9"/>
        <v>0</v>
      </c>
      <c r="X54" s="42">
        <f t="shared" si="10"/>
        <v>0</v>
      </c>
      <c r="Y54" s="29">
        <f t="shared" si="19"/>
        <v>0</v>
      </c>
      <c r="Z54" s="39">
        <f t="shared" si="20"/>
        <v>0</v>
      </c>
      <c r="AA54" s="41">
        <f t="shared" si="11"/>
        <v>0</v>
      </c>
      <c r="AD54" s="16"/>
      <c r="AE54" s="43">
        <f t="shared" si="12"/>
        <v>0</v>
      </c>
      <c r="AF54" s="43">
        <f t="shared" si="13"/>
        <v>0</v>
      </c>
      <c r="AG54" s="44">
        <f t="shared" si="14"/>
        <v>0</v>
      </c>
      <c r="AH54" s="35"/>
      <c r="AI54" s="47">
        <f t="shared" si="15"/>
        <v>0</v>
      </c>
      <c r="AJ54" s="47">
        <f t="shared" si="16"/>
        <v>0</v>
      </c>
      <c r="AK54" s="47">
        <f t="shared" si="17"/>
        <v>0</v>
      </c>
      <c r="AL54" s="10" t="s">
        <v>54</v>
      </c>
    </row>
    <row r="55" spans="1:38" ht="19.5" customHeight="1" x14ac:dyDescent="0.25">
      <c r="A55" s="10" t="s">
        <v>55</v>
      </c>
      <c r="B55" s="70"/>
      <c r="C55" s="70"/>
      <c r="D55" s="70"/>
      <c r="E55" s="71"/>
      <c r="F55" s="71"/>
      <c r="G55" s="71"/>
      <c r="H55" s="71"/>
      <c r="I55" s="49">
        <f t="shared" si="0"/>
        <v>0</v>
      </c>
      <c r="J55" s="49">
        <f t="shared" si="1"/>
        <v>0</v>
      </c>
      <c r="K55" s="49">
        <f t="shared" si="2"/>
        <v>0</v>
      </c>
      <c r="L55" s="49">
        <f t="shared" si="3"/>
        <v>0</v>
      </c>
      <c r="M55" s="51">
        <f t="shared" si="4"/>
        <v>0</v>
      </c>
      <c r="O55" s="16"/>
      <c r="P55" s="55">
        <f t="shared" si="21"/>
        <v>0</v>
      </c>
      <c r="Q55" s="26">
        <f t="shared" si="18"/>
        <v>0</v>
      </c>
      <c r="R55" s="40">
        <f t="shared" si="5"/>
        <v>0</v>
      </c>
      <c r="S55" s="40">
        <f t="shared" si="6"/>
        <v>0</v>
      </c>
      <c r="T55" s="40">
        <f t="shared" si="7"/>
        <v>0</v>
      </c>
      <c r="U55" s="40">
        <f>R55/VLOOKUP(LARGE($L$3:$L$80,1),L$3:$W$80,7,FALSE)</f>
        <v>0</v>
      </c>
      <c r="V55" s="40">
        <f t="shared" si="8"/>
        <v>0</v>
      </c>
      <c r="W55" s="40">
        <f t="shared" si="9"/>
        <v>0</v>
      </c>
      <c r="X55" s="42">
        <f t="shared" si="10"/>
        <v>0</v>
      </c>
      <c r="Y55" s="29">
        <f t="shared" si="19"/>
        <v>0</v>
      </c>
      <c r="Z55" s="39">
        <f t="shared" si="20"/>
        <v>0</v>
      </c>
      <c r="AA55" s="41">
        <f t="shared" si="11"/>
        <v>0</v>
      </c>
      <c r="AD55" s="16"/>
      <c r="AE55" s="43">
        <f t="shared" si="12"/>
        <v>0</v>
      </c>
      <c r="AF55" s="43">
        <f t="shared" si="13"/>
        <v>0</v>
      </c>
      <c r="AG55" s="44">
        <f t="shared" si="14"/>
        <v>0</v>
      </c>
      <c r="AH55" s="35"/>
      <c r="AI55" s="47">
        <f t="shared" si="15"/>
        <v>0</v>
      </c>
      <c r="AJ55" s="47">
        <f t="shared" si="16"/>
        <v>0</v>
      </c>
      <c r="AK55" s="47">
        <f t="shared" si="17"/>
        <v>0</v>
      </c>
      <c r="AL55" s="10" t="s">
        <v>55</v>
      </c>
    </row>
    <row r="56" spans="1:38" ht="19.5" customHeight="1" x14ac:dyDescent="0.25">
      <c r="A56" s="10" t="s">
        <v>56</v>
      </c>
      <c r="B56" s="70"/>
      <c r="C56" s="70"/>
      <c r="D56" s="70"/>
      <c r="E56" s="71"/>
      <c r="F56" s="71"/>
      <c r="G56" s="71"/>
      <c r="H56" s="71"/>
      <c r="I56" s="49">
        <f t="shared" si="0"/>
        <v>0</v>
      </c>
      <c r="J56" s="49">
        <f t="shared" si="1"/>
        <v>0</v>
      </c>
      <c r="K56" s="49">
        <f t="shared" si="2"/>
        <v>0</v>
      </c>
      <c r="L56" s="49">
        <f t="shared" si="3"/>
        <v>0</v>
      </c>
      <c r="M56" s="51">
        <f t="shared" si="4"/>
        <v>0</v>
      </c>
      <c r="O56" s="16"/>
      <c r="P56" s="55">
        <f t="shared" si="21"/>
        <v>0</v>
      </c>
      <c r="Q56" s="26">
        <f t="shared" si="18"/>
        <v>0</v>
      </c>
      <c r="R56" s="40">
        <f t="shared" si="5"/>
        <v>0</v>
      </c>
      <c r="S56" s="40">
        <f t="shared" si="6"/>
        <v>0</v>
      </c>
      <c r="T56" s="40">
        <f t="shared" si="7"/>
        <v>0</v>
      </c>
      <c r="U56" s="40">
        <f>R56/VLOOKUP(LARGE($L$3:$L$80,1),L$3:$W$80,7,FALSE)</f>
        <v>0</v>
      </c>
      <c r="V56" s="40">
        <f t="shared" si="8"/>
        <v>0</v>
      </c>
      <c r="W56" s="40">
        <f t="shared" si="9"/>
        <v>0</v>
      </c>
      <c r="X56" s="42">
        <f t="shared" si="10"/>
        <v>0</v>
      </c>
      <c r="Y56" s="29">
        <f t="shared" si="19"/>
        <v>0</v>
      </c>
      <c r="Z56" s="39">
        <f t="shared" si="20"/>
        <v>0</v>
      </c>
      <c r="AA56" s="41">
        <f t="shared" si="11"/>
        <v>0</v>
      </c>
      <c r="AD56" s="16"/>
      <c r="AE56" s="43">
        <f t="shared" si="12"/>
        <v>0</v>
      </c>
      <c r="AF56" s="43">
        <f t="shared" si="13"/>
        <v>0</v>
      </c>
      <c r="AG56" s="44">
        <f t="shared" si="14"/>
        <v>0</v>
      </c>
      <c r="AH56" s="35"/>
      <c r="AI56" s="47">
        <f t="shared" si="15"/>
        <v>0</v>
      </c>
      <c r="AJ56" s="47">
        <f t="shared" si="16"/>
        <v>0</v>
      </c>
      <c r="AK56" s="47">
        <f t="shared" si="17"/>
        <v>0</v>
      </c>
      <c r="AL56" s="10" t="s">
        <v>56</v>
      </c>
    </row>
    <row r="57" spans="1:38" ht="19.5" customHeight="1" x14ac:dyDescent="0.25">
      <c r="A57" s="10" t="s">
        <v>57</v>
      </c>
      <c r="B57" s="70"/>
      <c r="C57" s="70"/>
      <c r="D57" s="70"/>
      <c r="E57" s="71"/>
      <c r="F57" s="71"/>
      <c r="G57" s="71"/>
      <c r="H57" s="71"/>
      <c r="I57" s="49">
        <f t="shared" si="0"/>
        <v>0</v>
      </c>
      <c r="J57" s="49">
        <f t="shared" si="1"/>
        <v>0</v>
      </c>
      <c r="K57" s="49">
        <f t="shared" si="2"/>
        <v>0</v>
      </c>
      <c r="L57" s="49">
        <f t="shared" si="3"/>
        <v>0</v>
      </c>
      <c r="M57" s="51">
        <f t="shared" si="4"/>
        <v>0</v>
      </c>
      <c r="O57" s="16"/>
      <c r="P57" s="55">
        <f t="shared" si="21"/>
        <v>0</v>
      </c>
      <c r="Q57" s="26">
        <f t="shared" si="18"/>
        <v>0</v>
      </c>
      <c r="R57" s="40">
        <f t="shared" si="5"/>
        <v>0</v>
      </c>
      <c r="S57" s="40">
        <f t="shared" si="6"/>
        <v>0</v>
      </c>
      <c r="T57" s="40">
        <f t="shared" si="7"/>
        <v>0</v>
      </c>
      <c r="U57" s="40">
        <f>R57/VLOOKUP(LARGE($L$3:$L$80,1),L$3:$W$80,7,FALSE)</f>
        <v>0</v>
      </c>
      <c r="V57" s="40">
        <f t="shared" si="8"/>
        <v>0</v>
      </c>
      <c r="W57" s="40">
        <f t="shared" si="9"/>
        <v>0</v>
      </c>
      <c r="X57" s="42">
        <f t="shared" si="10"/>
        <v>0</v>
      </c>
      <c r="Y57" s="29">
        <f t="shared" si="19"/>
        <v>0</v>
      </c>
      <c r="Z57" s="39">
        <f t="shared" si="20"/>
        <v>0</v>
      </c>
      <c r="AA57" s="41">
        <f t="shared" si="11"/>
        <v>0</v>
      </c>
      <c r="AD57" s="16"/>
      <c r="AE57" s="43">
        <f t="shared" si="12"/>
        <v>0</v>
      </c>
      <c r="AF57" s="43">
        <f t="shared" si="13"/>
        <v>0</v>
      </c>
      <c r="AG57" s="44">
        <f t="shared" si="14"/>
        <v>0</v>
      </c>
      <c r="AH57" s="35"/>
      <c r="AI57" s="47">
        <f t="shared" si="15"/>
        <v>0</v>
      </c>
      <c r="AJ57" s="47">
        <f t="shared" si="16"/>
        <v>0</v>
      </c>
      <c r="AK57" s="47">
        <f t="shared" si="17"/>
        <v>0</v>
      </c>
      <c r="AL57" s="10" t="s">
        <v>57</v>
      </c>
    </row>
    <row r="58" spans="1:38" ht="19.5" customHeight="1" x14ac:dyDescent="0.25">
      <c r="A58" s="10" t="s">
        <v>58</v>
      </c>
      <c r="B58" s="70"/>
      <c r="C58" s="70"/>
      <c r="D58" s="70"/>
      <c r="E58" s="71"/>
      <c r="F58" s="71"/>
      <c r="G58" s="71"/>
      <c r="H58" s="71"/>
      <c r="I58" s="49">
        <f t="shared" si="0"/>
        <v>0</v>
      </c>
      <c r="J58" s="49">
        <f t="shared" si="1"/>
        <v>0</v>
      </c>
      <c r="K58" s="49">
        <f t="shared" si="2"/>
        <v>0</v>
      </c>
      <c r="L58" s="49">
        <f t="shared" si="3"/>
        <v>0</v>
      </c>
      <c r="M58" s="51">
        <f t="shared" si="4"/>
        <v>0</v>
      </c>
      <c r="O58" s="16"/>
      <c r="P58" s="55">
        <f t="shared" si="21"/>
        <v>0</v>
      </c>
      <c r="Q58" s="26">
        <f t="shared" si="18"/>
        <v>0</v>
      </c>
      <c r="R58" s="40">
        <f t="shared" si="5"/>
        <v>0</v>
      </c>
      <c r="S58" s="40">
        <f t="shared" si="6"/>
        <v>0</v>
      </c>
      <c r="T58" s="40">
        <f t="shared" si="7"/>
        <v>0</v>
      </c>
      <c r="U58" s="40">
        <f>R58/VLOOKUP(LARGE($L$3:$L$80,1),L$3:$W$80,7,FALSE)</f>
        <v>0</v>
      </c>
      <c r="V58" s="40">
        <f t="shared" si="8"/>
        <v>0</v>
      </c>
      <c r="W58" s="40">
        <f t="shared" si="9"/>
        <v>0</v>
      </c>
      <c r="X58" s="42">
        <f t="shared" si="10"/>
        <v>0</v>
      </c>
      <c r="Y58" s="29">
        <f t="shared" si="19"/>
        <v>0</v>
      </c>
      <c r="Z58" s="39">
        <f t="shared" si="20"/>
        <v>0</v>
      </c>
      <c r="AA58" s="41">
        <f t="shared" si="11"/>
        <v>0</v>
      </c>
      <c r="AD58" s="16"/>
      <c r="AE58" s="43">
        <f t="shared" si="12"/>
        <v>0</v>
      </c>
      <c r="AF58" s="43">
        <f t="shared" si="13"/>
        <v>0</v>
      </c>
      <c r="AG58" s="44">
        <f t="shared" si="14"/>
        <v>0</v>
      </c>
      <c r="AH58" s="35"/>
      <c r="AI58" s="47">
        <f t="shared" si="15"/>
        <v>0</v>
      </c>
      <c r="AJ58" s="47">
        <f t="shared" si="16"/>
        <v>0</v>
      </c>
      <c r="AK58" s="47">
        <f t="shared" si="17"/>
        <v>0</v>
      </c>
      <c r="AL58" s="10" t="s">
        <v>58</v>
      </c>
    </row>
    <row r="59" spans="1:38" ht="19.5" customHeight="1" x14ac:dyDescent="0.25">
      <c r="A59" s="10" t="s">
        <v>59</v>
      </c>
      <c r="B59" s="70"/>
      <c r="C59" s="70"/>
      <c r="D59" s="70"/>
      <c r="E59" s="71"/>
      <c r="F59" s="71"/>
      <c r="G59" s="71"/>
      <c r="H59" s="71"/>
      <c r="I59" s="49">
        <f t="shared" si="0"/>
        <v>0</v>
      </c>
      <c r="J59" s="49">
        <f t="shared" si="1"/>
        <v>0</v>
      </c>
      <c r="K59" s="49">
        <f t="shared" si="2"/>
        <v>0</v>
      </c>
      <c r="L59" s="49">
        <f t="shared" si="3"/>
        <v>0</v>
      </c>
      <c r="M59" s="51">
        <f t="shared" si="4"/>
        <v>0</v>
      </c>
      <c r="O59" s="16"/>
      <c r="P59" s="55">
        <f t="shared" si="21"/>
        <v>0</v>
      </c>
      <c r="Q59" s="26">
        <f t="shared" si="18"/>
        <v>0</v>
      </c>
      <c r="R59" s="40">
        <f t="shared" si="5"/>
        <v>0</v>
      </c>
      <c r="S59" s="40">
        <f t="shared" si="6"/>
        <v>0</v>
      </c>
      <c r="T59" s="40">
        <f t="shared" si="7"/>
        <v>0</v>
      </c>
      <c r="U59" s="40">
        <f>R59/VLOOKUP(LARGE($L$3:$L$80,1),L$3:$W$80,7,FALSE)</f>
        <v>0</v>
      </c>
      <c r="V59" s="40">
        <f t="shared" si="8"/>
        <v>0</v>
      </c>
      <c r="W59" s="40">
        <f t="shared" si="9"/>
        <v>0</v>
      </c>
      <c r="X59" s="42">
        <f t="shared" si="10"/>
        <v>0</v>
      </c>
      <c r="Y59" s="29">
        <f t="shared" si="19"/>
        <v>0</v>
      </c>
      <c r="Z59" s="39">
        <f t="shared" si="20"/>
        <v>0</v>
      </c>
      <c r="AA59" s="41">
        <f t="shared" si="11"/>
        <v>0</v>
      </c>
      <c r="AD59" s="16"/>
      <c r="AE59" s="43">
        <f t="shared" si="12"/>
        <v>0</v>
      </c>
      <c r="AF59" s="43">
        <f t="shared" si="13"/>
        <v>0</v>
      </c>
      <c r="AG59" s="44">
        <f t="shared" si="14"/>
        <v>0</v>
      </c>
      <c r="AH59" s="35"/>
      <c r="AI59" s="47">
        <f t="shared" si="15"/>
        <v>0</v>
      </c>
      <c r="AJ59" s="47">
        <f t="shared" si="16"/>
        <v>0</v>
      </c>
      <c r="AK59" s="47">
        <f t="shared" si="17"/>
        <v>0</v>
      </c>
      <c r="AL59" s="10" t="s">
        <v>59</v>
      </c>
    </row>
    <row r="60" spans="1:38" ht="19.5" customHeight="1" x14ac:dyDescent="0.25">
      <c r="A60" s="10" t="s">
        <v>60</v>
      </c>
      <c r="B60" s="70"/>
      <c r="C60" s="70"/>
      <c r="D60" s="70"/>
      <c r="E60" s="71"/>
      <c r="F60" s="71"/>
      <c r="G60" s="71"/>
      <c r="H60" s="71"/>
      <c r="I60" s="49">
        <f t="shared" si="0"/>
        <v>0</v>
      </c>
      <c r="J60" s="49">
        <f t="shared" si="1"/>
        <v>0</v>
      </c>
      <c r="K60" s="49">
        <f t="shared" si="2"/>
        <v>0</v>
      </c>
      <c r="L60" s="49">
        <f t="shared" si="3"/>
        <v>0</v>
      </c>
      <c r="M60" s="51">
        <f t="shared" si="4"/>
        <v>0</v>
      </c>
      <c r="O60" s="16"/>
      <c r="P60" s="55">
        <f t="shared" si="21"/>
        <v>0</v>
      </c>
      <c r="Q60" s="26">
        <f t="shared" si="18"/>
        <v>0</v>
      </c>
      <c r="R60" s="40">
        <f t="shared" si="5"/>
        <v>0</v>
      </c>
      <c r="S60" s="40">
        <f t="shared" si="6"/>
        <v>0</v>
      </c>
      <c r="T60" s="40">
        <f t="shared" si="7"/>
        <v>0</v>
      </c>
      <c r="U60" s="40">
        <f>R60/VLOOKUP(LARGE($L$3:$L$80,1),L$3:$W$80,7,FALSE)</f>
        <v>0</v>
      </c>
      <c r="V60" s="40">
        <f t="shared" si="8"/>
        <v>0</v>
      </c>
      <c r="W60" s="40">
        <f t="shared" si="9"/>
        <v>0</v>
      </c>
      <c r="X60" s="42">
        <f t="shared" si="10"/>
        <v>0</v>
      </c>
      <c r="Y60" s="29">
        <f t="shared" si="19"/>
        <v>0</v>
      </c>
      <c r="Z60" s="39">
        <f t="shared" si="20"/>
        <v>0</v>
      </c>
      <c r="AA60" s="41">
        <f t="shared" si="11"/>
        <v>0</v>
      </c>
      <c r="AD60" s="16"/>
      <c r="AE60" s="43">
        <f t="shared" si="12"/>
        <v>0</v>
      </c>
      <c r="AF60" s="43">
        <f t="shared" si="13"/>
        <v>0</v>
      </c>
      <c r="AG60" s="44">
        <f t="shared" si="14"/>
        <v>0</v>
      </c>
      <c r="AH60" s="35"/>
      <c r="AI60" s="47">
        <f t="shared" si="15"/>
        <v>0</v>
      </c>
      <c r="AJ60" s="47">
        <f t="shared" si="16"/>
        <v>0</v>
      </c>
      <c r="AK60" s="47">
        <f t="shared" si="17"/>
        <v>0</v>
      </c>
      <c r="AL60" s="10" t="s">
        <v>60</v>
      </c>
    </row>
    <row r="61" spans="1:38" ht="19.5" customHeight="1" x14ac:dyDescent="0.25">
      <c r="A61" s="10" t="s">
        <v>61</v>
      </c>
      <c r="B61" s="70"/>
      <c r="C61" s="70"/>
      <c r="D61" s="70"/>
      <c r="E61" s="71"/>
      <c r="F61" s="71"/>
      <c r="G61" s="71"/>
      <c r="H61" s="71"/>
      <c r="I61" s="49">
        <f t="shared" si="0"/>
        <v>0</v>
      </c>
      <c r="J61" s="49">
        <f t="shared" si="1"/>
        <v>0</v>
      </c>
      <c r="K61" s="49">
        <f t="shared" si="2"/>
        <v>0</v>
      </c>
      <c r="L61" s="49">
        <f t="shared" si="3"/>
        <v>0</v>
      </c>
      <c r="M61" s="51">
        <f t="shared" si="4"/>
        <v>0</v>
      </c>
      <c r="O61" s="16"/>
      <c r="P61" s="55">
        <f t="shared" si="21"/>
        <v>0</v>
      </c>
      <c r="Q61" s="26">
        <f t="shared" si="18"/>
        <v>0</v>
      </c>
      <c r="R61" s="40">
        <f t="shared" si="5"/>
        <v>0</v>
      </c>
      <c r="S61" s="40">
        <f t="shared" si="6"/>
        <v>0</v>
      </c>
      <c r="T61" s="40">
        <f t="shared" si="7"/>
        <v>0</v>
      </c>
      <c r="U61" s="40">
        <f>R61/VLOOKUP(LARGE($L$3:$L$80,1),L$3:$W$80,7,FALSE)</f>
        <v>0</v>
      </c>
      <c r="V61" s="40">
        <f t="shared" si="8"/>
        <v>0</v>
      </c>
      <c r="W61" s="40">
        <f t="shared" si="9"/>
        <v>0</v>
      </c>
      <c r="X61" s="42">
        <f t="shared" si="10"/>
        <v>0</v>
      </c>
      <c r="Y61" s="29">
        <f t="shared" si="19"/>
        <v>0</v>
      </c>
      <c r="Z61" s="39">
        <f t="shared" si="20"/>
        <v>0</v>
      </c>
      <c r="AA61" s="41">
        <f t="shared" si="11"/>
        <v>0</v>
      </c>
      <c r="AD61" s="16"/>
      <c r="AE61" s="43">
        <f t="shared" si="12"/>
        <v>0</v>
      </c>
      <c r="AF61" s="43">
        <f t="shared" si="13"/>
        <v>0</v>
      </c>
      <c r="AG61" s="44">
        <f t="shared" si="14"/>
        <v>0</v>
      </c>
      <c r="AH61" s="35"/>
      <c r="AI61" s="47">
        <f t="shared" si="15"/>
        <v>0</v>
      </c>
      <c r="AJ61" s="47">
        <f t="shared" si="16"/>
        <v>0</v>
      </c>
      <c r="AK61" s="47">
        <f t="shared" si="17"/>
        <v>0</v>
      </c>
      <c r="AL61" s="10" t="s">
        <v>61</v>
      </c>
    </row>
    <row r="62" spans="1:38" ht="19.5" customHeight="1" x14ac:dyDescent="0.25">
      <c r="A62" s="10" t="s">
        <v>62</v>
      </c>
      <c r="B62" s="70"/>
      <c r="C62" s="70"/>
      <c r="D62" s="70"/>
      <c r="E62" s="71"/>
      <c r="F62" s="71"/>
      <c r="G62" s="71"/>
      <c r="H62" s="71"/>
      <c r="I62" s="49">
        <f t="shared" si="0"/>
        <v>0</v>
      </c>
      <c r="J62" s="49">
        <f t="shared" si="1"/>
        <v>0</v>
      </c>
      <c r="K62" s="49">
        <f t="shared" si="2"/>
        <v>0</v>
      </c>
      <c r="L62" s="49">
        <f t="shared" si="3"/>
        <v>0</v>
      </c>
      <c r="M62" s="51">
        <f t="shared" si="4"/>
        <v>0</v>
      </c>
      <c r="O62" s="16"/>
      <c r="P62" s="55">
        <f t="shared" si="21"/>
        <v>0</v>
      </c>
      <c r="Q62" s="26">
        <f t="shared" si="18"/>
        <v>0</v>
      </c>
      <c r="R62" s="40">
        <f t="shared" si="5"/>
        <v>0</v>
      </c>
      <c r="S62" s="40">
        <f t="shared" si="6"/>
        <v>0</v>
      </c>
      <c r="T62" s="40">
        <f t="shared" si="7"/>
        <v>0</v>
      </c>
      <c r="U62" s="40">
        <f>R62/VLOOKUP(LARGE($L$3:$L$80,1),L$3:$W$80,7,FALSE)</f>
        <v>0</v>
      </c>
      <c r="V62" s="40">
        <f t="shared" si="8"/>
        <v>0</v>
      </c>
      <c r="W62" s="40">
        <f t="shared" si="9"/>
        <v>0</v>
      </c>
      <c r="X62" s="42">
        <f t="shared" si="10"/>
        <v>0</v>
      </c>
      <c r="Y62" s="29">
        <f t="shared" si="19"/>
        <v>0</v>
      </c>
      <c r="Z62" s="39">
        <f t="shared" si="20"/>
        <v>0</v>
      </c>
      <c r="AA62" s="41">
        <f t="shared" si="11"/>
        <v>0</v>
      </c>
      <c r="AD62" s="16"/>
      <c r="AE62" s="43">
        <f t="shared" si="12"/>
        <v>0</v>
      </c>
      <c r="AF62" s="43">
        <f t="shared" si="13"/>
        <v>0</v>
      </c>
      <c r="AG62" s="44">
        <f t="shared" si="14"/>
        <v>0</v>
      </c>
      <c r="AH62" s="35"/>
      <c r="AI62" s="47">
        <f t="shared" si="15"/>
        <v>0</v>
      </c>
      <c r="AJ62" s="47">
        <f t="shared" si="16"/>
        <v>0</v>
      </c>
      <c r="AK62" s="47">
        <f t="shared" si="17"/>
        <v>0</v>
      </c>
      <c r="AL62" s="10" t="s">
        <v>62</v>
      </c>
    </row>
    <row r="63" spans="1:38" ht="19.5" customHeight="1" x14ac:dyDescent="0.25">
      <c r="A63" s="10" t="s">
        <v>63</v>
      </c>
      <c r="B63" s="70"/>
      <c r="C63" s="70"/>
      <c r="D63" s="70"/>
      <c r="E63" s="71"/>
      <c r="F63" s="71"/>
      <c r="G63" s="71"/>
      <c r="H63" s="71"/>
      <c r="I63" s="49">
        <f t="shared" si="0"/>
        <v>0</v>
      </c>
      <c r="J63" s="49">
        <f t="shared" si="1"/>
        <v>0</v>
      </c>
      <c r="K63" s="49">
        <f t="shared" si="2"/>
        <v>0</v>
      </c>
      <c r="L63" s="49">
        <f t="shared" si="3"/>
        <v>0</v>
      </c>
      <c r="M63" s="51">
        <f t="shared" si="4"/>
        <v>0</v>
      </c>
      <c r="O63" s="16"/>
      <c r="P63" s="55">
        <f t="shared" si="21"/>
        <v>0</v>
      </c>
      <c r="Q63" s="26">
        <f t="shared" si="18"/>
        <v>0</v>
      </c>
      <c r="R63" s="40">
        <f t="shared" si="5"/>
        <v>0</v>
      </c>
      <c r="S63" s="40">
        <f t="shared" si="6"/>
        <v>0</v>
      </c>
      <c r="T63" s="40">
        <f t="shared" si="7"/>
        <v>0</v>
      </c>
      <c r="U63" s="40">
        <f>R63/VLOOKUP(LARGE($L$3:$L$80,1),L$3:$W$80,7,FALSE)</f>
        <v>0</v>
      </c>
      <c r="V63" s="40">
        <f t="shared" si="8"/>
        <v>0</v>
      </c>
      <c r="W63" s="40">
        <f t="shared" si="9"/>
        <v>0</v>
      </c>
      <c r="X63" s="42">
        <f t="shared" si="10"/>
        <v>0</v>
      </c>
      <c r="Y63" s="29">
        <f t="shared" si="19"/>
        <v>0</v>
      </c>
      <c r="Z63" s="39">
        <f t="shared" si="20"/>
        <v>0</v>
      </c>
      <c r="AA63" s="41">
        <f t="shared" si="11"/>
        <v>0</v>
      </c>
      <c r="AD63" s="16"/>
      <c r="AE63" s="43">
        <f t="shared" si="12"/>
        <v>0</v>
      </c>
      <c r="AF63" s="43">
        <f t="shared" si="13"/>
        <v>0</v>
      </c>
      <c r="AG63" s="44">
        <f t="shared" si="14"/>
        <v>0</v>
      </c>
      <c r="AH63" s="35"/>
      <c r="AI63" s="47">
        <f t="shared" si="15"/>
        <v>0</v>
      </c>
      <c r="AJ63" s="47">
        <f t="shared" si="16"/>
        <v>0</v>
      </c>
      <c r="AK63" s="47">
        <f t="shared" si="17"/>
        <v>0</v>
      </c>
      <c r="AL63" s="10" t="s">
        <v>63</v>
      </c>
    </row>
    <row r="64" spans="1:38" ht="19.5" customHeight="1" x14ac:dyDescent="0.25">
      <c r="A64" s="10" t="s">
        <v>64</v>
      </c>
      <c r="B64" s="70"/>
      <c r="C64" s="70"/>
      <c r="D64" s="70"/>
      <c r="E64" s="71"/>
      <c r="F64" s="71"/>
      <c r="G64" s="71"/>
      <c r="H64" s="71"/>
      <c r="I64" s="49">
        <f t="shared" si="0"/>
        <v>0</v>
      </c>
      <c r="J64" s="49">
        <f t="shared" si="1"/>
        <v>0</v>
      </c>
      <c r="K64" s="49">
        <f t="shared" si="2"/>
        <v>0</v>
      </c>
      <c r="L64" s="49">
        <f t="shared" si="3"/>
        <v>0</v>
      </c>
      <c r="M64" s="51">
        <f t="shared" si="4"/>
        <v>0</v>
      </c>
      <c r="O64" s="16"/>
      <c r="P64" s="55">
        <f t="shared" si="21"/>
        <v>0</v>
      </c>
      <c r="Q64" s="26">
        <f t="shared" si="18"/>
        <v>0</v>
      </c>
      <c r="R64" s="40">
        <f t="shared" si="5"/>
        <v>0</v>
      </c>
      <c r="S64" s="40">
        <f t="shared" si="6"/>
        <v>0</v>
      </c>
      <c r="T64" s="40">
        <f t="shared" si="7"/>
        <v>0</v>
      </c>
      <c r="U64" s="40">
        <f>R64/VLOOKUP(LARGE($L$3:$L$80,1),L$3:$W$80,7,FALSE)</f>
        <v>0</v>
      </c>
      <c r="V64" s="40">
        <f t="shared" si="8"/>
        <v>0</v>
      </c>
      <c r="W64" s="40">
        <f t="shared" si="9"/>
        <v>0</v>
      </c>
      <c r="X64" s="42">
        <f t="shared" si="10"/>
        <v>0</v>
      </c>
      <c r="Y64" s="29">
        <f t="shared" si="19"/>
        <v>0</v>
      </c>
      <c r="Z64" s="39">
        <f t="shared" si="20"/>
        <v>0</v>
      </c>
      <c r="AA64" s="41">
        <f t="shared" si="11"/>
        <v>0</v>
      </c>
      <c r="AD64" s="16"/>
      <c r="AE64" s="43">
        <f t="shared" si="12"/>
        <v>0</v>
      </c>
      <c r="AF64" s="43">
        <f t="shared" si="13"/>
        <v>0</v>
      </c>
      <c r="AG64" s="44">
        <f t="shared" si="14"/>
        <v>0</v>
      </c>
      <c r="AH64" s="35"/>
      <c r="AI64" s="47">
        <f t="shared" si="15"/>
        <v>0</v>
      </c>
      <c r="AJ64" s="47">
        <f t="shared" si="16"/>
        <v>0</v>
      </c>
      <c r="AK64" s="47">
        <f t="shared" si="17"/>
        <v>0</v>
      </c>
      <c r="AL64" s="10" t="s">
        <v>64</v>
      </c>
    </row>
    <row r="65" spans="1:38" ht="19.5" customHeight="1" x14ac:dyDescent="0.25">
      <c r="A65" s="10" t="s">
        <v>65</v>
      </c>
      <c r="B65" s="70"/>
      <c r="C65" s="70"/>
      <c r="D65" s="70"/>
      <c r="E65" s="71"/>
      <c r="F65" s="71"/>
      <c r="G65" s="71"/>
      <c r="H65" s="71"/>
      <c r="I65" s="49">
        <f t="shared" si="0"/>
        <v>0</v>
      </c>
      <c r="J65" s="49">
        <f t="shared" si="1"/>
        <v>0</v>
      </c>
      <c r="K65" s="49">
        <f t="shared" si="2"/>
        <v>0</v>
      </c>
      <c r="L65" s="49">
        <f t="shared" si="3"/>
        <v>0</v>
      </c>
      <c r="M65" s="51">
        <f t="shared" si="4"/>
        <v>0</v>
      </c>
      <c r="O65" s="16"/>
      <c r="P65" s="55">
        <f t="shared" si="21"/>
        <v>0</v>
      </c>
      <c r="Q65" s="26">
        <f t="shared" si="18"/>
        <v>0</v>
      </c>
      <c r="R65" s="40">
        <f t="shared" si="5"/>
        <v>0</v>
      </c>
      <c r="S65" s="40">
        <f t="shared" si="6"/>
        <v>0</v>
      </c>
      <c r="T65" s="40">
        <f t="shared" si="7"/>
        <v>0</v>
      </c>
      <c r="U65" s="40">
        <f>R65/VLOOKUP(LARGE($L$3:$L$80,1),L$3:$W$80,7,FALSE)</f>
        <v>0</v>
      </c>
      <c r="V65" s="40">
        <f t="shared" si="8"/>
        <v>0</v>
      </c>
      <c r="W65" s="40">
        <f t="shared" si="9"/>
        <v>0</v>
      </c>
      <c r="X65" s="42">
        <f t="shared" si="10"/>
        <v>0</v>
      </c>
      <c r="Y65" s="29">
        <f t="shared" si="19"/>
        <v>0</v>
      </c>
      <c r="Z65" s="39">
        <f t="shared" si="20"/>
        <v>0</v>
      </c>
      <c r="AA65" s="41">
        <f t="shared" si="11"/>
        <v>0</v>
      </c>
      <c r="AD65" s="16"/>
      <c r="AE65" s="43">
        <f t="shared" si="12"/>
        <v>0</v>
      </c>
      <c r="AF65" s="43">
        <f t="shared" si="13"/>
        <v>0</v>
      </c>
      <c r="AG65" s="44">
        <f t="shared" si="14"/>
        <v>0</v>
      </c>
      <c r="AH65" s="35"/>
      <c r="AI65" s="47">
        <f t="shared" si="15"/>
        <v>0</v>
      </c>
      <c r="AJ65" s="47">
        <f t="shared" si="16"/>
        <v>0</v>
      </c>
      <c r="AK65" s="47">
        <f t="shared" si="17"/>
        <v>0</v>
      </c>
      <c r="AL65" s="10" t="s">
        <v>65</v>
      </c>
    </row>
    <row r="66" spans="1:38" ht="19.5" customHeight="1" x14ac:dyDescent="0.25">
      <c r="A66" s="10" t="s">
        <v>66</v>
      </c>
      <c r="B66" s="70"/>
      <c r="C66" s="70"/>
      <c r="D66" s="70"/>
      <c r="E66" s="71"/>
      <c r="F66" s="71"/>
      <c r="G66" s="71"/>
      <c r="H66" s="71"/>
      <c r="I66" s="49">
        <f t="shared" si="0"/>
        <v>0</v>
      </c>
      <c r="J66" s="49">
        <f t="shared" si="1"/>
        <v>0</v>
      </c>
      <c r="K66" s="49">
        <f t="shared" si="2"/>
        <v>0</v>
      </c>
      <c r="L66" s="49">
        <f t="shared" si="3"/>
        <v>0</v>
      </c>
      <c r="M66" s="51">
        <f t="shared" si="4"/>
        <v>0</v>
      </c>
      <c r="O66" s="16"/>
      <c r="P66" s="55">
        <f t="shared" si="21"/>
        <v>0</v>
      </c>
      <c r="Q66" s="26">
        <f t="shared" si="18"/>
        <v>0</v>
      </c>
      <c r="R66" s="40">
        <f t="shared" si="5"/>
        <v>0</v>
      </c>
      <c r="S66" s="40">
        <f t="shared" si="6"/>
        <v>0</v>
      </c>
      <c r="T66" s="40">
        <f t="shared" si="7"/>
        <v>0</v>
      </c>
      <c r="U66" s="40">
        <f>R66/VLOOKUP(LARGE($L$3:$L$80,1),L$3:$W$80,7,FALSE)</f>
        <v>0</v>
      </c>
      <c r="V66" s="40">
        <f t="shared" si="8"/>
        <v>0</v>
      </c>
      <c r="W66" s="40">
        <f t="shared" si="9"/>
        <v>0</v>
      </c>
      <c r="X66" s="42">
        <f t="shared" si="10"/>
        <v>0</v>
      </c>
      <c r="Y66" s="29">
        <f t="shared" si="19"/>
        <v>0</v>
      </c>
      <c r="Z66" s="39">
        <f t="shared" si="20"/>
        <v>0</v>
      </c>
      <c r="AA66" s="41">
        <f t="shared" si="11"/>
        <v>0</v>
      </c>
      <c r="AD66" s="16"/>
      <c r="AE66" s="43">
        <f t="shared" si="12"/>
        <v>0</v>
      </c>
      <c r="AF66" s="43">
        <f t="shared" si="13"/>
        <v>0</v>
      </c>
      <c r="AG66" s="44">
        <f t="shared" si="14"/>
        <v>0</v>
      </c>
      <c r="AH66" s="35"/>
      <c r="AI66" s="47">
        <f t="shared" si="15"/>
        <v>0</v>
      </c>
      <c r="AJ66" s="47">
        <f t="shared" si="16"/>
        <v>0</v>
      </c>
      <c r="AK66" s="47">
        <f t="shared" si="17"/>
        <v>0</v>
      </c>
      <c r="AL66" s="10" t="s">
        <v>66</v>
      </c>
    </row>
    <row r="67" spans="1:38" ht="19.5" customHeight="1" x14ac:dyDescent="0.25">
      <c r="A67" s="10" t="s">
        <v>67</v>
      </c>
      <c r="B67" s="70"/>
      <c r="C67" s="70"/>
      <c r="D67" s="70"/>
      <c r="E67" s="71"/>
      <c r="F67" s="71"/>
      <c r="G67" s="71"/>
      <c r="H67" s="71"/>
      <c r="I67" s="49">
        <f t="shared" si="0"/>
        <v>0</v>
      </c>
      <c r="J67" s="49">
        <f t="shared" si="1"/>
        <v>0</v>
      </c>
      <c r="K67" s="49">
        <f t="shared" si="2"/>
        <v>0</v>
      </c>
      <c r="L67" s="49">
        <f t="shared" si="3"/>
        <v>0</v>
      </c>
      <c r="M67" s="51">
        <f t="shared" si="4"/>
        <v>0</v>
      </c>
      <c r="O67" s="16"/>
      <c r="P67" s="55">
        <f t="shared" si="21"/>
        <v>0</v>
      </c>
      <c r="Q67" s="26">
        <f t="shared" si="18"/>
        <v>0</v>
      </c>
      <c r="R67" s="40">
        <f t="shared" si="5"/>
        <v>0</v>
      </c>
      <c r="S67" s="40">
        <f t="shared" si="6"/>
        <v>0</v>
      </c>
      <c r="T67" s="40">
        <f t="shared" si="7"/>
        <v>0</v>
      </c>
      <c r="U67" s="40">
        <f>R67/VLOOKUP(LARGE($L$3:$L$80,1),L$3:$W$80,7,FALSE)</f>
        <v>0</v>
      </c>
      <c r="V67" s="40">
        <f t="shared" si="8"/>
        <v>0</v>
      </c>
      <c r="W67" s="40">
        <f t="shared" si="9"/>
        <v>0</v>
      </c>
      <c r="X67" s="42">
        <f t="shared" si="10"/>
        <v>0</v>
      </c>
      <c r="Y67" s="29">
        <f t="shared" si="19"/>
        <v>0</v>
      </c>
      <c r="Z67" s="39">
        <f t="shared" si="20"/>
        <v>0</v>
      </c>
      <c r="AA67" s="41">
        <f t="shared" si="11"/>
        <v>0</v>
      </c>
      <c r="AD67" s="16"/>
      <c r="AE67" s="43">
        <f t="shared" si="12"/>
        <v>0</v>
      </c>
      <c r="AF67" s="43">
        <f t="shared" si="13"/>
        <v>0</v>
      </c>
      <c r="AG67" s="44">
        <f t="shared" si="14"/>
        <v>0</v>
      </c>
      <c r="AH67" s="35"/>
      <c r="AI67" s="47">
        <f t="shared" si="15"/>
        <v>0</v>
      </c>
      <c r="AJ67" s="47">
        <f t="shared" si="16"/>
        <v>0</v>
      </c>
      <c r="AK67" s="47">
        <f t="shared" si="17"/>
        <v>0</v>
      </c>
      <c r="AL67" s="10" t="s">
        <v>67</v>
      </c>
    </row>
    <row r="68" spans="1:38" ht="19.5" customHeight="1" x14ac:dyDescent="0.25">
      <c r="A68" s="10" t="s">
        <v>68</v>
      </c>
      <c r="B68" s="70"/>
      <c r="C68" s="70"/>
      <c r="D68" s="70"/>
      <c r="E68" s="71"/>
      <c r="F68" s="71"/>
      <c r="G68" s="71"/>
      <c r="H68" s="71"/>
      <c r="I68" s="49">
        <f t="shared" ref="I68:I80" si="23">IFERROR(L68*EXP($F68-$G68/(O$2+$H68)),0)</f>
        <v>0</v>
      </c>
      <c r="J68" s="49">
        <f t="shared" ref="J68:J80" si="24">IFERROR(M68*EXP($F68-$G68/(P$2+$H68)),0)</f>
        <v>0</v>
      </c>
      <c r="K68" s="49">
        <f t="shared" ref="K68:K80" si="25">IFERROR(P68/EXP($F68-$G68/(Q$2+$H68)),0)</f>
        <v>0</v>
      </c>
      <c r="L68" s="49">
        <f t="shared" ref="L68:L80" si="26">IF(B68&lt;&gt;0,B68,(C68*$O$8-D68*$O$10)/$O$12)</f>
        <v>0</v>
      </c>
      <c r="M68" s="51">
        <f t="shared" ref="M68:M80" si="27">IF(C68&lt;&gt;0,C68,(D68*$O$10+B68*$O$12)/$O$8)</f>
        <v>0</v>
      </c>
      <c r="O68" s="16"/>
      <c r="P68" s="55">
        <f t="shared" ref="P68:P80" si="28">IF(D68&lt;&gt;0,D68,(C68*$O$8-B68*$O$12)/$O$10)</f>
        <v>0</v>
      </c>
      <c r="Q68" s="26">
        <f t="shared" si="18"/>
        <v>0</v>
      </c>
      <c r="R68" s="40">
        <f t="shared" ref="R68:R80" si="29">IFERROR(IF(I68=0,IF(AND($F68&lt;&gt;0,$G68&lt;&gt;0,$H68&lt;&gt;0),EXP($F68-$G68/(O$2+$H68)),0),I68/L68),0)</f>
        <v>0</v>
      </c>
      <c r="S68" s="40">
        <f t="shared" ref="S68:S80" si="30">IFERROR(IF(J68=0,IF(AND($F68&lt;&gt;0,$G68&lt;&gt;0,$H68&lt;&gt;0),EXP($F68-$G68/(P$2+$H68)),0),J68/M68),0)</f>
        <v>0</v>
      </c>
      <c r="T68" s="40">
        <f t="shared" ref="T68:T80" si="31">IFERROR(IF(AND($F68&lt;&gt;0,$G68&lt;&gt;0,$H68&lt;&gt;0),EXP($F68-$G68/(Q$2+$H68)),0),0)</f>
        <v>0</v>
      </c>
      <c r="U68" s="40">
        <f>R68/VLOOKUP(LARGE($L$3:$L$80,1),L$3:$W$80,7,FALSE)</f>
        <v>0</v>
      </c>
      <c r="V68" s="40">
        <f t="shared" ref="V68:V80" si="32">S68/VLOOKUP(LARGE($L$3:$L$80,1),$L$3:$W$80,8,FALSE)</f>
        <v>0</v>
      </c>
      <c r="W68" s="40">
        <f t="shared" ref="W68:W80" si="33">T68/VLOOKUP(LARGE($L$3:$L$80,1),$L$3:$W$80,9,FALSE)</f>
        <v>0</v>
      </c>
      <c r="X68" s="42">
        <f t="shared" ref="X68:X80" si="34">(U68*V68*W68)^(1/3)</f>
        <v>0</v>
      </c>
      <c r="Y68" s="29">
        <f t="shared" si="19"/>
        <v>0</v>
      </c>
      <c r="Z68" s="39">
        <f t="shared" ref="Z68:Z80" si="35">IFERROR((X68*M68)/(X68-$Z$2),0)</f>
        <v>0</v>
      </c>
      <c r="AA68" s="41">
        <f t="shared" ref="AA68:AA80" si="36">IFERROR(X68*P68/(X68-$Z$2),0)</f>
        <v>0</v>
      </c>
      <c r="AD68" s="16"/>
      <c r="AE68" s="43">
        <f t="shared" ref="AE68:AE80" si="37">IFERROR(100*(AI68/SUM($AI$3:$AI$80))/E68,0)</f>
        <v>0</v>
      </c>
      <c r="AF68" s="43">
        <f t="shared" ref="AF68:AF80" si="38">IFERROR(100*(AJ68/SUM($AJ$3:$AJ$80))/E68,0)</f>
        <v>0</v>
      </c>
      <c r="AG68" s="44">
        <f t="shared" ref="AG68:AG80" si="39">IFERROR(100*(AK68/SUM($AK$3:$AK$80))/E68,0)</f>
        <v>0</v>
      </c>
      <c r="AH68" s="35"/>
      <c r="AI68" s="47">
        <f t="shared" ref="AI68:AI80" si="40">$O$12*L68*$AH68</f>
        <v>0</v>
      </c>
      <c r="AJ68" s="47">
        <f t="shared" ref="AJ68:AJ80" si="41">$O$8*M68*$AH68</f>
        <v>0</v>
      </c>
      <c r="AK68" s="47">
        <f t="shared" ref="AK68:AK80" si="42">$O$10*P68*$AH68</f>
        <v>0</v>
      </c>
      <c r="AL68" s="10" t="s">
        <v>68</v>
      </c>
    </row>
    <row r="69" spans="1:38" ht="19.5" customHeight="1" x14ac:dyDescent="0.25">
      <c r="A69" s="10" t="s">
        <v>69</v>
      </c>
      <c r="B69" s="70"/>
      <c r="C69" s="70"/>
      <c r="D69" s="70"/>
      <c r="E69" s="71"/>
      <c r="F69" s="71"/>
      <c r="G69" s="71"/>
      <c r="H69" s="71"/>
      <c r="I69" s="49">
        <f t="shared" si="23"/>
        <v>0</v>
      </c>
      <c r="J69" s="49">
        <f t="shared" si="24"/>
        <v>0</v>
      </c>
      <c r="K69" s="49">
        <f t="shared" si="25"/>
        <v>0</v>
      </c>
      <c r="L69" s="49">
        <f t="shared" si="26"/>
        <v>0</v>
      </c>
      <c r="M69" s="51">
        <f t="shared" si="27"/>
        <v>0</v>
      </c>
      <c r="O69" s="16"/>
      <c r="P69" s="55">
        <f t="shared" si="28"/>
        <v>0</v>
      </c>
      <c r="Q69" s="26">
        <f t="shared" ref="Q69:Q80" si="43">B69</f>
        <v>0</v>
      </c>
      <c r="R69" s="40">
        <f t="shared" si="29"/>
        <v>0</v>
      </c>
      <c r="S69" s="40">
        <f t="shared" si="30"/>
        <v>0</v>
      </c>
      <c r="T69" s="40">
        <f t="shared" si="31"/>
        <v>0</v>
      </c>
      <c r="U69" s="40">
        <f>R69/VLOOKUP(LARGE($L$3:$L$80,1),L$3:$W$80,7,FALSE)</f>
        <v>0</v>
      </c>
      <c r="V69" s="40">
        <f t="shared" si="32"/>
        <v>0</v>
      </c>
      <c r="W69" s="40">
        <f t="shared" si="33"/>
        <v>0</v>
      </c>
      <c r="X69" s="42">
        <f t="shared" si="34"/>
        <v>0</v>
      </c>
      <c r="Y69" s="29">
        <f t="shared" ref="Y69:Y80" si="44">C69</f>
        <v>0</v>
      </c>
      <c r="Z69" s="39">
        <f t="shared" si="35"/>
        <v>0</v>
      </c>
      <c r="AA69" s="41">
        <f t="shared" si="36"/>
        <v>0</v>
      </c>
      <c r="AD69" s="16"/>
      <c r="AE69" s="43">
        <f t="shared" si="37"/>
        <v>0</v>
      </c>
      <c r="AF69" s="43">
        <f t="shared" si="38"/>
        <v>0</v>
      </c>
      <c r="AG69" s="44">
        <f t="shared" si="39"/>
        <v>0</v>
      </c>
      <c r="AH69" s="35"/>
      <c r="AI69" s="47">
        <f t="shared" si="40"/>
        <v>0</v>
      </c>
      <c r="AJ69" s="47">
        <f t="shared" si="41"/>
        <v>0</v>
      </c>
      <c r="AK69" s="47">
        <f t="shared" si="42"/>
        <v>0</v>
      </c>
      <c r="AL69" s="10" t="s">
        <v>69</v>
      </c>
    </row>
    <row r="70" spans="1:38" ht="19.5" customHeight="1" x14ac:dyDescent="0.25">
      <c r="A70" s="10" t="s">
        <v>70</v>
      </c>
      <c r="B70" s="70"/>
      <c r="C70" s="70"/>
      <c r="D70" s="70"/>
      <c r="E70" s="71"/>
      <c r="F70" s="71"/>
      <c r="G70" s="71"/>
      <c r="H70" s="71"/>
      <c r="I70" s="49">
        <f t="shared" si="23"/>
        <v>0</v>
      </c>
      <c r="J70" s="49">
        <f t="shared" si="24"/>
        <v>0</v>
      </c>
      <c r="K70" s="49">
        <f t="shared" si="25"/>
        <v>0</v>
      </c>
      <c r="L70" s="49">
        <f t="shared" si="26"/>
        <v>0</v>
      </c>
      <c r="M70" s="51">
        <f t="shared" si="27"/>
        <v>0</v>
      </c>
      <c r="O70" s="16"/>
      <c r="P70" s="55">
        <f t="shared" si="28"/>
        <v>0</v>
      </c>
      <c r="Q70" s="26">
        <f t="shared" si="43"/>
        <v>0</v>
      </c>
      <c r="R70" s="40">
        <f t="shared" si="29"/>
        <v>0</v>
      </c>
      <c r="S70" s="40">
        <f t="shared" si="30"/>
        <v>0</v>
      </c>
      <c r="T70" s="40">
        <f t="shared" si="31"/>
        <v>0</v>
      </c>
      <c r="U70" s="40">
        <f>R70/VLOOKUP(LARGE($L$3:$L$80,1),L$3:$W$80,7,FALSE)</f>
        <v>0</v>
      </c>
      <c r="V70" s="40">
        <f t="shared" si="32"/>
        <v>0</v>
      </c>
      <c r="W70" s="40">
        <f t="shared" si="33"/>
        <v>0</v>
      </c>
      <c r="X70" s="42">
        <f t="shared" si="34"/>
        <v>0</v>
      </c>
      <c r="Y70" s="29">
        <f t="shared" si="44"/>
        <v>0</v>
      </c>
      <c r="Z70" s="39">
        <f t="shared" si="35"/>
        <v>0</v>
      </c>
      <c r="AA70" s="41">
        <f t="shared" si="36"/>
        <v>0</v>
      </c>
      <c r="AD70" s="16"/>
      <c r="AE70" s="43">
        <f t="shared" si="37"/>
        <v>0</v>
      </c>
      <c r="AF70" s="43">
        <f t="shared" si="38"/>
        <v>0</v>
      </c>
      <c r="AG70" s="44">
        <f t="shared" si="39"/>
        <v>0</v>
      </c>
      <c r="AH70" s="35"/>
      <c r="AI70" s="47">
        <f t="shared" si="40"/>
        <v>0</v>
      </c>
      <c r="AJ70" s="47">
        <f t="shared" si="41"/>
        <v>0</v>
      </c>
      <c r="AK70" s="47">
        <f t="shared" si="42"/>
        <v>0</v>
      </c>
      <c r="AL70" s="10" t="s">
        <v>70</v>
      </c>
    </row>
    <row r="71" spans="1:38" ht="19.5" customHeight="1" x14ac:dyDescent="0.25">
      <c r="A71" s="10" t="s">
        <v>71</v>
      </c>
      <c r="B71" s="70"/>
      <c r="C71" s="70"/>
      <c r="D71" s="70"/>
      <c r="E71" s="71"/>
      <c r="F71" s="71"/>
      <c r="G71" s="71"/>
      <c r="H71" s="71"/>
      <c r="I71" s="49">
        <f t="shared" si="23"/>
        <v>0</v>
      </c>
      <c r="J71" s="49">
        <f t="shared" si="24"/>
        <v>0</v>
      </c>
      <c r="K71" s="49">
        <f t="shared" si="25"/>
        <v>0</v>
      </c>
      <c r="L71" s="49">
        <f t="shared" si="26"/>
        <v>0</v>
      </c>
      <c r="M71" s="51">
        <f t="shared" si="27"/>
        <v>0</v>
      </c>
      <c r="O71" s="16"/>
      <c r="P71" s="55">
        <f t="shared" si="28"/>
        <v>0</v>
      </c>
      <c r="Q71" s="26">
        <f t="shared" si="43"/>
        <v>0</v>
      </c>
      <c r="R71" s="40">
        <f t="shared" si="29"/>
        <v>0</v>
      </c>
      <c r="S71" s="40">
        <f t="shared" si="30"/>
        <v>0</v>
      </c>
      <c r="T71" s="40">
        <f t="shared" si="31"/>
        <v>0</v>
      </c>
      <c r="U71" s="40">
        <f>R71/VLOOKUP(LARGE($L$3:$L$80,1),L$3:$W$80,7,FALSE)</f>
        <v>0</v>
      </c>
      <c r="V71" s="40">
        <f t="shared" si="32"/>
        <v>0</v>
      </c>
      <c r="W71" s="40">
        <f t="shared" si="33"/>
        <v>0</v>
      </c>
      <c r="X71" s="42">
        <f t="shared" si="34"/>
        <v>0</v>
      </c>
      <c r="Y71" s="29">
        <f t="shared" si="44"/>
        <v>0</v>
      </c>
      <c r="Z71" s="39">
        <f t="shared" si="35"/>
        <v>0</v>
      </c>
      <c r="AA71" s="41">
        <f t="shared" si="36"/>
        <v>0</v>
      </c>
      <c r="AD71" s="16"/>
      <c r="AE71" s="43">
        <f t="shared" si="37"/>
        <v>0</v>
      </c>
      <c r="AF71" s="43">
        <f t="shared" si="38"/>
        <v>0</v>
      </c>
      <c r="AG71" s="44">
        <f t="shared" si="39"/>
        <v>0</v>
      </c>
      <c r="AH71" s="35"/>
      <c r="AI71" s="47">
        <f t="shared" si="40"/>
        <v>0</v>
      </c>
      <c r="AJ71" s="47">
        <f t="shared" si="41"/>
        <v>0</v>
      </c>
      <c r="AK71" s="47">
        <f t="shared" si="42"/>
        <v>0</v>
      </c>
      <c r="AL71" s="10" t="s">
        <v>71</v>
      </c>
    </row>
    <row r="72" spans="1:38" ht="19.5" customHeight="1" x14ac:dyDescent="0.25">
      <c r="A72" s="10" t="s">
        <v>72</v>
      </c>
      <c r="B72" s="70"/>
      <c r="C72" s="70"/>
      <c r="D72" s="70"/>
      <c r="E72" s="71"/>
      <c r="F72" s="71"/>
      <c r="G72" s="71"/>
      <c r="H72" s="71"/>
      <c r="I72" s="49">
        <f t="shared" si="23"/>
        <v>0</v>
      </c>
      <c r="J72" s="49">
        <f t="shared" si="24"/>
        <v>0</v>
      </c>
      <c r="K72" s="49">
        <f t="shared" si="25"/>
        <v>0</v>
      </c>
      <c r="L72" s="49">
        <f t="shared" si="26"/>
        <v>0</v>
      </c>
      <c r="M72" s="51">
        <f t="shared" si="27"/>
        <v>0</v>
      </c>
      <c r="O72" s="16"/>
      <c r="P72" s="55">
        <f t="shared" si="28"/>
        <v>0</v>
      </c>
      <c r="Q72" s="26">
        <f t="shared" si="43"/>
        <v>0</v>
      </c>
      <c r="R72" s="40">
        <f t="shared" si="29"/>
        <v>0</v>
      </c>
      <c r="S72" s="40">
        <f t="shared" si="30"/>
        <v>0</v>
      </c>
      <c r="T72" s="40">
        <f t="shared" si="31"/>
        <v>0</v>
      </c>
      <c r="U72" s="40">
        <f>R72/VLOOKUP(LARGE($L$3:$L$80,1),L$3:$W$80,7,FALSE)</f>
        <v>0</v>
      </c>
      <c r="V72" s="40">
        <f t="shared" si="32"/>
        <v>0</v>
      </c>
      <c r="W72" s="40">
        <f t="shared" si="33"/>
        <v>0</v>
      </c>
      <c r="X72" s="42">
        <f t="shared" si="34"/>
        <v>0</v>
      </c>
      <c r="Y72" s="29">
        <f t="shared" si="44"/>
        <v>0</v>
      </c>
      <c r="Z72" s="39">
        <f t="shared" si="35"/>
        <v>0</v>
      </c>
      <c r="AA72" s="41">
        <f t="shared" si="36"/>
        <v>0</v>
      </c>
      <c r="AD72" s="16"/>
      <c r="AE72" s="43">
        <f t="shared" si="37"/>
        <v>0</v>
      </c>
      <c r="AF72" s="43">
        <f t="shared" si="38"/>
        <v>0</v>
      </c>
      <c r="AG72" s="44">
        <f t="shared" si="39"/>
        <v>0</v>
      </c>
      <c r="AH72" s="35"/>
      <c r="AI72" s="47">
        <f t="shared" si="40"/>
        <v>0</v>
      </c>
      <c r="AJ72" s="47">
        <f t="shared" si="41"/>
        <v>0</v>
      </c>
      <c r="AK72" s="47">
        <f t="shared" si="42"/>
        <v>0</v>
      </c>
      <c r="AL72" s="10" t="s">
        <v>72</v>
      </c>
    </row>
    <row r="73" spans="1:38" ht="19.5" customHeight="1" x14ac:dyDescent="0.25">
      <c r="A73" s="10" t="s">
        <v>73</v>
      </c>
      <c r="B73" s="70"/>
      <c r="C73" s="70"/>
      <c r="D73" s="70"/>
      <c r="E73" s="71"/>
      <c r="F73" s="71"/>
      <c r="G73" s="71"/>
      <c r="H73" s="71"/>
      <c r="I73" s="49">
        <f t="shared" si="23"/>
        <v>0</v>
      </c>
      <c r="J73" s="49">
        <f t="shared" si="24"/>
        <v>0</v>
      </c>
      <c r="K73" s="49">
        <f t="shared" si="25"/>
        <v>0</v>
      </c>
      <c r="L73" s="49">
        <f t="shared" si="26"/>
        <v>0</v>
      </c>
      <c r="M73" s="51">
        <f t="shared" si="27"/>
        <v>0</v>
      </c>
      <c r="O73" s="16"/>
      <c r="P73" s="55">
        <f t="shared" si="28"/>
        <v>0</v>
      </c>
      <c r="Q73" s="26">
        <f t="shared" si="43"/>
        <v>0</v>
      </c>
      <c r="R73" s="40">
        <f t="shared" si="29"/>
        <v>0</v>
      </c>
      <c r="S73" s="40">
        <f t="shared" si="30"/>
        <v>0</v>
      </c>
      <c r="T73" s="40">
        <f t="shared" si="31"/>
        <v>0</v>
      </c>
      <c r="U73" s="40">
        <f>R73/VLOOKUP(LARGE($L$3:$L$80,1),L$3:$W$80,7,FALSE)</f>
        <v>0</v>
      </c>
      <c r="V73" s="40">
        <f t="shared" si="32"/>
        <v>0</v>
      </c>
      <c r="W73" s="40">
        <f t="shared" si="33"/>
        <v>0</v>
      </c>
      <c r="X73" s="42">
        <f t="shared" si="34"/>
        <v>0</v>
      </c>
      <c r="Y73" s="29">
        <f t="shared" si="44"/>
        <v>0</v>
      </c>
      <c r="Z73" s="39">
        <f t="shared" si="35"/>
        <v>0</v>
      </c>
      <c r="AA73" s="41">
        <f t="shared" si="36"/>
        <v>0</v>
      </c>
      <c r="AD73" s="16"/>
      <c r="AE73" s="43">
        <f t="shared" si="37"/>
        <v>0</v>
      </c>
      <c r="AF73" s="43">
        <f t="shared" si="38"/>
        <v>0</v>
      </c>
      <c r="AG73" s="44">
        <f t="shared" si="39"/>
        <v>0</v>
      </c>
      <c r="AH73" s="35"/>
      <c r="AI73" s="47">
        <f t="shared" si="40"/>
        <v>0</v>
      </c>
      <c r="AJ73" s="47">
        <f t="shared" si="41"/>
        <v>0</v>
      </c>
      <c r="AK73" s="47">
        <f t="shared" si="42"/>
        <v>0</v>
      </c>
      <c r="AL73" s="10" t="s">
        <v>73</v>
      </c>
    </row>
    <row r="74" spans="1:38" ht="19.5" customHeight="1" x14ac:dyDescent="0.25">
      <c r="A74" s="10" t="s">
        <v>74</v>
      </c>
      <c r="B74" s="70"/>
      <c r="C74" s="70"/>
      <c r="D74" s="70"/>
      <c r="E74" s="71"/>
      <c r="F74" s="71"/>
      <c r="G74" s="71"/>
      <c r="H74" s="71"/>
      <c r="I74" s="49">
        <f t="shared" si="23"/>
        <v>0</v>
      </c>
      <c r="J74" s="49">
        <f t="shared" si="24"/>
        <v>0</v>
      </c>
      <c r="K74" s="49">
        <f t="shared" si="25"/>
        <v>0</v>
      </c>
      <c r="L74" s="49">
        <f t="shared" si="26"/>
        <v>0</v>
      </c>
      <c r="M74" s="51">
        <f t="shared" si="27"/>
        <v>0</v>
      </c>
      <c r="O74" s="16"/>
      <c r="P74" s="55">
        <f t="shared" si="28"/>
        <v>0</v>
      </c>
      <c r="Q74" s="26">
        <f t="shared" si="43"/>
        <v>0</v>
      </c>
      <c r="R74" s="40">
        <f t="shared" si="29"/>
        <v>0</v>
      </c>
      <c r="S74" s="40">
        <f t="shared" si="30"/>
        <v>0</v>
      </c>
      <c r="T74" s="40">
        <f t="shared" si="31"/>
        <v>0</v>
      </c>
      <c r="U74" s="40">
        <f>R74/VLOOKUP(LARGE($L$3:$L$80,1),L$3:$W$80,7,FALSE)</f>
        <v>0</v>
      </c>
      <c r="V74" s="40">
        <f t="shared" si="32"/>
        <v>0</v>
      </c>
      <c r="W74" s="40">
        <f t="shared" si="33"/>
        <v>0</v>
      </c>
      <c r="X74" s="42">
        <f t="shared" si="34"/>
        <v>0</v>
      </c>
      <c r="Y74" s="29">
        <f t="shared" si="44"/>
        <v>0</v>
      </c>
      <c r="Z74" s="39">
        <f t="shared" si="35"/>
        <v>0</v>
      </c>
      <c r="AA74" s="41">
        <f t="shared" si="36"/>
        <v>0</v>
      </c>
      <c r="AD74" s="16"/>
      <c r="AE74" s="43">
        <f t="shared" si="37"/>
        <v>0</v>
      </c>
      <c r="AF74" s="43">
        <f t="shared" si="38"/>
        <v>0</v>
      </c>
      <c r="AG74" s="44">
        <f t="shared" si="39"/>
        <v>0</v>
      </c>
      <c r="AH74" s="35"/>
      <c r="AI74" s="47">
        <f t="shared" si="40"/>
        <v>0</v>
      </c>
      <c r="AJ74" s="47">
        <f t="shared" si="41"/>
        <v>0</v>
      </c>
      <c r="AK74" s="47">
        <f t="shared" si="42"/>
        <v>0</v>
      </c>
      <c r="AL74" s="10" t="s">
        <v>74</v>
      </c>
    </row>
    <row r="75" spans="1:38" ht="19.5" customHeight="1" x14ac:dyDescent="0.25">
      <c r="A75" s="10" t="s">
        <v>75</v>
      </c>
      <c r="B75" s="70"/>
      <c r="C75" s="70"/>
      <c r="D75" s="70"/>
      <c r="E75" s="71"/>
      <c r="F75" s="71"/>
      <c r="G75" s="71"/>
      <c r="H75" s="71"/>
      <c r="I75" s="49">
        <f t="shared" si="23"/>
        <v>0</v>
      </c>
      <c r="J75" s="49">
        <f t="shared" si="24"/>
        <v>0</v>
      </c>
      <c r="K75" s="49">
        <f t="shared" si="25"/>
        <v>0</v>
      </c>
      <c r="L75" s="49">
        <f t="shared" si="26"/>
        <v>0</v>
      </c>
      <c r="M75" s="51">
        <f t="shared" si="27"/>
        <v>0</v>
      </c>
      <c r="O75" s="16"/>
      <c r="P75" s="55">
        <f t="shared" si="28"/>
        <v>0</v>
      </c>
      <c r="Q75" s="26">
        <f t="shared" si="43"/>
        <v>0</v>
      </c>
      <c r="R75" s="40">
        <f t="shared" si="29"/>
        <v>0</v>
      </c>
      <c r="S75" s="40">
        <f t="shared" si="30"/>
        <v>0</v>
      </c>
      <c r="T75" s="40">
        <f t="shared" si="31"/>
        <v>0</v>
      </c>
      <c r="U75" s="40">
        <f>R75/VLOOKUP(LARGE($L$3:$L$80,1),L$3:$W$80,7,FALSE)</f>
        <v>0</v>
      </c>
      <c r="V75" s="40">
        <f t="shared" si="32"/>
        <v>0</v>
      </c>
      <c r="W75" s="40">
        <f t="shared" si="33"/>
        <v>0</v>
      </c>
      <c r="X75" s="42">
        <f t="shared" si="34"/>
        <v>0</v>
      </c>
      <c r="Y75" s="29">
        <f t="shared" si="44"/>
        <v>0</v>
      </c>
      <c r="Z75" s="39">
        <f t="shared" si="35"/>
        <v>0</v>
      </c>
      <c r="AA75" s="41">
        <f t="shared" si="36"/>
        <v>0</v>
      </c>
      <c r="AD75" s="16"/>
      <c r="AE75" s="43">
        <f t="shared" si="37"/>
        <v>0</v>
      </c>
      <c r="AF75" s="43">
        <f t="shared" si="38"/>
        <v>0</v>
      </c>
      <c r="AG75" s="44">
        <f t="shared" si="39"/>
        <v>0</v>
      </c>
      <c r="AH75" s="35"/>
      <c r="AI75" s="47">
        <f t="shared" si="40"/>
        <v>0</v>
      </c>
      <c r="AJ75" s="47">
        <f t="shared" si="41"/>
        <v>0</v>
      </c>
      <c r="AK75" s="47">
        <f t="shared" si="42"/>
        <v>0</v>
      </c>
      <c r="AL75" s="10" t="s">
        <v>75</v>
      </c>
    </row>
    <row r="76" spans="1:38" ht="19.5" customHeight="1" x14ac:dyDescent="0.25">
      <c r="A76" s="10" t="s">
        <v>76</v>
      </c>
      <c r="B76" s="70"/>
      <c r="C76" s="70"/>
      <c r="D76" s="70"/>
      <c r="E76" s="71"/>
      <c r="F76" s="71"/>
      <c r="G76" s="71"/>
      <c r="H76" s="71"/>
      <c r="I76" s="49">
        <f t="shared" si="23"/>
        <v>0</v>
      </c>
      <c r="J76" s="49">
        <f t="shared" si="24"/>
        <v>0</v>
      </c>
      <c r="K76" s="49">
        <f t="shared" si="25"/>
        <v>0</v>
      </c>
      <c r="L76" s="49">
        <f t="shared" si="26"/>
        <v>0</v>
      </c>
      <c r="M76" s="51">
        <f t="shared" si="27"/>
        <v>0</v>
      </c>
      <c r="O76" s="16"/>
      <c r="P76" s="55">
        <f t="shared" si="28"/>
        <v>0</v>
      </c>
      <c r="Q76" s="26">
        <f t="shared" si="43"/>
        <v>0</v>
      </c>
      <c r="R76" s="40">
        <f t="shared" si="29"/>
        <v>0</v>
      </c>
      <c r="S76" s="40">
        <f t="shared" si="30"/>
        <v>0</v>
      </c>
      <c r="T76" s="40">
        <f t="shared" si="31"/>
        <v>0</v>
      </c>
      <c r="U76" s="40">
        <f>R76/VLOOKUP(LARGE($L$3:$L$80,1),L$3:$W$80,7,FALSE)</f>
        <v>0</v>
      </c>
      <c r="V76" s="40">
        <f t="shared" si="32"/>
        <v>0</v>
      </c>
      <c r="W76" s="40">
        <f t="shared" si="33"/>
        <v>0</v>
      </c>
      <c r="X76" s="42">
        <f t="shared" si="34"/>
        <v>0</v>
      </c>
      <c r="Y76" s="29">
        <f t="shared" si="44"/>
        <v>0</v>
      </c>
      <c r="Z76" s="39">
        <f t="shared" si="35"/>
        <v>0</v>
      </c>
      <c r="AA76" s="41">
        <f t="shared" si="36"/>
        <v>0</v>
      </c>
      <c r="AD76" s="16"/>
      <c r="AE76" s="43">
        <f t="shared" si="37"/>
        <v>0</v>
      </c>
      <c r="AF76" s="43">
        <f t="shared" si="38"/>
        <v>0</v>
      </c>
      <c r="AG76" s="44">
        <f t="shared" si="39"/>
        <v>0</v>
      </c>
      <c r="AH76" s="35"/>
      <c r="AI76" s="47">
        <f t="shared" si="40"/>
        <v>0</v>
      </c>
      <c r="AJ76" s="47">
        <f t="shared" si="41"/>
        <v>0</v>
      </c>
      <c r="AK76" s="47">
        <f t="shared" si="42"/>
        <v>0</v>
      </c>
      <c r="AL76" s="10" t="s">
        <v>76</v>
      </c>
    </row>
    <row r="77" spans="1:38" ht="19.5" customHeight="1" x14ac:dyDescent="0.25">
      <c r="A77" s="10" t="s">
        <v>77</v>
      </c>
      <c r="B77" s="70"/>
      <c r="C77" s="70"/>
      <c r="D77" s="70"/>
      <c r="E77" s="71"/>
      <c r="F77" s="71"/>
      <c r="G77" s="71"/>
      <c r="H77" s="71"/>
      <c r="I77" s="49">
        <f t="shared" si="23"/>
        <v>0</v>
      </c>
      <c r="J77" s="49">
        <f t="shared" si="24"/>
        <v>0</v>
      </c>
      <c r="K77" s="49">
        <f t="shared" si="25"/>
        <v>0</v>
      </c>
      <c r="L77" s="49">
        <f t="shared" si="26"/>
        <v>0</v>
      </c>
      <c r="M77" s="51">
        <f t="shared" si="27"/>
        <v>0</v>
      </c>
      <c r="O77" s="16"/>
      <c r="P77" s="55">
        <f t="shared" si="28"/>
        <v>0</v>
      </c>
      <c r="Q77" s="26">
        <f t="shared" si="43"/>
        <v>0</v>
      </c>
      <c r="R77" s="40">
        <f t="shared" si="29"/>
        <v>0</v>
      </c>
      <c r="S77" s="40">
        <f t="shared" si="30"/>
        <v>0</v>
      </c>
      <c r="T77" s="40">
        <f t="shared" si="31"/>
        <v>0</v>
      </c>
      <c r="U77" s="40">
        <f>R77/VLOOKUP(LARGE($L$3:$L$80,1),L$3:$W$80,7,FALSE)</f>
        <v>0</v>
      </c>
      <c r="V77" s="40">
        <f t="shared" si="32"/>
        <v>0</v>
      </c>
      <c r="W77" s="40">
        <f t="shared" si="33"/>
        <v>0</v>
      </c>
      <c r="X77" s="42">
        <f t="shared" si="34"/>
        <v>0</v>
      </c>
      <c r="Y77" s="29">
        <f t="shared" si="44"/>
        <v>0</v>
      </c>
      <c r="Z77" s="39">
        <f t="shared" si="35"/>
        <v>0</v>
      </c>
      <c r="AA77" s="41">
        <f t="shared" si="36"/>
        <v>0</v>
      </c>
      <c r="AD77" s="16"/>
      <c r="AE77" s="43">
        <f t="shared" si="37"/>
        <v>0</v>
      </c>
      <c r="AF77" s="43">
        <f t="shared" si="38"/>
        <v>0</v>
      </c>
      <c r="AG77" s="44">
        <f t="shared" si="39"/>
        <v>0</v>
      </c>
      <c r="AH77" s="35"/>
      <c r="AI77" s="47">
        <f t="shared" si="40"/>
        <v>0</v>
      </c>
      <c r="AJ77" s="47">
        <f t="shared" si="41"/>
        <v>0</v>
      </c>
      <c r="AK77" s="47">
        <f t="shared" si="42"/>
        <v>0</v>
      </c>
      <c r="AL77" s="10" t="s">
        <v>77</v>
      </c>
    </row>
    <row r="78" spans="1:38" ht="19.5" customHeight="1" x14ac:dyDescent="0.25">
      <c r="A78" s="10" t="s">
        <v>78</v>
      </c>
      <c r="B78" s="70"/>
      <c r="C78" s="70"/>
      <c r="D78" s="70"/>
      <c r="E78" s="71"/>
      <c r="F78" s="71"/>
      <c r="G78" s="71"/>
      <c r="H78" s="71"/>
      <c r="I78" s="49">
        <f t="shared" si="23"/>
        <v>0</v>
      </c>
      <c r="J78" s="49">
        <f t="shared" si="24"/>
        <v>0</v>
      </c>
      <c r="K78" s="49">
        <f t="shared" si="25"/>
        <v>0</v>
      </c>
      <c r="L78" s="49">
        <f t="shared" si="26"/>
        <v>0</v>
      </c>
      <c r="M78" s="51">
        <f t="shared" si="27"/>
        <v>0</v>
      </c>
      <c r="O78" s="16"/>
      <c r="P78" s="55">
        <f t="shared" si="28"/>
        <v>0</v>
      </c>
      <c r="Q78" s="26">
        <f t="shared" si="43"/>
        <v>0</v>
      </c>
      <c r="R78" s="40">
        <f t="shared" si="29"/>
        <v>0</v>
      </c>
      <c r="S78" s="40">
        <f t="shared" si="30"/>
        <v>0</v>
      </c>
      <c r="T78" s="40">
        <f t="shared" si="31"/>
        <v>0</v>
      </c>
      <c r="U78" s="40">
        <f>R78/VLOOKUP(LARGE($L$3:$L$80,1),L$3:$W$80,7,FALSE)</f>
        <v>0</v>
      </c>
      <c r="V78" s="40">
        <f t="shared" si="32"/>
        <v>0</v>
      </c>
      <c r="W78" s="40">
        <f t="shared" si="33"/>
        <v>0</v>
      </c>
      <c r="X78" s="42">
        <f t="shared" si="34"/>
        <v>0</v>
      </c>
      <c r="Y78" s="29">
        <f t="shared" si="44"/>
        <v>0</v>
      </c>
      <c r="Z78" s="39">
        <f t="shared" si="35"/>
        <v>0</v>
      </c>
      <c r="AA78" s="41">
        <f t="shared" si="36"/>
        <v>0</v>
      </c>
      <c r="AD78" s="16"/>
      <c r="AE78" s="43">
        <f t="shared" si="37"/>
        <v>0</v>
      </c>
      <c r="AF78" s="43">
        <f t="shared" si="38"/>
        <v>0</v>
      </c>
      <c r="AG78" s="44">
        <f t="shared" si="39"/>
        <v>0</v>
      </c>
      <c r="AH78" s="35"/>
      <c r="AI78" s="47">
        <f t="shared" si="40"/>
        <v>0</v>
      </c>
      <c r="AJ78" s="47">
        <f t="shared" si="41"/>
        <v>0</v>
      </c>
      <c r="AK78" s="47">
        <f t="shared" si="42"/>
        <v>0</v>
      </c>
      <c r="AL78" s="10" t="s">
        <v>78</v>
      </c>
    </row>
    <row r="79" spans="1:38" ht="19.5" customHeight="1" x14ac:dyDescent="0.25">
      <c r="A79" s="10" t="s">
        <v>79</v>
      </c>
      <c r="B79" s="70"/>
      <c r="C79" s="70"/>
      <c r="D79" s="70"/>
      <c r="E79" s="71"/>
      <c r="F79" s="71"/>
      <c r="G79" s="71"/>
      <c r="H79" s="71"/>
      <c r="I79" s="49">
        <f t="shared" si="23"/>
        <v>0</v>
      </c>
      <c r="J79" s="49">
        <f t="shared" si="24"/>
        <v>0</v>
      </c>
      <c r="K79" s="49">
        <f t="shared" si="25"/>
        <v>0</v>
      </c>
      <c r="L79" s="49">
        <f t="shared" si="26"/>
        <v>0</v>
      </c>
      <c r="M79" s="51">
        <f t="shared" si="27"/>
        <v>0</v>
      </c>
      <c r="O79" s="16"/>
      <c r="P79" s="55">
        <f t="shared" si="28"/>
        <v>0</v>
      </c>
      <c r="Q79" s="26">
        <f t="shared" si="43"/>
        <v>0</v>
      </c>
      <c r="R79" s="40">
        <f t="shared" si="29"/>
        <v>0</v>
      </c>
      <c r="S79" s="40">
        <f t="shared" si="30"/>
        <v>0</v>
      </c>
      <c r="T79" s="40">
        <f t="shared" si="31"/>
        <v>0</v>
      </c>
      <c r="U79" s="40">
        <f>R79/VLOOKUP(LARGE($L$3:$L$80,1),L$3:$W$80,7,FALSE)</f>
        <v>0</v>
      </c>
      <c r="V79" s="40">
        <f t="shared" si="32"/>
        <v>0</v>
      </c>
      <c r="W79" s="40">
        <f t="shared" si="33"/>
        <v>0</v>
      </c>
      <c r="X79" s="42">
        <f t="shared" si="34"/>
        <v>0</v>
      </c>
      <c r="Y79" s="29">
        <f t="shared" si="44"/>
        <v>0</v>
      </c>
      <c r="Z79" s="39">
        <f t="shared" si="35"/>
        <v>0</v>
      </c>
      <c r="AA79" s="41">
        <f t="shared" si="36"/>
        <v>0</v>
      </c>
      <c r="AD79" s="16"/>
      <c r="AE79" s="43">
        <f t="shared" si="37"/>
        <v>0</v>
      </c>
      <c r="AF79" s="43">
        <f t="shared" si="38"/>
        <v>0</v>
      </c>
      <c r="AG79" s="44">
        <f t="shared" si="39"/>
        <v>0</v>
      </c>
      <c r="AH79" s="35"/>
      <c r="AI79" s="47">
        <f t="shared" si="40"/>
        <v>0</v>
      </c>
      <c r="AJ79" s="47">
        <f t="shared" si="41"/>
        <v>0</v>
      </c>
      <c r="AK79" s="47">
        <f t="shared" si="42"/>
        <v>0</v>
      </c>
      <c r="AL79" s="10" t="s">
        <v>79</v>
      </c>
    </row>
    <row r="80" spans="1:38" ht="19.5" customHeight="1" x14ac:dyDescent="0.25">
      <c r="A80" s="10" t="s">
        <v>80</v>
      </c>
      <c r="B80" s="70"/>
      <c r="C80" s="70"/>
      <c r="D80" s="70"/>
      <c r="E80" s="71"/>
      <c r="F80" s="71"/>
      <c r="G80" s="71"/>
      <c r="H80" s="71"/>
      <c r="I80" s="49">
        <f t="shared" si="23"/>
        <v>0</v>
      </c>
      <c r="J80" s="49">
        <f t="shared" si="24"/>
        <v>0</v>
      </c>
      <c r="K80" s="49">
        <f t="shared" si="25"/>
        <v>0</v>
      </c>
      <c r="L80" s="49">
        <f t="shared" si="26"/>
        <v>0</v>
      </c>
      <c r="M80" s="51">
        <f t="shared" si="27"/>
        <v>0</v>
      </c>
      <c r="O80" s="16"/>
      <c r="P80" s="55">
        <f t="shared" si="28"/>
        <v>0</v>
      </c>
      <c r="Q80" s="26">
        <f t="shared" si="43"/>
        <v>0</v>
      </c>
      <c r="R80" s="40">
        <f t="shared" si="29"/>
        <v>0</v>
      </c>
      <c r="S80" s="40">
        <f t="shared" si="30"/>
        <v>0</v>
      </c>
      <c r="T80" s="40">
        <f t="shared" si="31"/>
        <v>0</v>
      </c>
      <c r="U80" s="40">
        <f>R80/VLOOKUP(LARGE($L$3:$L$80,1),L$3:$W$80,7,FALSE)</f>
        <v>0</v>
      </c>
      <c r="V80" s="40">
        <f t="shared" si="32"/>
        <v>0</v>
      </c>
      <c r="W80" s="40">
        <f t="shared" si="33"/>
        <v>0</v>
      </c>
      <c r="X80" s="42">
        <f t="shared" si="34"/>
        <v>0</v>
      </c>
      <c r="Y80" s="29">
        <f t="shared" si="44"/>
        <v>0</v>
      </c>
      <c r="Z80" s="39">
        <f t="shared" si="35"/>
        <v>0</v>
      </c>
      <c r="AA80" s="41">
        <f t="shared" si="36"/>
        <v>0</v>
      </c>
      <c r="AB80" s="21"/>
      <c r="AD80" s="16"/>
      <c r="AE80" s="43">
        <f t="shared" si="37"/>
        <v>0</v>
      </c>
      <c r="AF80" s="43">
        <f t="shared" si="38"/>
        <v>0</v>
      </c>
      <c r="AG80" s="44">
        <f t="shared" si="39"/>
        <v>0</v>
      </c>
      <c r="AH80" s="35"/>
      <c r="AI80" s="48">
        <f t="shared" si="40"/>
        <v>0</v>
      </c>
      <c r="AJ80" s="47">
        <f t="shared" si="41"/>
        <v>0</v>
      </c>
      <c r="AK80" s="47">
        <f t="shared" si="42"/>
        <v>0</v>
      </c>
      <c r="AL80" s="10" t="s">
        <v>80</v>
      </c>
    </row>
    <row r="81" spans="13:17" hidden="1" x14ac:dyDescent="0.25">
      <c r="M81" s="38"/>
      <c r="N81" s="38"/>
      <c r="O81" s="38"/>
      <c r="P81" s="38"/>
      <c r="Q81" s="38"/>
    </row>
    <row r="82" spans="13:17" hidden="1" x14ac:dyDescent="0.25">
      <c r="M82" s="38"/>
      <c r="N82" s="38"/>
      <c r="O82" s="38"/>
      <c r="P82" s="38"/>
      <c r="Q82" s="38"/>
    </row>
    <row r="83" spans="13:17" hidden="1" x14ac:dyDescent="0.25">
      <c r="M83" s="38"/>
      <c r="N83" s="38"/>
      <c r="O83" s="38"/>
      <c r="P83" s="38"/>
      <c r="Q83" s="38"/>
    </row>
    <row r="84" spans="13:17" hidden="1" x14ac:dyDescent="0.25">
      <c r="M84" s="38"/>
      <c r="N84" s="38"/>
      <c r="O84" s="38"/>
      <c r="P84" s="38"/>
      <c r="Q84" s="38"/>
    </row>
  </sheetData>
  <mergeCells count="11">
    <mergeCell ref="Z1:AA1"/>
    <mergeCell ref="A1:E1"/>
    <mergeCell ref="F1:H1"/>
    <mergeCell ref="R1:T1"/>
    <mergeCell ref="U1:W1"/>
    <mergeCell ref="AI1:AK1"/>
    <mergeCell ref="AF1:AH1"/>
    <mergeCell ref="AB3:AD3"/>
    <mergeCell ref="AB6:AB9"/>
    <mergeCell ref="AC6:AC9"/>
    <mergeCell ref="AD6:AD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D13" sqref="D13"/>
    </sheetView>
  </sheetViews>
  <sheetFormatPr defaultRowHeight="15" x14ac:dyDescent="0.25"/>
  <cols>
    <col min="1" max="1" width="24.42578125" style="1" customWidth="1"/>
    <col min="4" max="4" width="9.42578125" bestFit="1" customWidth="1"/>
  </cols>
  <sheetData>
    <row r="1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FUGK</vt:lpstr>
      <vt:lpstr>Tabelas</vt:lpstr>
      <vt:lpstr>Listas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Lavoisier</cp:lastModifiedBy>
  <dcterms:created xsi:type="dcterms:W3CDTF">2022-06-02T01:11:06Z</dcterms:created>
  <dcterms:modified xsi:type="dcterms:W3CDTF">2023-10-12T17:33:33Z</dcterms:modified>
</cp:coreProperties>
</file>