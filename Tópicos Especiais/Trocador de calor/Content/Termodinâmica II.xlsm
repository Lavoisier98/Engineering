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240" yWindow="45" windowWidth="20115" windowHeight="7995" activeTab="1"/>
  </bookViews>
  <sheets>
    <sheet name="Dados do Processo" sheetId="1" r:id="rId1"/>
    <sheet name="Passo a passo" sheetId="4" r:id="rId2"/>
    <sheet name="Z(0)-Z(1) - Lee Kesler" sheetId="2" r:id="rId3"/>
    <sheet name="Prop. &amp; Parâmetros (Antoine)" sheetId="3" r:id="rId4"/>
  </sheets>
  <calcPr calcId="145621" iterateDelta="1E-10"/>
</workbook>
</file>

<file path=xl/calcChain.xml><?xml version="1.0" encoding="utf-8"?>
<calcChain xmlns="http://schemas.openxmlformats.org/spreadsheetml/2006/main">
  <c r="H12" i="4" l="1"/>
  <c r="AA3" i="1" l="1"/>
  <c r="H14" i="4"/>
  <c r="B14" i="4"/>
  <c r="C14" i="4"/>
  <c r="A14" i="4"/>
  <c r="I14" i="4"/>
  <c r="E14" i="4" l="1"/>
  <c r="AC3" i="1" l="1"/>
  <c r="AB3" i="1"/>
  <c r="Z3" i="1"/>
  <c r="U9" i="1"/>
  <c r="U5" i="1"/>
  <c r="U4" i="1"/>
  <c r="H6" i="4"/>
  <c r="F6" i="4"/>
  <c r="E6" i="4"/>
  <c r="D6" i="4"/>
  <c r="C6" i="4"/>
  <c r="B6" i="4"/>
  <c r="A6" i="4"/>
  <c r="H3" i="4"/>
  <c r="G3" i="4"/>
  <c r="F3" i="4"/>
  <c r="E3" i="4"/>
  <c r="D3" i="4"/>
  <c r="A12" i="4" s="1"/>
  <c r="C3" i="4"/>
  <c r="C22" i="4" s="1"/>
  <c r="B3" i="4"/>
  <c r="H16" i="4"/>
  <c r="C24" i="4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G6" i="4" s="1"/>
  <c r="H136" i="3"/>
  <c r="H137" i="3"/>
  <c r="H138" i="3"/>
  <c r="H98" i="3"/>
  <c r="H97" i="3"/>
  <c r="B12" i="4" l="1"/>
  <c r="B16" i="4" s="1"/>
  <c r="H18" i="4"/>
  <c r="D20" i="4"/>
  <c r="E20" i="4" s="1"/>
  <c r="A20" i="4"/>
  <c r="A24" i="4" s="1"/>
  <c r="B24" i="4" s="1"/>
  <c r="C20" i="4"/>
  <c r="G18" i="4"/>
  <c r="J18" i="4" s="1"/>
  <c r="F20" i="4" s="1"/>
  <c r="A22" i="4"/>
  <c r="A26" i="4" s="1"/>
  <c r="B22" i="4" s="1"/>
  <c r="A16" i="4" l="1"/>
  <c r="C12" i="4" s="1"/>
  <c r="A18" i="4"/>
  <c r="B18" i="4"/>
  <c r="I12" i="4"/>
  <c r="E12" i="4"/>
  <c r="J12" i="4"/>
  <c r="F12" i="4"/>
  <c r="F18" i="4"/>
  <c r="I18" i="4" s="1"/>
  <c r="H20" i="4" s="1"/>
  <c r="K12" i="4"/>
  <c r="B20" i="4"/>
  <c r="E22" i="4"/>
  <c r="D24" i="4" s="1"/>
  <c r="C26" i="4" s="1"/>
  <c r="D22" i="4"/>
  <c r="B26" i="4"/>
  <c r="A30" i="4" s="1"/>
  <c r="A28" i="4"/>
  <c r="D12" i="4" l="1"/>
  <c r="G12" i="4"/>
  <c r="I16" i="4" s="1"/>
  <c r="C28" i="4"/>
  <c r="G20" i="4"/>
  <c r="F22" i="4" s="1"/>
  <c r="E24" i="4"/>
  <c r="D26" i="4" s="1"/>
  <c r="D28" i="4"/>
  <c r="E28" i="4" s="1"/>
  <c r="B28" i="4"/>
  <c r="D14" i="4" l="1"/>
  <c r="G16" i="4"/>
  <c r="F24" i="4"/>
  <c r="H24" i="4"/>
  <c r="H26" i="4" s="1"/>
  <c r="G22" i="4"/>
  <c r="K20" i="4" s="1"/>
  <c r="K22" i="4" s="1"/>
  <c r="G24" i="4"/>
  <c r="D30" i="4"/>
  <c r="F30" i="4" s="1"/>
  <c r="C30" i="4"/>
  <c r="F26" i="4" l="1"/>
  <c r="G14" i="4"/>
  <c r="G26" i="4"/>
  <c r="I26" i="4" s="1"/>
  <c r="J20" i="4"/>
  <c r="B30" i="4"/>
  <c r="F28" i="4" s="1"/>
  <c r="I20" i="4"/>
  <c r="E26" i="4"/>
  <c r="I24" i="4" s="1"/>
  <c r="F14" i="4"/>
  <c r="J22" i="4" l="1"/>
  <c r="L22" i="4" s="1"/>
  <c r="I22" i="4"/>
  <c r="H22" i="4"/>
  <c r="L20" i="4" s="1"/>
</calcChain>
</file>

<file path=xl/sharedStrings.xml><?xml version="1.0" encoding="utf-8"?>
<sst xmlns="http://schemas.openxmlformats.org/spreadsheetml/2006/main" count="581" uniqueCount="399">
  <si>
    <t>↓Tr/Pr→</t>
  </si>
  <si>
    <t>Valores de Z(0)</t>
  </si>
  <si>
    <t>Valores de Z(1)</t>
  </si>
  <si>
    <t>Methyl t-butyl ether</t>
  </si>
  <si>
    <t>Methane</t>
  </si>
  <si>
    <t>Ethane</t>
  </si>
  <si>
    <t>Propane</t>
  </si>
  <si>
    <t>n-Butane</t>
  </si>
  <si>
    <t>n-Pentane</t>
  </si>
  <si>
    <t>n-Hexane</t>
  </si>
  <si>
    <t>n-Heptane</t>
  </si>
  <si>
    <t>n-Octane</t>
  </si>
  <si>
    <t>n-Nonane</t>
  </si>
  <si>
    <t>n-Decane</t>
  </si>
  <si>
    <t>Cyclopentane</t>
  </si>
  <si>
    <t>Cyclohexane</t>
  </si>
  <si>
    <t>Methylcyclopentane</t>
  </si>
  <si>
    <t>Methylcyclohexane</t>
  </si>
  <si>
    <t>Ethylene</t>
  </si>
  <si>
    <t>Propylene</t>
  </si>
  <si>
    <t>1-Butene</t>
  </si>
  <si>
    <t>cis-2-Butene</t>
  </si>
  <si>
    <t>trans-2-Butene</t>
  </si>
  <si>
    <t>1-Hexene</t>
  </si>
  <si>
    <t>1,3-Butadiene</t>
  </si>
  <si>
    <t>Cyclohexene</t>
  </si>
  <si>
    <t>Acetylene</t>
  </si>
  <si>
    <t>Benzene</t>
  </si>
  <si>
    <t>Toluene</t>
  </si>
  <si>
    <t>Ethylbenzene</t>
  </si>
  <si>
    <t>Cumene</t>
  </si>
  <si>
    <t>o-Xylene</t>
  </si>
  <si>
    <t>m-Xylene</t>
  </si>
  <si>
    <t>p-Xylene</t>
  </si>
  <si>
    <t>Styrene</t>
  </si>
  <si>
    <t>Naphthalene</t>
  </si>
  <si>
    <t>Biphenyl</t>
  </si>
  <si>
    <t>Formaldehyde</t>
  </si>
  <si>
    <t>Acetaldehyde</t>
  </si>
  <si>
    <t>Methyl acetate</t>
  </si>
  <si>
    <t>Ethyl acetate</t>
  </si>
  <si>
    <t>Methyl ethyl ketone</t>
  </si>
  <si>
    <t>Diethyl ether</t>
  </si>
  <si>
    <t>Molar Mass</t>
  </si>
  <si>
    <t>ω</t>
  </si>
  <si>
    <t>Tc(K)</t>
  </si>
  <si>
    <t>Pc(bar)</t>
  </si>
  <si>
    <t>Zc</t>
  </si>
  <si>
    <t>Vc (cm³/mol)</t>
  </si>
  <si>
    <t>Tn(K)</t>
  </si>
  <si>
    <t>Pure Specie</t>
  </si>
  <si>
    <t>Acetone</t>
  </si>
  <si>
    <t>Methanol</t>
  </si>
  <si>
    <t>Ethanol</t>
  </si>
  <si>
    <t>1-Propanol</t>
  </si>
  <si>
    <t>1-Butanol</t>
  </si>
  <si>
    <t>1-Hexanol</t>
  </si>
  <si>
    <t>2-Propanol</t>
  </si>
  <si>
    <t>Phenol</t>
  </si>
  <si>
    <t>Ethylene glycol</t>
  </si>
  <si>
    <t>Acetic acid</t>
  </si>
  <si>
    <t>n-Butyric acid</t>
  </si>
  <si>
    <t>Benzoic acid</t>
  </si>
  <si>
    <t>Acetonitrile</t>
  </si>
  <si>
    <t>Methylamine</t>
  </si>
  <si>
    <t>Ethylamine</t>
  </si>
  <si>
    <t>Nitromethane</t>
  </si>
  <si>
    <t>Carbon tetrachloride</t>
  </si>
  <si>
    <t>Chloroform</t>
  </si>
  <si>
    <t>Dichloromethane</t>
  </si>
  <si>
    <t>Methyl chloride</t>
  </si>
  <si>
    <t>Ethyl chloride</t>
  </si>
  <si>
    <t>Chlorobenzene</t>
  </si>
  <si>
    <t>Tetrafluoroethane</t>
  </si>
  <si>
    <t>Argon</t>
  </si>
  <si>
    <t>Krypton</t>
  </si>
  <si>
    <t>Xenon</t>
  </si>
  <si>
    <t>Helium 4</t>
  </si>
  <si>
    <t>Hydrogen</t>
  </si>
  <si>
    <t>Oxygen</t>
  </si>
  <si>
    <t>Nitrogen</t>
  </si>
  <si>
    <t>Air</t>
  </si>
  <si>
    <t>Chlorine</t>
  </si>
  <si>
    <t>Carbon monoxide</t>
  </si>
  <si>
    <t>Carbon dioxide</t>
  </si>
  <si>
    <t>Carbon disulfide</t>
  </si>
  <si>
    <t>Hydrogen sulfide</t>
  </si>
  <si>
    <t>Sulfur dioxide</t>
  </si>
  <si>
    <t>Sulfur trioxide</t>
  </si>
  <si>
    <t>Nitric oxide</t>
  </si>
  <si>
    <t>Nitrous oxide</t>
  </si>
  <si>
    <t>Hydrogen chloride</t>
  </si>
  <si>
    <t>Hydrogen cyanide</t>
  </si>
  <si>
    <t>Water</t>
  </si>
  <si>
    <t>Ammonia</t>
  </si>
  <si>
    <t>Nitric acid</t>
  </si>
  <si>
    <t>Sulfuric acid</t>
  </si>
  <si>
    <t>Characteristic Properties of Pure Species</t>
  </si>
  <si>
    <t>Name</t>
  </si>
  <si>
    <t>Fórmula</t>
  </si>
  <si>
    <t>A</t>
  </si>
  <si>
    <t>B</t>
  </si>
  <si>
    <t>C</t>
  </si>
  <si>
    <t>Parâmeters for Antoine eqn.</t>
  </si>
  <si>
    <t>Temp. Range (°C)</t>
  </si>
  <si>
    <t>ΔHn</t>
  </si>
  <si>
    <t>(°C)</t>
  </si>
  <si>
    <t>kJ/mol</t>
  </si>
  <si>
    <t>iso-Butane</t>
  </si>
  <si>
    <t>iso-Octane</t>
  </si>
  <si>
    <t>iso-Butylene</t>
  </si>
  <si>
    <t>2-Butanol</t>
  </si>
  <si>
    <t>iso-Butanol</t>
  </si>
  <si>
    <t>terc-Butanol</t>
  </si>
  <si>
    <t>1-Chlorobutane</t>
  </si>
  <si>
    <t>1,4-Dioxane</t>
  </si>
  <si>
    <t>n-Eicosane</t>
  </si>
  <si>
    <t>C3H6O</t>
  </si>
  <si>
    <t>C2H4O2</t>
  </si>
  <si>
    <t>C2H3N</t>
  </si>
  <si>
    <t>C6H6</t>
  </si>
  <si>
    <t>C4H10</t>
  </si>
  <si>
    <t>C4H10O</t>
  </si>
  <si>
    <t>CCl4</t>
  </si>
  <si>
    <t>C6H5Cl</t>
  </si>
  <si>
    <t>C4H9Cl</t>
  </si>
  <si>
    <t>CHCl3</t>
  </si>
  <si>
    <t>C6H12</t>
  </si>
  <si>
    <t>C5H10</t>
  </si>
  <si>
    <t>C10H22</t>
  </si>
  <si>
    <t>CH2Cl2</t>
  </si>
  <si>
    <t>C4H8O2</t>
  </si>
  <si>
    <t>C20H42</t>
  </si>
  <si>
    <t>C2H6O</t>
  </si>
  <si>
    <t>C8H10</t>
  </si>
  <si>
    <t>C2H6O2</t>
  </si>
  <si>
    <t>C7H16</t>
  </si>
  <si>
    <t>C6H14</t>
  </si>
  <si>
    <t>CH4O</t>
  </si>
  <si>
    <t>CH3NO2</t>
  </si>
  <si>
    <t>C9H20</t>
  </si>
  <si>
    <t>C8H18</t>
  </si>
  <si>
    <t>C5H12</t>
  </si>
  <si>
    <t>C6H6O</t>
  </si>
  <si>
    <t>C3H8O</t>
  </si>
  <si>
    <t>C7H8</t>
  </si>
  <si>
    <t>H2O</t>
  </si>
  <si>
    <t>Inserir dados</t>
  </si>
  <si>
    <t>Name:</t>
  </si>
  <si>
    <t>Method:</t>
  </si>
  <si>
    <t>Temperature:</t>
  </si>
  <si>
    <t>Mass:</t>
  </si>
  <si>
    <t>Experimental Vol.:</t>
  </si>
  <si>
    <t>Exp. Specific Mass:</t>
  </si>
  <si>
    <t>Exp. Pression:</t>
  </si>
  <si>
    <t>(Recipient Vol.)*%:</t>
  </si>
  <si>
    <t>Conversor</t>
  </si>
  <si>
    <t>Volume:</t>
  </si>
  <si>
    <t>Unit:</t>
  </si>
  <si>
    <t>Constants for Antoine Equation for Vapor Pressures of Pure Species</t>
  </si>
  <si>
    <t>Li</t>
  </si>
  <si>
    <t>Ls</t>
  </si>
  <si>
    <t>(K)</t>
  </si>
  <si>
    <t>Basic Informations of the component:</t>
  </si>
  <si>
    <t>Tn*</t>
  </si>
  <si>
    <t>Experimental Basis:</t>
  </si>
  <si>
    <t>Temperature</t>
  </si>
  <si>
    <t>Pression</t>
  </si>
  <si>
    <t>(Rec. Vol.)*%</t>
  </si>
  <si>
    <t>Mass</t>
  </si>
  <si>
    <t>Exp. Vol.</t>
  </si>
  <si>
    <t>Exp. Spc. Mass</t>
  </si>
  <si>
    <t>Exp. Pression</t>
  </si>
  <si>
    <t>Method</t>
  </si>
  <si>
    <t>Teorical Analysis:</t>
  </si>
  <si>
    <t>B(0)</t>
  </si>
  <si>
    <t>B(1)</t>
  </si>
  <si>
    <t>Z[Z(0);Z(1);ω]</t>
  </si>
  <si>
    <t>V[Z(0);Z(1);ω]</t>
  </si>
  <si>
    <t>P(Virial no 2° t.)</t>
  </si>
  <si>
    <t>B da interpolação de Z(0)</t>
  </si>
  <si>
    <t>C da interpolação de Z(0)</t>
  </si>
  <si>
    <t>B da interpolação de Z(1)</t>
  </si>
  <si>
    <t>C da interpolação de Z(1)</t>
  </si>
  <si>
    <t>Anterior do Tr</t>
  </si>
  <si>
    <t>Posterior do Tr</t>
  </si>
  <si>
    <t>Posterior Pr</t>
  </si>
  <si>
    <t>Anterior Pr</t>
  </si>
  <si>
    <t>Z(0) Interpolado</t>
  </si>
  <si>
    <t>Z(1) Interpolado</t>
  </si>
  <si>
    <t>Tr(K)</t>
  </si>
  <si>
    <t>Pr(bar)</t>
  </si>
  <si>
    <t>P(Saturação) em Bar</t>
  </si>
  <si>
    <t>Pr(Saturação) em Bar</t>
  </si>
  <si>
    <t>ω(Teórico)</t>
  </si>
  <si>
    <t>ω(Experimental)</t>
  </si>
  <si>
    <t>Volume</t>
  </si>
  <si>
    <t>Volume Coef.</t>
  </si>
  <si>
    <t>Pression Coef.</t>
  </si>
  <si>
    <t>Hectoliter</t>
  </si>
  <si>
    <t>Cubic Kilometer</t>
  </si>
  <si>
    <t>Decaliter</t>
  </si>
  <si>
    <t>Decimeter</t>
  </si>
  <si>
    <t>Liter</t>
  </si>
  <si>
    <t>Deciliter</t>
  </si>
  <si>
    <t>Centiliter</t>
  </si>
  <si>
    <t>Cubic meter</t>
  </si>
  <si>
    <t>Cubic centimeter</t>
  </si>
  <si>
    <t>Mililiter</t>
  </si>
  <si>
    <t>Cubic milimeter</t>
  </si>
  <si>
    <t>Microliter</t>
  </si>
  <si>
    <t>Barrel</t>
  </si>
  <si>
    <t>Alqueire</t>
  </si>
  <si>
    <t>Bique</t>
  </si>
  <si>
    <t>Quart</t>
  </si>
  <si>
    <t>Pint</t>
  </si>
  <si>
    <t>Fluid once</t>
  </si>
  <si>
    <t>Acre foot</t>
  </si>
  <si>
    <t>Cubic yard</t>
  </si>
  <si>
    <t>Cubic foot</t>
  </si>
  <si>
    <t>British Gallon</t>
  </si>
  <si>
    <t>American Gallon</t>
  </si>
  <si>
    <t>American Quart</t>
  </si>
  <si>
    <t>American Pint</t>
  </si>
  <si>
    <t>Gill</t>
  </si>
  <si>
    <t>American Fluid Once</t>
  </si>
  <si>
    <t>Cubic Inch</t>
  </si>
  <si>
    <t>Swallow Fluid</t>
  </si>
  <si>
    <t>Minimum</t>
  </si>
  <si>
    <t>Koku</t>
  </si>
  <si>
    <t>To</t>
  </si>
  <si>
    <t>Sho</t>
  </si>
  <si>
    <t>Go</t>
  </si>
  <si>
    <t>Temperature Coef.</t>
  </si>
  <si>
    <t>Tonne</t>
  </si>
  <si>
    <t>Kilonewton</t>
  </si>
  <si>
    <t>Kilogram</t>
  </si>
  <si>
    <t>10^3</t>
  </si>
  <si>
    <t>Hectogram</t>
  </si>
  <si>
    <t>Decagram</t>
  </si>
  <si>
    <t>Gram</t>
  </si>
  <si>
    <t>Carat</t>
  </si>
  <si>
    <t>Centigram</t>
  </si>
  <si>
    <t>Miligram</t>
  </si>
  <si>
    <t>Microgram</t>
  </si>
  <si>
    <t>Nanogram</t>
  </si>
  <si>
    <t>Unit of atomic mass</t>
  </si>
  <si>
    <t>Long tonne</t>
  </si>
  <si>
    <t>Short tonne</t>
  </si>
  <si>
    <t>Long yard</t>
  </si>
  <si>
    <t>Short yard</t>
  </si>
  <si>
    <t>Stone</t>
  </si>
  <si>
    <t>Pound</t>
  </si>
  <si>
    <t>Once</t>
  </si>
  <si>
    <t>Drachma</t>
  </si>
  <si>
    <t>Grain</t>
  </si>
  <si>
    <t>Speck</t>
  </si>
  <si>
    <t>American Pound</t>
  </si>
  <si>
    <t>American Once</t>
  </si>
  <si>
    <t>Pennyweight</t>
  </si>
  <si>
    <t>American Carat</t>
  </si>
  <si>
    <t>Mite</t>
  </si>
  <si>
    <t>Doite</t>
  </si>
  <si>
    <t>Kann</t>
  </si>
  <si>
    <t>Kinn</t>
  </si>
  <si>
    <t>Monnme</t>
  </si>
  <si>
    <t>Tael</t>
  </si>
  <si>
    <t>Ku ping</t>
  </si>
  <si>
    <t>Skeppspund</t>
  </si>
  <si>
    <t>Lispund</t>
  </si>
  <si>
    <t>Skalpund</t>
  </si>
  <si>
    <t>Mark</t>
  </si>
  <si>
    <t>Onu</t>
  </si>
  <si>
    <t>Lod</t>
  </si>
  <si>
    <t>Megapascal</t>
  </si>
  <si>
    <t>Bar</t>
  </si>
  <si>
    <t>Kilopascal</t>
  </si>
  <si>
    <t>Kilogram force per square centímeter</t>
  </si>
  <si>
    <t>Hectopascal</t>
  </si>
  <si>
    <t>Milibar</t>
  </si>
  <si>
    <t>Kilogram force per square meter</t>
  </si>
  <si>
    <t>Pascal</t>
  </si>
  <si>
    <t>Kilopound per square inch</t>
  </si>
  <si>
    <t>PSI</t>
  </si>
  <si>
    <t>PSF</t>
  </si>
  <si>
    <t>MWC</t>
  </si>
  <si>
    <t>CmWC</t>
  </si>
  <si>
    <t>FtWC</t>
  </si>
  <si>
    <t>InWC</t>
  </si>
  <si>
    <t>Atm</t>
  </si>
  <si>
    <t>Technical Atm</t>
  </si>
  <si>
    <t>inHg</t>
  </si>
  <si>
    <t>mmHg</t>
  </si>
  <si>
    <t>cmHg</t>
  </si>
  <si>
    <t>Torr</t>
  </si>
  <si>
    <t>Volume Unit</t>
  </si>
  <si>
    <t>Pression Unit</t>
  </si>
  <si>
    <t>Temperature Unit</t>
  </si>
  <si>
    <t>Mass Unit</t>
  </si>
  <si>
    <t>Kelvin</t>
  </si>
  <si>
    <t>Celsius</t>
  </si>
  <si>
    <t>Fahrenheit</t>
  </si>
  <si>
    <t>Conversions:</t>
  </si>
  <si>
    <t>Final Values:</t>
  </si>
  <si>
    <t>Vol.(Cubic meter):</t>
  </si>
  <si>
    <t>Temp. (Kelvin):</t>
  </si>
  <si>
    <t>Mass (Gram):</t>
  </si>
  <si>
    <t>Last Initial Values:</t>
  </si>
  <si>
    <t>Temp. Coef. 2</t>
  </si>
  <si>
    <t>Rankine</t>
  </si>
  <si>
    <t>Z[B;P;R;T](Compressibilidade)</t>
  </si>
  <si>
    <t>Teo. Spc. Mass</t>
  </si>
  <si>
    <t>V[Z(Comp);P;R;T]</t>
  </si>
  <si>
    <t>N° de mols</t>
  </si>
  <si>
    <t>P'[R;T;V;B]</t>
  </si>
  <si>
    <t>Vmol[V;n]</t>
  </si>
  <si>
    <t>a (Van der Waals)</t>
  </si>
  <si>
    <t>b (Van der Waals)</t>
  </si>
  <si>
    <t>P (Eq. Van der Waals)</t>
  </si>
  <si>
    <t>b (SRK)</t>
  </si>
  <si>
    <t>a (SRK)</t>
  </si>
  <si>
    <t>Ω (SRK)</t>
  </si>
  <si>
    <t>P (SRK)</t>
  </si>
  <si>
    <t>A' (Peng R.)</t>
  </si>
  <si>
    <t>B' (Peng R.)</t>
  </si>
  <si>
    <t>a' (Peng R.)</t>
  </si>
  <si>
    <t>b' (Peng R.)</t>
  </si>
  <si>
    <t>c' (Peng R.)</t>
  </si>
  <si>
    <t>Q (Peng R.)</t>
  </si>
  <si>
    <t>R (Peng R.)</t>
  </si>
  <si>
    <t>N° de Raízes (Peng R.)</t>
  </si>
  <si>
    <t>A'' (Peng R.)</t>
  </si>
  <si>
    <t>B'' (Peng R.)</t>
  </si>
  <si>
    <t>A' (Van der Waals)</t>
  </si>
  <si>
    <t>B' (Van der Waals)</t>
  </si>
  <si>
    <t>a' (Van der Waals)</t>
  </si>
  <si>
    <t>b' (Van der Waals)</t>
  </si>
  <si>
    <t>c' (Van der Waals)</t>
  </si>
  <si>
    <t>A' (SRK)</t>
  </si>
  <si>
    <t>B' (SRK)</t>
  </si>
  <si>
    <t>a' (SRK)</t>
  </si>
  <si>
    <t>b' (SRK)</t>
  </si>
  <si>
    <t>c' (SRK)</t>
  </si>
  <si>
    <t>N° de Raízes (SRK)</t>
  </si>
  <si>
    <t>Q (SRK)</t>
  </si>
  <si>
    <t>R (SRK)</t>
  </si>
  <si>
    <t>Ө (Peng R.)</t>
  </si>
  <si>
    <t>Ө (SRK)</t>
  </si>
  <si>
    <t>Z1 (Peng R.)</t>
  </si>
  <si>
    <t>Z2 (Peng R.)</t>
  </si>
  <si>
    <t>Z3 (Peng R.)</t>
  </si>
  <si>
    <t>Z1 (SRK)</t>
  </si>
  <si>
    <t>Z2 (SRK)</t>
  </si>
  <si>
    <t>Z3 (SRK)</t>
  </si>
  <si>
    <t>a (Peng R.)</t>
  </si>
  <si>
    <t>b (Peng R.)</t>
  </si>
  <si>
    <t>Ω (Peng R.)</t>
  </si>
  <si>
    <t>V(1) - Peng R.</t>
  </si>
  <si>
    <t>V(3) - Peng R.</t>
  </si>
  <si>
    <t>V(1) - SRK</t>
  </si>
  <si>
    <t>V(3) - SRK</t>
  </si>
  <si>
    <t>Ө (Waals)</t>
  </si>
  <si>
    <t>N° de Raízes (Waals)</t>
  </si>
  <si>
    <t>A'' (Waals)</t>
  </si>
  <si>
    <t>Q (Van der Waals)</t>
  </si>
  <si>
    <t>R (Van der Waals)</t>
  </si>
  <si>
    <t>Z1 (Van der Waals)</t>
  </si>
  <si>
    <t>Z2 (Waals)</t>
  </si>
  <si>
    <t>Z3 (Waals)</t>
  </si>
  <si>
    <t>B'' (Waals)</t>
  </si>
  <si>
    <t>A'' (SRK)</t>
  </si>
  <si>
    <t>B'' (SRK)</t>
  </si>
  <si>
    <t>V(1) - Waals</t>
  </si>
  <si>
    <t>V(3) - Waals</t>
  </si>
  <si>
    <t>MW (g/mol)</t>
  </si>
  <si>
    <t>Glycerine</t>
  </si>
  <si>
    <t>Pitzer</t>
  </si>
  <si>
    <t>Lee-Kesler</t>
  </si>
  <si>
    <t>Ambrose-Walton</t>
  </si>
  <si>
    <t>Han Peng</t>
  </si>
  <si>
    <t>ProcH:</t>
  </si>
  <si>
    <t>Temperature[K]:</t>
  </si>
  <si>
    <t>Mass[g]:</t>
  </si>
  <si>
    <t>V[R;T;P](G.Ideal) [V/mol]</t>
  </si>
  <si>
    <r>
      <t>←        Interpolador do Z(0) e Z(1)</t>
    </r>
    <r>
      <rPr>
        <sz val="11"/>
        <color theme="1"/>
        <rFont val="Calibri"/>
        <family val="2"/>
      </rPr>
      <t xml:space="preserve">                </t>
    </r>
  </si>
  <si>
    <t>Gás Ideal</t>
  </si>
  <si>
    <t>Virial (trunc. No 2° termo)</t>
  </si>
  <si>
    <t>Z de Pitzer</t>
  </si>
  <si>
    <t>Van der Waals</t>
  </si>
  <si>
    <t>SRK</t>
  </si>
  <si>
    <t>Peng Robinson</t>
  </si>
  <si>
    <t>Methods:</t>
  </si>
  <si>
    <t>Volume 1 [m³]</t>
  </si>
  <si>
    <t>Volume 2 [m³]</t>
  </si>
  <si>
    <t xml:space="preserve">   Results:</t>
  </si>
  <si>
    <t>Pressure:</t>
  </si>
  <si>
    <t>Pressure(Bar):</t>
  </si>
  <si>
    <t>Pressure[bar-a]:</t>
  </si>
  <si>
    <t>N° of mols: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</si>
</sst>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0.0000"/>
    <numFmt numFmtId="166" formatCode="0.0"/>
    <numFmt numFmtId="167" formatCode="0.00000000E+00"/>
    <numFmt numFmtId="168" formatCode="0.000000000000000E+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6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0" fillId="2" borderId="4" xfId="0" applyFill="1" applyBorder="1" applyAlignment="1">
      <alignment horizontal="center"/>
    </xf>
    <xf numFmtId="11" fontId="0" fillId="0" borderId="6" xfId="0" applyNumberFormat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3" borderId="6" xfId="0" applyFill="1" applyBorder="1"/>
    <xf numFmtId="0" fontId="0" fillId="0" borderId="6" xfId="0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6" xfId="0" applyFont="1" applyFill="1" applyBorder="1"/>
    <xf numFmtId="0" fontId="0" fillId="4" borderId="6" xfId="0" applyFill="1" applyBorder="1"/>
    <xf numFmtId="2" fontId="0" fillId="4" borderId="6" xfId="0" applyNumberFormat="1" applyFill="1" applyBorder="1"/>
    <xf numFmtId="164" fontId="0" fillId="4" borderId="6" xfId="0" applyNumberFormat="1" applyFill="1" applyBorder="1"/>
    <xf numFmtId="165" fontId="0" fillId="4" borderId="6" xfId="0" applyNumberFormat="1" applyFill="1" applyBorder="1"/>
    <xf numFmtId="165" fontId="0" fillId="0" borderId="0" xfId="0" applyNumberFormat="1"/>
    <xf numFmtId="0" fontId="0" fillId="2" borderId="6" xfId="0" applyFill="1" applyBorder="1" applyAlignment="1">
      <alignment horizontal="center"/>
    </xf>
    <xf numFmtId="0" fontId="0" fillId="2" borderId="6" xfId="0" applyFill="1" applyBorder="1" applyAlignment="1">
      <alignment horizontal="center" wrapText="1"/>
    </xf>
    <xf numFmtId="0" fontId="2" fillId="2" borderId="6" xfId="0" applyFont="1" applyFill="1" applyBorder="1" applyAlignment="1">
      <alignment horizontal="center"/>
    </xf>
    <xf numFmtId="0" fontId="0" fillId="2" borderId="6" xfId="0" applyFill="1" applyBorder="1"/>
    <xf numFmtId="166" fontId="0" fillId="4" borderId="6" xfId="0" applyNumberFormat="1" applyFill="1" applyBorder="1"/>
    <xf numFmtId="0" fontId="0" fillId="4" borderId="0" xfId="0" applyFill="1"/>
    <xf numFmtId="0" fontId="0" fillId="2" borderId="14" xfId="0" applyFill="1" applyBorder="1" applyAlignment="1">
      <alignment horizontal="center" wrapText="1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2" fontId="0" fillId="2" borderId="6" xfId="0" applyNumberFormat="1" applyFill="1" applyBorder="1"/>
    <xf numFmtId="165" fontId="0" fillId="2" borderId="6" xfId="0" applyNumberFormat="1" applyFill="1" applyBorder="1"/>
    <xf numFmtId="165" fontId="0" fillId="4" borderId="10" xfId="0" applyNumberFormat="1" applyFill="1" applyBorder="1"/>
    <xf numFmtId="0" fontId="0" fillId="3" borderId="6" xfId="0" applyFill="1" applyBorder="1" applyAlignment="1"/>
    <xf numFmtId="0" fontId="0" fillId="2" borderId="17" xfId="0" applyFill="1" applyBorder="1" applyAlignment="1">
      <alignment horizontal="center"/>
    </xf>
    <xf numFmtId="0" fontId="0" fillId="2" borderId="18" xfId="0" applyFill="1" applyBorder="1"/>
    <xf numFmtId="0" fontId="0" fillId="2" borderId="11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/>
    <xf numFmtId="0" fontId="0" fillId="5" borderId="5" xfId="0" applyFill="1" applyBorder="1"/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6" xfId="0" applyBorder="1"/>
    <xf numFmtId="0" fontId="0" fillId="5" borderId="6" xfId="0" applyFill="1" applyBorder="1"/>
    <xf numFmtId="0" fontId="0" fillId="2" borderId="14" xfId="0" applyFill="1" applyBorder="1"/>
    <xf numFmtId="0" fontId="0" fillId="3" borderId="1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21" xfId="0" applyFill="1" applyBorder="1"/>
    <xf numFmtId="0" fontId="0" fillId="3" borderId="22" xfId="0" applyFill="1" applyBorder="1" applyAlignment="1">
      <alignment horizontal="center"/>
    </xf>
    <xf numFmtId="0" fontId="0" fillId="3" borderId="24" xfId="0" applyFill="1" applyBorder="1"/>
    <xf numFmtId="0" fontId="0" fillId="2" borderId="26" xfId="0" applyFill="1" applyBorder="1" applyAlignment="1">
      <alignment horizontal="center"/>
    </xf>
    <xf numFmtId="0" fontId="0" fillId="2" borderId="25" xfId="0" applyFill="1" applyBorder="1"/>
    <xf numFmtId="0" fontId="0" fillId="2" borderId="13" xfId="0" applyFill="1" applyBorder="1"/>
    <xf numFmtId="0" fontId="0" fillId="2" borderId="29" xfId="0" applyFill="1" applyBorder="1"/>
    <xf numFmtId="0" fontId="0" fillId="2" borderId="30" xfId="0" applyFill="1" applyBorder="1"/>
    <xf numFmtId="0" fontId="0" fillId="9" borderId="30" xfId="0" applyFill="1" applyBorder="1"/>
    <xf numFmtId="0" fontId="0" fillId="6" borderId="30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31" xfId="0" applyFill="1" applyBorder="1"/>
    <xf numFmtId="0" fontId="0" fillId="6" borderId="27" xfId="0" applyFill="1" applyBorder="1"/>
    <xf numFmtId="0" fontId="0" fillId="5" borderId="6" xfId="0" applyFill="1" applyBorder="1" applyAlignment="1">
      <alignment horizontal="center"/>
    </xf>
    <xf numFmtId="0" fontId="0" fillId="5" borderId="6" xfId="0" applyFill="1" applyBorder="1" applyAlignment="1">
      <alignment horizontal="left"/>
    </xf>
    <xf numFmtId="11" fontId="0" fillId="2" borderId="6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4" fontId="3" fillId="2" borderId="6" xfId="0" applyNumberFormat="1" applyFont="1" applyFill="1" applyBorder="1" applyAlignment="1">
      <alignment horizontal="center"/>
    </xf>
    <xf numFmtId="0" fontId="0" fillId="7" borderId="6" xfId="0" applyFill="1" applyBorder="1"/>
    <xf numFmtId="0" fontId="0" fillId="2" borderId="32" xfId="0" applyFill="1" applyBorder="1"/>
    <xf numFmtId="0" fontId="0" fillId="8" borderId="6" xfId="0" applyFill="1" applyBorder="1"/>
    <xf numFmtId="0" fontId="0" fillId="7" borderId="12" xfId="0" applyFill="1" applyBorder="1"/>
    <xf numFmtId="0" fontId="0" fillId="8" borderId="12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5" xfId="0" applyFill="1" applyBorder="1"/>
    <xf numFmtId="11" fontId="0" fillId="2" borderId="0" xfId="0" applyNumberFormat="1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0" fillId="11" borderId="14" xfId="0" applyFill="1" applyBorder="1"/>
    <xf numFmtId="0" fontId="0" fillId="12" borderId="6" xfId="0" applyFill="1" applyBorder="1"/>
    <xf numFmtId="0" fontId="0" fillId="12" borderId="6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2" borderId="28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6" xfId="0" applyFill="1" applyBorder="1"/>
    <xf numFmtId="11" fontId="0" fillId="10" borderId="6" xfId="0" applyNumberFormat="1" applyFill="1" applyBorder="1"/>
    <xf numFmtId="11" fontId="0" fillId="12" borderId="6" xfId="0" applyNumberFormat="1" applyFill="1" applyBorder="1"/>
    <xf numFmtId="0" fontId="2" fillId="2" borderId="16" xfId="0" applyFont="1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11" fontId="0" fillId="12" borderId="6" xfId="0" applyNumberFormat="1" applyFill="1" applyBorder="1" applyAlignment="1">
      <alignment horizontal="center"/>
    </xf>
    <xf numFmtId="11" fontId="0" fillId="8" borderId="12" xfId="0" applyNumberFormat="1" applyFill="1" applyBorder="1"/>
    <xf numFmtId="11" fontId="0" fillId="10" borderId="6" xfId="0" applyNumberForma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11" fontId="0" fillId="8" borderId="6" xfId="0" applyNumberFormat="1" applyFill="1" applyBorder="1" applyAlignment="1">
      <alignment horizontal="center"/>
    </xf>
    <xf numFmtId="11" fontId="0" fillId="8" borderId="6" xfId="0" applyNumberFormat="1" applyFill="1" applyBorder="1"/>
    <xf numFmtId="0" fontId="0" fillId="12" borderId="14" xfId="0" applyFill="1" applyBorder="1"/>
    <xf numFmtId="11" fontId="0" fillId="7" borderId="12" xfId="0" applyNumberFormat="1" applyFill="1" applyBorder="1"/>
    <xf numFmtId="168" fontId="0" fillId="5" borderId="6" xfId="0" applyNumberFormat="1" applyFill="1" applyBorder="1"/>
    <xf numFmtId="165" fontId="0" fillId="4" borderId="0" xfId="0" applyNumberFormat="1" applyFill="1" applyBorder="1"/>
    <xf numFmtId="167" fontId="0" fillId="12" borderId="6" xfId="0" applyNumberFormat="1" applyFill="1" applyBorder="1"/>
    <xf numFmtId="167" fontId="0" fillId="10" borderId="6" xfId="0" applyNumberFormat="1" applyFill="1" applyBorder="1"/>
    <xf numFmtId="167" fontId="0" fillId="8" borderId="6" xfId="0" applyNumberFormat="1" applyFill="1" applyBorder="1"/>
    <xf numFmtId="11" fontId="0" fillId="11" borderId="27" xfId="0" applyNumberFormat="1" applyFill="1" applyBorder="1"/>
    <xf numFmtId="0" fontId="0" fillId="2" borderId="7" xfId="0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7" borderId="12" xfId="0" applyNumberFormat="1" applyFill="1" applyBorder="1"/>
    <xf numFmtId="11" fontId="0" fillId="7" borderId="27" xfId="0" applyNumberFormat="1" applyFill="1" applyBorder="1"/>
    <xf numFmtId="11" fontId="0" fillId="6" borderId="27" xfId="0" applyNumberFormat="1" applyFill="1" applyBorder="1"/>
    <xf numFmtId="11" fontId="0" fillId="11" borderId="6" xfId="0" applyNumberFormat="1" applyFill="1" applyBorder="1"/>
    <xf numFmtId="0" fontId="0" fillId="5" borderId="12" xfId="0" applyFill="1" applyBorder="1" applyAlignment="1"/>
    <xf numFmtId="0" fontId="0" fillId="2" borderId="12" xfId="0" applyFill="1" applyBorder="1" applyAlignment="1"/>
    <xf numFmtId="0" fontId="4" fillId="2" borderId="0" xfId="0" applyFont="1" applyFill="1" applyAlignment="1">
      <alignment horizontal="left"/>
    </xf>
    <xf numFmtId="0" fontId="0" fillId="2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34" xfId="0" applyFill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0" fontId="0" fillId="2" borderId="35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wrapText="1"/>
    </xf>
    <xf numFmtId="0" fontId="0" fillId="2" borderId="13" xfId="0" applyFill="1" applyBorder="1" applyAlignment="1">
      <alignment horizontal="center" wrapText="1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285750</xdr:colOff>
      <xdr:row>12</xdr:row>
      <xdr:rowOff>0</xdr:rowOff>
    </xdr:from>
    <xdr:to>
      <xdr:col>8</xdr:col>
      <xdr:colOff>409576</xdr:colOff>
      <xdr:row>14</xdr:row>
      <xdr:rowOff>152400</xdr:rowOff>
    </xdr:to>
    <xdr:sp macro="[0]!Experimental_Vol" textlink="">
      <xdr:nvSpPr>
        <xdr:cNvPr id="9" name="Elipse 8"/>
        <xdr:cNvSpPr/>
      </xdr:nvSpPr>
      <xdr:spPr>
        <a:xfrm>
          <a:off x="8162925" y="2971800"/>
          <a:ext cx="1371601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3">
                  <a:lumMod val="50000"/>
                </a:schemeClr>
              </a:solidFill>
            </a:rPr>
            <a:t>Experimental</a:t>
          </a:r>
          <a:r>
            <a:rPr lang="pt-BR" sz="1100" b="1" baseline="0">
              <a:solidFill>
                <a:schemeClr val="accent3">
                  <a:lumMod val="50000"/>
                </a:schemeClr>
              </a:solidFill>
            </a:rPr>
            <a:t> Vol.</a:t>
          </a:r>
          <a:endParaRPr lang="pt-BR" sz="11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723900</xdr:colOff>
      <xdr:row>11</xdr:row>
      <xdr:rowOff>228600</xdr:rowOff>
    </xdr:from>
    <xdr:to>
      <xdr:col>10</xdr:col>
      <xdr:colOff>704850</xdr:colOff>
      <xdr:row>14</xdr:row>
      <xdr:rowOff>133350</xdr:rowOff>
    </xdr:to>
    <xdr:sp macro="[0]!Conversor_Mass" textlink="">
      <xdr:nvSpPr>
        <xdr:cNvPr id="10" name="Elipse 9"/>
        <xdr:cNvSpPr/>
      </xdr:nvSpPr>
      <xdr:spPr>
        <a:xfrm>
          <a:off x="11096625" y="2952750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 b="1">
              <a:solidFill>
                <a:schemeClr val="accent3">
                  <a:lumMod val="50000"/>
                </a:schemeClr>
              </a:solidFill>
            </a:rPr>
            <a:t>Mass</a:t>
          </a:r>
        </a:p>
      </xdr:txBody>
    </xdr:sp>
    <xdr:clientData/>
  </xdr:twoCellAnchor>
  <xdr:twoCellAnchor>
    <xdr:from>
      <xdr:col>10</xdr:col>
      <xdr:colOff>885824</xdr:colOff>
      <xdr:row>11</xdr:row>
      <xdr:rowOff>228600</xdr:rowOff>
    </xdr:from>
    <xdr:to>
      <xdr:col>11</xdr:col>
      <xdr:colOff>962024</xdr:colOff>
      <xdr:row>14</xdr:row>
      <xdr:rowOff>133350</xdr:rowOff>
    </xdr:to>
    <xdr:sp macro="[0]!Conversor_Temp" textlink="">
      <xdr:nvSpPr>
        <xdr:cNvPr id="11" name="Elipse 10"/>
        <xdr:cNvSpPr/>
      </xdr:nvSpPr>
      <xdr:spPr>
        <a:xfrm>
          <a:off x="12506324" y="2952750"/>
          <a:ext cx="132397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50" b="1">
              <a:solidFill>
                <a:schemeClr val="accent3">
                  <a:lumMod val="50000"/>
                </a:schemeClr>
              </a:solidFill>
            </a:rPr>
            <a:t>Temperature</a:t>
          </a:r>
        </a:p>
      </xdr:txBody>
    </xdr:sp>
    <xdr:clientData/>
  </xdr:twoCellAnchor>
  <xdr:twoCellAnchor>
    <xdr:from>
      <xdr:col>3</xdr:col>
      <xdr:colOff>419100</xdr:colOff>
      <xdr:row>8</xdr:row>
      <xdr:rowOff>95250</xdr:rowOff>
    </xdr:from>
    <xdr:to>
      <xdr:col>4</xdr:col>
      <xdr:colOff>400050</xdr:colOff>
      <xdr:row>10</xdr:row>
      <xdr:rowOff>190500</xdr:rowOff>
    </xdr:to>
    <xdr:sp macro="[0]!Conversor" textlink="">
      <xdr:nvSpPr>
        <xdr:cNvPr id="12" name="Elipse 11"/>
        <xdr:cNvSpPr/>
      </xdr:nvSpPr>
      <xdr:spPr>
        <a:xfrm>
          <a:off x="4162425" y="2076450"/>
          <a:ext cx="1228725" cy="59055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chemeClr val="accent3">
                  <a:lumMod val="50000"/>
                </a:schemeClr>
              </a:solidFill>
            </a:rPr>
            <a:t>Conversor</a:t>
          </a:r>
        </a:p>
      </xdr:txBody>
    </xdr:sp>
    <xdr:clientData/>
  </xdr:twoCellAnchor>
  <xdr:twoCellAnchor>
    <xdr:from>
      <xdr:col>7</xdr:col>
      <xdr:colOff>333375</xdr:colOff>
      <xdr:row>15</xdr:row>
      <xdr:rowOff>104775</xdr:rowOff>
    </xdr:from>
    <xdr:to>
      <xdr:col>8</xdr:col>
      <xdr:colOff>314325</xdr:colOff>
      <xdr:row>18</xdr:row>
      <xdr:rowOff>9525</xdr:rowOff>
    </xdr:to>
    <xdr:sp macro="[0]!Início2" textlink="">
      <xdr:nvSpPr>
        <xdr:cNvPr id="13" name="Elipse 12"/>
        <xdr:cNvSpPr/>
      </xdr:nvSpPr>
      <xdr:spPr>
        <a:xfrm>
          <a:off x="8210550" y="3819525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800" b="1">
              <a:solidFill>
                <a:schemeClr val="accent3">
                  <a:lumMod val="50000"/>
                </a:schemeClr>
              </a:solidFill>
            </a:rPr>
            <a:t>Início</a:t>
          </a:r>
        </a:p>
      </xdr:txBody>
    </xdr:sp>
    <xdr:clientData/>
  </xdr:twoCellAnchor>
  <xdr:twoCellAnchor>
    <xdr:from>
      <xdr:col>1</xdr:col>
      <xdr:colOff>1170498</xdr:colOff>
      <xdr:row>11</xdr:row>
      <xdr:rowOff>161925</xdr:rowOff>
    </xdr:from>
    <xdr:to>
      <xdr:col>2</xdr:col>
      <xdr:colOff>1208598</xdr:colOff>
      <xdr:row>14</xdr:row>
      <xdr:rowOff>66675</xdr:rowOff>
    </xdr:to>
    <xdr:sp macro="[0]!Verify_Components" textlink="">
      <xdr:nvSpPr>
        <xdr:cNvPr id="14" name="Elipse 13"/>
        <xdr:cNvSpPr/>
      </xdr:nvSpPr>
      <xdr:spPr>
        <a:xfrm rot="1260000">
          <a:off x="2418273" y="2886075"/>
          <a:ext cx="128587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50" b="1">
              <a:solidFill>
                <a:schemeClr val="accent3">
                  <a:lumMod val="50000"/>
                </a:schemeClr>
              </a:solidFill>
            </a:rPr>
            <a:t>Verify</a:t>
          </a:r>
          <a:r>
            <a:rPr lang="pt-BR" sz="1050" b="1" baseline="0">
              <a:solidFill>
                <a:schemeClr val="accent3">
                  <a:lumMod val="50000"/>
                </a:schemeClr>
              </a:solidFill>
            </a:rPr>
            <a:t> Components</a:t>
          </a:r>
          <a:endParaRPr lang="pt-BR" sz="105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1246697</xdr:colOff>
      <xdr:row>11</xdr:row>
      <xdr:rowOff>142875</xdr:rowOff>
    </xdr:from>
    <xdr:to>
      <xdr:col>1</xdr:col>
      <xdr:colOff>1227647</xdr:colOff>
      <xdr:row>14</xdr:row>
      <xdr:rowOff>47625</xdr:rowOff>
    </xdr:to>
    <xdr:sp macro="[0]!Verify_Steps" textlink="">
      <xdr:nvSpPr>
        <xdr:cNvPr id="16" name="Elipse 15"/>
        <xdr:cNvSpPr/>
      </xdr:nvSpPr>
      <xdr:spPr>
        <a:xfrm rot="1260000">
          <a:off x="1246697" y="2867025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3">
                  <a:lumMod val="50000"/>
                </a:schemeClr>
              </a:solidFill>
            </a:rPr>
            <a:t>Verify Steps</a:t>
          </a:r>
        </a:p>
      </xdr:txBody>
    </xdr:sp>
    <xdr:clientData/>
  </xdr:twoCellAnchor>
  <xdr:twoCellAnchor>
    <xdr:from>
      <xdr:col>0</xdr:col>
      <xdr:colOff>75124</xdr:colOff>
      <xdr:row>11</xdr:row>
      <xdr:rowOff>152399</xdr:rowOff>
    </xdr:from>
    <xdr:to>
      <xdr:col>1</xdr:col>
      <xdr:colOff>56074</xdr:colOff>
      <xdr:row>14</xdr:row>
      <xdr:rowOff>57149</xdr:rowOff>
    </xdr:to>
    <xdr:sp macro="[0]!Clean_Memory" textlink="">
      <xdr:nvSpPr>
        <xdr:cNvPr id="17" name="Elipse 16"/>
        <xdr:cNvSpPr/>
      </xdr:nvSpPr>
      <xdr:spPr>
        <a:xfrm rot="1254662">
          <a:off x="75124" y="2876549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3">
                  <a:lumMod val="50000"/>
                </a:schemeClr>
              </a:solidFill>
            </a:rPr>
            <a:t>Clean Memory</a:t>
          </a:r>
        </a:p>
      </xdr:txBody>
    </xdr:sp>
    <xdr:clientData/>
  </xdr:twoCellAnchor>
  <xdr:twoCellAnchor>
    <xdr:from>
      <xdr:col>8</xdr:col>
      <xdr:colOff>581025</xdr:colOff>
      <xdr:row>12</xdr:row>
      <xdr:rowOff>0</xdr:rowOff>
    </xdr:from>
    <xdr:to>
      <xdr:col>9</xdr:col>
      <xdr:colOff>561975</xdr:colOff>
      <xdr:row>14</xdr:row>
      <xdr:rowOff>152400</xdr:rowOff>
    </xdr:to>
    <xdr:sp macro="[0]!Conversor_Pression" textlink="">
      <xdr:nvSpPr>
        <xdr:cNvPr id="18" name="Elipse 17"/>
        <xdr:cNvSpPr/>
      </xdr:nvSpPr>
      <xdr:spPr>
        <a:xfrm>
          <a:off x="1828800" y="2971800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400" b="1">
              <a:solidFill>
                <a:schemeClr val="accent3">
                  <a:lumMod val="50000"/>
                </a:schemeClr>
              </a:solidFill>
            </a:rPr>
            <a:t>Pressure</a:t>
          </a:r>
        </a:p>
      </xdr:txBody>
    </xdr:sp>
    <xdr:clientData/>
  </xdr:twoCellAnchor>
  <xdr:twoCellAnchor>
    <xdr:from>
      <xdr:col>2</xdr:col>
      <xdr:colOff>266700</xdr:colOff>
      <xdr:row>8</xdr:row>
      <xdr:rowOff>85725</xdr:rowOff>
    </xdr:from>
    <xdr:to>
      <xdr:col>3</xdr:col>
      <xdr:colOff>247650</xdr:colOff>
      <xdr:row>10</xdr:row>
      <xdr:rowOff>200025</xdr:rowOff>
    </xdr:to>
    <xdr:sp macro="[0]!Inserir_Dados" textlink="">
      <xdr:nvSpPr>
        <xdr:cNvPr id="20" name="Elipse 19"/>
        <xdr:cNvSpPr/>
      </xdr:nvSpPr>
      <xdr:spPr>
        <a:xfrm>
          <a:off x="2762250" y="2066925"/>
          <a:ext cx="1228725" cy="6096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3">
                  <a:lumMod val="50000"/>
                </a:schemeClr>
              </a:solidFill>
            </a:rPr>
            <a:t>Insert</a:t>
          </a:r>
          <a:r>
            <a:rPr lang="pt-BR" sz="1100" b="1" baseline="0">
              <a:solidFill>
                <a:schemeClr val="accent3">
                  <a:lumMod val="50000"/>
                </a:schemeClr>
              </a:solidFill>
            </a:rPr>
            <a:t> Data</a:t>
          </a:r>
          <a:endParaRPr lang="pt-BR" sz="11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1</xdr:row>
      <xdr:rowOff>76200</xdr:rowOff>
    </xdr:from>
    <xdr:to>
      <xdr:col>9</xdr:col>
      <xdr:colOff>161925</xdr:colOff>
      <xdr:row>3</xdr:row>
      <xdr:rowOff>228600</xdr:rowOff>
    </xdr:to>
    <xdr:sp macro="[0]!Início" textlink="">
      <xdr:nvSpPr>
        <xdr:cNvPr id="2" name="Elipse 1"/>
        <xdr:cNvSpPr/>
      </xdr:nvSpPr>
      <xdr:spPr>
        <a:xfrm>
          <a:off x="10239375" y="323850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 b="1">
              <a:solidFill>
                <a:schemeClr val="accent3">
                  <a:lumMod val="50000"/>
                </a:schemeClr>
              </a:solidFill>
            </a:rPr>
            <a:t>Início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123825</xdr:colOff>
      <xdr:row>43</xdr:row>
      <xdr:rowOff>104775</xdr:rowOff>
    </xdr:from>
    <xdr:to>
      <xdr:col>17</xdr:col>
      <xdr:colOff>438150</xdr:colOff>
      <xdr:row>46</xdr:row>
      <xdr:rowOff>180975</xdr:rowOff>
    </xdr:to>
    <xdr:sp macro="[0]!Início" textlink="">
      <xdr:nvSpPr>
        <xdr:cNvPr id="2" name="Elipse 1"/>
        <xdr:cNvSpPr/>
      </xdr:nvSpPr>
      <xdr:spPr>
        <a:xfrm>
          <a:off x="9277350" y="8296275"/>
          <a:ext cx="1228725" cy="6477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1</xdr:row>
      <xdr:rowOff>28575</xdr:rowOff>
    </xdr:from>
    <xdr:to>
      <xdr:col>10</xdr:col>
      <xdr:colOff>200025</xdr:colOff>
      <xdr:row>3</xdr:row>
      <xdr:rowOff>95250</xdr:rowOff>
    </xdr:to>
    <xdr:sp macro="[0]!Início" textlink="">
      <xdr:nvSpPr>
        <xdr:cNvPr id="4" name="Elipse 3"/>
        <xdr:cNvSpPr/>
      </xdr:nvSpPr>
      <xdr:spPr>
        <a:xfrm>
          <a:off x="5924550" y="219075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800" b="1">
              <a:solidFill>
                <a:schemeClr val="accent3">
                  <a:lumMod val="50000"/>
                </a:schemeClr>
              </a:solidFill>
            </a:rPr>
            <a:t>Início</a:t>
          </a:r>
        </a:p>
      </xdr:txBody>
    </xdr:sp>
    <xdr:clientData/>
  </xdr:twoCellAnchor>
  <xdr:twoCellAnchor>
    <xdr:from>
      <xdr:col>8</xdr:col>
      <xdr:colOff>266700</xdr:colOff>
      <xdr:row>88</xdr:row>
      <xdr:rowOff>123825</xdr:rowOff>
    </xdr:from>
    <xdr:to>
      <xdr:col>10</xdr:col>
      <xdr:colOff>276225</xdr:colOff>
      <xdr:row>92</xdr:row>
      <xdr:rowOff>9525</xdr:rowOff>
    </xdr:to>
    <xdr:sp macro="[0]!Início" textlink="">
      <xdr:nvSpPr>
        <xdr:cNvPr id="5" name="Elipse 4"/>
        <xdr:cNvSpPr/>
      </xdr:nvSpPr>
      <xdr:spPr>
        <a:xfrm>
          <a:off x="6000750" y="17087850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800" b="1">
              <a:solidFill>
                <a:schemeClr val="accent3">
                  <a:lumMod val="50000"/>
                </a:schemeClr>
              </a:solidFill>
            </a:rPr>
            <a:t>Início</a:t>
          </a:r>
        </a:p>
      </xdr:txBody>
    </xdr:sp>
    <xdr:clientData/>
  </xdr:twoCellAnchor>
  <xdr:twoCellAnchor>
    <xdr:from>
      <xdr:col>10</xdr:col>
      <xdr:colOff>171450</xdr:colOff>
      <xdr:row>134</xdr:row>
      <xdr:rowOff>161925</xdr:rowOff>
    </xdr:from>
    <xdr:to>
      <xdr:col>11</xdr:col>
      <xdr:colOff>704850</xdr:colOff>
      <xdr:row>138</xdr:row>
      <xdr:rowOff>47625</xdr:rowOff>
    </xdr:to>
    <xdr:sp macro="[0]!Início" textlink="">
      <xdr:nvSpPr>
        <xdr:cNvPr id="6" name="Elipse 5"/>
        <xdr:cNvSpPr/>
      </xdr:nvSpPr>
      <xdr:spPr>
        <a:xfrm>
          <a:off x="7124700" y="25888950"/>
          <a:ext cx="1228725" cy="64770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800" b="1">
              <a:solidFill>
                <a:schemeClr val="accent3">
                  <a:lumMod val="50000"/>
                </a:schemeClr>
              </a:solidFill>
            </a:rPr>
            <a:t>Início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C41"/>
  <sheetViews>
    <sheetView workbookViewId="0">
      <selection activeCell="B4" sqref="B4"/>
    </sheetView>
  </sheetViews>
  <sheetFormatPr defaultColWidth="18.7109375" defaultRowHeight="20.100000000000001" customHeight="1" x14ac:dyDescent="0.25"/>
  <cols>
    <col min="1" max="6" width="18.7109375" customWidth="1"/>
    <col min="7" max="7" width="5.85546875" customWidth="1"/>
    <col min="8" max="15" width="18.7109375" hidden="1" customWidth="1"/>
    <col min="16" max="16" width="19.5703125" style="7" hidden="1" customWidth="1"/>
    <col min="17" max="17" width="12.85546875" style="7" hidden="1" customWidth="1"/>
    <col min="18" max="18" width="18.7109375" style="7" hidden="1" customWidth="1"/>
    <col min="19" max="19" width="13.85546875" style="7" hidden="1" customWidth="1"/>
    <col min="20" max="20" width="18" style="7" hidden="1" customWidth="1"/>
    <col min="21" max="21" width="18.7109375" style="7" hidden="1" customWidth="1"/>
    <col min="22" max="22" width="18.5703125" style="7" hidden="1" customWidth="1"/>
    <col min="23" max="23" width="18.7109375" style="7" hidden="1" customWidth="1"/>
    <col min="24" max="29" width="18.7109375" hidden="1" customWidth="1"/>
    <col min="32" max="32" width="18.7109375" customWidth="1"/>
  </cols>
  <sheetData>
    <row r="1" spans="1:29" ht="20.100000000000001" customHeight="1" thickTop="1" x14ac:dyDescent="0.25">
      <c r="A1" s="133"/>
      <c r="B1" s="123"/>
      <c r="C1" s="123"/>
      <c r="D1" s="123"/>
      <c r="E1" s="123"/>
      <c r="F1" s="123"/>
      <c r="G1" s="134"/>
      <c r="H1" s="128"/>
      <c r="I1" s="129"/>
      <c r="J1" s="129"/>
      <c r="K1" s="129"/>
      <c r="L1" s="129"/>
      <c r="M1" s="40"/>
      <c r="N1" s="41"/>
      <c r="P1" s="67" t="s">
        <v>295</v>
      </c>
      <c r="Q1" s="67" t="s">
        <v>197</v>
      </c>
      <c r="R1" s="67" t="s">
        <v>296</v>
      </c>
      <c r="S1" s="67" t="s">
        <v>198</v>
      </c>
      <c r="T1" s="67" t="s">
        <v>297</v>
      </c>
      <c r="U1" s="67" t="s">
        <v>233</v>
      </c>
      <c r="V1" s="67" t="s">
        <v>298</v>
      </c>
      <c r="W1" s="67" t="s">
        <v>169</v>
      </c>
      <c r="Y1" s="67" t="s">
        <v>302</v>
      </c>
      <c r="Z1" s="67" t="s">
        <v>196</v>
      </c>
      <c r="AA1" s="67" t="s">
        <v>167</v>
      </c>
      <c r="AB1" s="67" t="s">
        <v>166</v>
      </c>
      <c r="AC1" s="67" t="s">
        <v>169</v>
      </c>
    </row>
    <row r="2" spans="1:29" ht="20.100000000000001" customHeight="1" x14ac:dyDescent="0.3">
      <c r="A2" s="130" t="s">
        <v>147</v>
      </c>
      <c r="B2" s="131"/>
      <c r="C2" s="131"/>
      <c r="D2" s="131"/>
      <c r="E2" s="131"/>
      <c r="F2" s="131"/>
      <c r="G2" s="132"/>
      <c r="H2" s="138" t="s">
        <v>156</v>
      </c>
      <c r="I2" s="139"/>
      <c r="J2" s="139"/>
      <c r="K2" s="139"/>
      <c r="L2" s="139"/>
      <c r="M2" s="139"/>
      <c r="N2" s="140"/>
      <c r="P2" s="68" t="s">
        <v>200</v>
      </c>
      <c r="Q2" s="69">
        <v>1.0000000000000001E-9</v>
      </c>
      <c r="R2" s="67" t="s">
        <v>274</v>
      </c>
      <c r="S2" s="44">
        <v>0.1</v>
      </c>
      <c r="T2" s="67" t="s">
        <v>299</v>
      </c>
      <c r="U2" s="44">
        <v>1</v>
      </c>
      <c r="V2" s="68" t="s">
        <v>234</v>
      </c>
      <c r="W2" s="69">
        <v>1000000</v>
      </c>
      <c r="Y2" s="48" t="s">
        <v>307</v>
      </c>
      <c r="Z2" s="9"/>
      <c r="AA2" s="9"/>
      <c r="AB2" s="9"/>
      <c r="AC2" s="9"/>
    </row>
    <row r="3" spans="1:29" ht="20.100000000000001" customHeight="1" x14ac:dyDescent="0.25">
      <c r="A3" s="135"/>
      <c r="B3" s="136"/>
      <c r="C3" s="136"/>
      <c r="D3" s="136"/>
      <c r="E3" s="136"/>
      <c r="F3" s="136"/>
      <c r="G3" s="137"/>
      <c r="H3" s="124"/>
      <c r="I3" s="125"/>
      <c r="J3" s="125"/>
      <c r="K3" s="125"/>
      <c r="L3" s="125"/>
      <c r="M3" s="36"/>
      <c r="N3" s="37"/>
      <c r="P3" s="68" t="s">
        <v>199</v>
      </c>
      <c r="Q3" s="44">
        <v>0.1</v>
      </c>
      <c r="R3" s="67" t="s">
        <v>275</v>
      </c>
      <c r="S3" s="44">
        <v>1</v>
      </c>
      <c r="T3" s="67" t="s">
        <v>300</v>
      </c>
      <c r="U3" s="44">
        <v>1</v>
      </c>
      <c r="V3" s="68" t="s">
        <v>235</v>
      </c>
      <c r="W3" s="44">
        <v>101971.6</v>
      </c>
      <c r="Y3" s="48" t="s">
        <v>303</v>
      </c>
      <c r="Z3" s="9" t="str">
        <f>IFERROR($Z$2*(VLOOKUP($K$4,$P$1:$Q$35,2,FALSE)),"")</f>
        <v/>
      </c>
      <c r="AA3" s="9" t="str">
        <f>IFERROR($AA$2/(VLOOKUP($K$6,$R$1:$S$22,2,FALSE)),"")</f>
        <v/>
      </c>
      <c r="AB3" s="9" t="str">
        <f>IFERROR($AB$2*(VLOOKUP($K$8,$T$2:$U$5,2,FALSE))+(VLOOKUP($K$8,$T$7:$U$10,2,FALSE)),"")</f>
        <v/>
      </c>
      <c r="AC3" s="9" t="str">
        <f>IFERROR($AC$2*(VLOOKUP($K$10,$V$2:$W$41,2,FALSE)),"")</f>
        <v/>
      </c>
    </row>
    <row r="4" spans="1:29" ht="20.100000000000001" customHeight="1" x14ac:dyDescent="0.25">
      <c r="A4" s="1" t="s">
        <v>148</v>
      </c>
      <c r="B4" s="2"/>
      <c r="C4" s="3" t="s">
        <v>381</v>
      </c>
      <c r="D4" s="2"/>
      <c r="E4" s="3" t="s">
        <v>397</v>
      </c>
      <c r="F4" s="47"/>
      <c r="G4" s="30"/>
      <c r="H4" s="32" t="s">
        <v>157</v>
      </c>
      <c r="I4" s="4"/>
      <c r="J4" s="32" t="s">
        <v>158</v>
      </c>
      <c r="K4" s="4"/>
      <c r="L4" s="36" t="s">
        <v>304</v>
      </c>
      <c r="M4" s="4"/>
      <c r="N4" s="35"/>
      <c r="P4" s="68" t="s">
        <v>201</v>
      </c>
      <c r="Q4" s="69">
        <v>0.01</v>
      </c>
      <c r="R4" s="120" t="s">
        <v>277</v>
      </c>
      <c r="S4" s="121">
        <v>1.02</v>
      </c>
      <c r="T4" s="67" t="s">
        <v>301</v>
      </c>
      <c r="U4" s="44">
        <f>5/9</f>
        <v>0.55555555555555558</v>
      </c>
      <c r="V4" s="68" t="s">
        <v>236</v>
      </c>
      <c r="W4" s="44" t="s">
        <v>237</v>
      </c>
    </row>
    <row r="5" spans="1:29" ht="20.100000000000001" customHeight="1" x14ac:dyDescent="0.25">
      <c r="A5" s="135"/>
      <c r="B5" s="136"/>
      <c r="C5" s="136"/>
      <c r="D5" s="136"/>
      <c r="E5" s="136"/>
      <c r="F5" s="136"/>
      <c r="G5" s="137"/>
      <c r="H5" s="124"/>
      <c r="I5" s="125"/>
      <c r="J5" s="125"/>
      <c r="K5" s="125"/>
      <c r="L5" s="125"/>
      <c r="M5" s="36"/>
      <c r="N5" s="37"/>
      <c r="P5" s="68" t="s">
        <v>202</v>
      </c>
      <c r="Q5" s="69">
        <v>1E-3</v>
      </c>
      <c r="R5" s="67" t="s">
        <v>276</v>
      </c>
      <c r="S5" s="44">
        <v>100</v>
      </c>
      <c r="T5" s="67" t="s">
        <v>309</v>
      </c>
      <c r="U5" s="44">
        <f>5/9</f>
        <v>0.55555555555555558</v>
      </c>
      <c r="V5" s="68" t="s">
        <v>238</v>
      </c>
      <c r="W5" s="44">
        <v>100</v>
      </c>
    </row>
    <row r="6" spans="1:29" ht="20.100000000000001" customHeight="1" x14ac:dyDescent="0.25">
      <c r="A6" s="1" t="s">
        <v>149</v>
      </c>
      <c r="B6" s="5"/>
      <c r="C6" s="3" t="s">
        <v>155</v>
      </c>
      <c r="D6" s="2"/>
      <c r="E6" s="3" t="s">
        <v>382</v>
      </c>
      <c r="F6" s="2"/>
      <c r="G6" s="30"/>
      <c r="H6" s="32" t="s">
        <v>395</v>
      </c>
      <c r="I6" s="4"/>
      <c r="J6" s="32" t="s">
        <v>158</v>
      </c>
      <c r="K6" s="6"/>
      <c r="L6" s="36" t="s">
        <v>396</v>
      </c>
      <c r="M6" s="47"/>
      <c r="N6" s="35"/>
      <c r="P6" s="68" t="s">
        <v>203</v>
      </c>
      <c r="Q6" s="69">
        <v>1E-3</v>
      </c>
      <c r="R6" s="67" t="s">
        <v>278</v>
      </c>
      <c r="S6" s="44">
        <v>1000</v>
      </c>
      <c r="T6" s="67" t="s">
        <v>297</v>
      </c>
      <c r="U6" s="67" t="s">
        <v>308</v>
      </c>
      <c r="V6" s="68" t="s">
        <v>239</v>
      </c>
      <c r="W6" s="44">
        <v>10</v>
      </c>
    </row>
    <row r="7" spans="1:29" ht="20.100000000000001" customHeight="1" x14ac:dyDescent="0.25">
      <c r="A7" s="135"/>
      <c r="B7" s="136"/>
      <c r="C7" s="136"/>
      <c r="D7" s="136"/>
      <c r="E7" s="136"/>
      <c r="F7" s="136"/>
      <c r="G7" s="137"/>
      <c r="H7" s="124"/>
      <c r="I7" s="125"/>
      <c r="J7" s="125"/>
      <c r="K7" s="125"/>
      <c r="L7" s="125"/>
      <c r="M7" s="36"/>
      <c r="N7" s="37"/>
      <c r="P7" s="68" t="s">
        <v>204</v>
      </c>
      <c r="Q7" s="69">
        <v>1E-4</v>
      </c>
      <c r="R7" s="67" t="s">
        <v>279</v>
      </c>
      <c r="S7" s="44">
        <v>1000</v>
      </c>
      <c r="T7" s="67" t="s">
        <v>299</v>
      </c>
      <c r="U7" s="44">
        <v>1</v>
      </c>
      <c r="V7" s="68" t="s">
        <v>240</v>
      </c>
      <c r="W7" s="44">
        <v>1</v>
      </c>
    </row>
    <row r="8" spans="1:29" ht="20.100000000000001" customHeight="1" x14ac:dyDescent="0.25">
      <c r="A8" s="1" t="s">
        <v>152</v>
      </c>
      <c r="B8" s="47"/>
      <c r="C8" s="31" t="s">
        <v>153</v>
      </c>
      <c r="D8" s="28"/>
      <c r="E8" s="29" t="s">
        <v>154</v>
      </c>
      <c r="F8" s="6"/>
      <c r="G8" s="30"/>
      <c r="H8" s="32" t="s">
        <v>150</v>
      </c>
      <c r="I8" s="4"/>
      <c r="J8" s="32" t="s">
        <v>158</v>
      </c>
      <c r="K8" s="4"/>
      <c r="L8" s="36" t="s">
        <v>305</v>
      </c>
      <c r="M8" s="4"/>
      <c r="N8" s="35"/>
      <c r="P8" s="68" t="s">
        <v>205</v>
      </c>
      <c r="Q8" s="69">
        <v>1.0000000000000001E-5</v>
      </c>
      <c r="R8" s="120" t="s">
        <v>280</v>
      </c>
      <c r="S8" s="121">
        <v>10197.16</v>
      </c>
      <c r="T8" s="67" t="s">
        <v>300</v>
      </c>
      <c r="U8" s="44">
        <v>273</v>
      </c>
      <c r="V8" s="68" t="s">
        <v>260</v>
      </c>
      <c r="W8" s="44">
        <v>0.2</v>
      </c>
    </row>
    <row r="9" spans="1:29" ht="20.100000000000001" customHeight="1" x14ac:dyDescent="0.25">
      <c r="A9" s="135"/>
      <c r="B9" s="136"/>
      <c r="C9" s="136"/>
      <c r="D9" s="136"/>
      <c r="E9" s="136"/>
      <c r="F9" s="136"/>
      <c r="G9" s="137"/>
      <c r="H9" s="124"/>
      <c r="I9" s="125"/>
      <c r="J9" s="125"/>
      <c r="K9" s="125"/>
      <c r="L9" s="125"/>
      <c r="M9" s="36"/>
      <c r="N9" s="37"/>
      <c r="P9" s="68" t="s">
        <v>206</v>
      </c>
      <c r="Q9" s="44">
        <v>1</v>
      </c>
      <c r="R9" s="67" t="s">
        <v>281</v>
      </c>
      <c r="S9" s="44">
        <v>100000</v>
      </c>
      <c r="T9" s="67" t="s">
        <v>301</v>
      </c>
      <c r="U9" s="44">
        <f>2297/9</f>
        <v>255.22222222222223</v>
      </c>
      <c r="V9" s="68" t="s">
        <v>242</v>
      </c>
      <c r="W9" s="44">
        <v>0.01</v>
      </c>
    </row>
    <row r="10" spans="1:29" ht="20.100000000000001" customHeight="1" x14ac:dyDescent="0.25">
      <c r="A10" s="42" t="s">
        <v>398</v>
      </c>
      <c r="B10" s="2"/>
      <c r="C10" s="31"/>
      <c r="D10" s="81"/>
      <c r="E10" s="43"/>
      <c r="F10" s="77"/>
      <c r="G10" s="80"/>
      <c r="H10" s="33" t="s">
        <v>151</v>
      </c>
      <c r="I10" s="28"/>
      <c r="J10" s="32" t="s">
        <v>158</v>
      </c>
      <c r="K10" s="28"/>
      <c r="L10" s="36" t="s">
        <v>306</v>
      </c>
      <c r="M10" s="28"/>
      <c r="N10" s="34"/>
      <c r="P10" s="68" t="s">
        <v>207</v>
      </c>
      <c r="Q10" s="69">
        <v>9.9999999999999995E-7</v>
      </c>
      <c r="R10" s="120" t="s">
        <v>282</v>
      </c>
      <c r="S10" s="121">
        <v>0.01</v>
      </c>
      <c r="T10" s="67" t="s">
        <v>309</v>
      </c>
      <c r="U10" s="70">
        <v>0</v>
      </c>
      <c r="V10" s="68" t="s">
        <v>243</v>
      </c>
      <c r="W10" s="69">
        <v>1E-3</v>
      </c>
    </row>
    <row r="11" spans="1:29" ht="20.100000000000001" customHeight="1" thickBot="1" x14ac:dyDescent="0.3">
      <c r="A11" s="112"/>
      <c r="B11" s="78"/>
      <c r="C11" s="78"/>
      <c r="D11" s="78"/>
      <c r="E11" s="78"/>
      <c r="F11" s="78"/>
      <c r="G11" s="79"/>
      <c r="H11" s="126"/>
      <c r="I11" s="127"/>
      <c r="J11" s="127"/>
      <c r="K11" s="127"/>
      <c r="L11" s="127"/>
      <c r="M11" s="38"/>
      <c r="N11" s="39"/>
      <c r="P11" s="68" t="s">
        <v>208</v>
      </c>
      <c r="Q11" s="69">
        <v>9.9999999999999995E-7</v>
      </c>
      <c r="R11" s="67" t="s">
        <v>283</v>
      </c>
      <c r="S11" s="44">
        <v>14.5</v>
      </c>
      <c r="V11" s="68" t="s">
        <v>244</v>
      </c>
      <c r="W11" s="69">
        <v>9.9999999999999995E-7</v>
      </c>
    </row>
    <row r="12" spans="1:29" ht="20.100000000000001" customHeight="1" thickTop="1" x14ac:dyDescent="0.25">
      <c r="A12" s="113"/>
      <c r="B12" s="113"/>
      <c r="C12" s="113"/>
      <c r="D12" s="123"/>
      <c r="E12" s="123"/>
      <c r="F12" s="123"/>
      <c r="G12" s="123"/>
      <c r="P12" s="68" t="s">
        <v>209</v>
      </c>
      <c r="Q12" s="69">
        <v>1.0000000000000001E-9</v>
      </c>
      <c r="R12" s="67" t="s">
        <v>284</v>
      </c>
      <c r="S12" s="44">
        <v>2088.54</v>
      </c>
      <c r="V12" s="68" t="s">
        <v>245</v>
      </c>
      <c r="W12" s="69">
        <v>1.0000000000000001E-9</v>
      </c>
    </row>
    <row r="13" spans="1:29" ht="20.100000000000001" customHeight="1" x14ac:dyDescent="0.3">
      <c r="A13" s="113"/>
      <c r="B13" s="113"/>
      <c r="C13" s="113"/>
      <c r="D13" s="122" t="s">
        <v>394</v>
      </c>
      <c r="E13" s="122"/>
      <c r="F13" s="122"/>
      <c r="G13" s="122"/>
      <c r="P13" s="68" t="s">
        <v>210</v>
      </c>
      <c r="Q13" s="69">
        <v>1.0000000000000001E-9</v>
      </c>
      <c r="R13" s="67" t="s">
        <v>285</v>
      </c>
      <c r="S13" s="44">
        <v>10.199999999999999</v>
      </c>
      <c r="V13" s="68" t="s">
        <v>246</v>
      </c>
      <c r="W13" s="69">
        <v>1.6600000000000001E-24</v>
      </c>
    </row>
    <row r="14" spans="1:29" ht="20.100000000000001" customHeight="1" x14ac:dyDescent="0.25">
      <c r="A14" s="113"/>
      <c r="B14" s="113"/>
      <c r="C14" s="113"/>
      <c r="D14" s="115" t="s">
        <v>392</v>
      </c>
      <c r="E14" s="115" t="s">
        <v>393</v>
      </c>
      <c r="F14" s="115"/>
      <c r="G14" s="113"/>
      <c r="P14" s="68" t="s">
        <v>211</v>
      </c>
      <c r="Q14" s="44">
        <v>0.16</v>
      </c>
      <c r="R14" s="67" t="s">
        <v>286</v>
      </c>
      <c r="S14" s="44">
        <v>1019.74</v>
      </c>
      <c r="V14" s="68" t="s">
        <v>247</v>
      </c>
      <c r="W14" s="71">
        <v>1016046.91</v>
      </c>
    </row>
    <row r="15" spans="1:29" ht="20.100000000000001" customHeight="1" x14ac:dyDescent="0.25">
      <c r="A15" s="113"/>
      <c r="B15" s="113"/>
      <c r="C15" s="113"/>
      <c r="D15" s="114"/>
      <c r="E15" s="114"/>
      <c r="F15" s="113"/>
      <c r="G15" s="113"/>
      <c r="P15" s="68" t="s">
        <v>212</v>
      </c>
      <c r="Q15" s="44">
        <v>0.04</v>
      </c>
      <c r="R15" s="67" t="s">
        <v>287</v>
      </c>
      <c r="S15" s="44">
        <v>33.46</v>
      </c>
      <c r="V15" s="68" t="s">
        <v>248</v>
      </c>
      <c r="W15" s="44">
        <v>987184.74</v>
      </c>
    </row>
    <row r="16" spans="1:29" ht="20.100000000000001" customHeight="1" x14ac:dyDescent="0.25">
      <c r="A16" s="113"/>
      <c r="B16" s="113"/>
      <c r="C16" s="113"/>
      <c r="D16" s="113"/>
      <c r="E16" s="113"/>
      <c r="F16" s="113"/>
      <c r="G16" s="113"/>
      <c r="P16" s="68" t="s">
        <v>213</v>
      </c>
      <c r="Q16" s="44">
        <v>0.01</v>
      </c>
      <c r="R16" s="67" t="s">
        <v>288</v>
      </c>
      <c r="S16" s="44">
        <v>401.47</v>
      </c>
      <c r="V16" s="68" t="s">
        <v>249</v>
      </c>
      <c r="W16" s="44">
        <v>50802.35</v>
      </c>
    </row>
    <row r="17" spans="16:23" ht="20.100000000000001" customHeight="1" x14ac:dyDescent="0.25">
      <c r="P17" s="68" t="s">
        <v>220</v>
      </c>
      <c r="Q17" s="69">
        <v>4.5500000000000002E-3</v>
      </c>
      <c r="R17" s="67" t="s">
        <v>289</v>
      </c>
      <c r="S17" s="44">
        <v>0.99</v>
      </c>
      <c r="V17" s="68" t="s">
        <v>250</v>
      </c>
      <c r="W17" s="44">
        <v>45359.24</v>
      </c>
    </row>
    <row r="18" spans="16:23" ht="20.100000000000001" customHeight="1" x14ac:dyDescent="0.25">
      <c r="P18" s="68" t="s">
        <v>214</v>
      </c>
      <c r="Q18" s="69">
        <v>1.14E-3</v>
      </c>
      <c r="R18" s="67" t="s">
        <v>290</v>
      </c>
      <c r="S18" s="44">
        <v>1.02</v>
      </c>
      <c r="V18" s="68" t="s">
        <v>251</v>
      </c>
      <c r="W18" s="44">
        <v>6350.29</v>
      </c>
    </row>
    <row r="19" spans="16:23" ht="20.100000000000001" customHeight="1" x14ac:dyDescent="0.25">
      <c r="P19" s="68" t="s">
        <v>215</v>
      </c>
      <c r="Q19" s="69">
        <v>5.6800000000000004E-4</v>
      </c>
      <c r="R19" s="67" t="s">
        <v>291</v>
      </c>
      <c r="S19" s="44">
        <v>29.53</v>
      </c>
      <c r="V19" s="68" t="s">
        <v>257</v>
      </c>
      <c r="W19" s="44">
        <v>453.59</v>
      </c>
    </row>
    <row r="20" spans="16:23" ht="20.100000000000001" customHeight="1" x14ac:dyDescent="0.25">
      <c r="P20" s="68" t="s">
        <v>216</v>
      </c>
      <c r="Q20" s="69">
        <v>2.8399999999999999E-5</v>
      </c>
      <c r="R20" s="67" t="s">
        <v>293</v>
      </c>
      <c r="S20" s="44">
        <v>75.010000000000005</v>
      </c>
      <c r="V20" s="68" t="s">
        <v>258</v>
      </c>
      <c r="W20" s="44">
        <v>28.35</v>
      </c>
    </row>
    <row r="21" spans="16:23" ht="20.100000000000001" customHeight="1" x14ac:dyDescent="0.25">
      <c r="P21" s="68" t="s">
        <v>217</v>
      </c>
      <c r="Q21" s="44">
        <v>1233.48</v>
      </c>
      <c r="R21" s="67" t="s">
        <v>292</v>
      </c>
      <c r="S21" s="44">
        <v>750.06</v>
      </c>
      <c r="V21" s="68" t="s">
        <v>254</v>
      </c>
      <c r="W21" s="44">
        <v>1.77</v>
      </c>
    </row>
    <row r="22" spans="16:23" ht="20.100000000000001" customHeight="1" x14ac:dyDescent="0.25">
      <c r="P22" s="68" t="s">
        <v>218</v>
      </c>
      <c r="Q22" s="44">
        <v>0.76</v>
      </c>
      <c r="R22" s="67" t="s">
        <v>294</v>
      </c>
      <c r="S22" s="44">
        <v>750.06</v>
      </c>
      <c r="V22" s="68" t="s">
        <v>255</v>
      </c>
      <c r="W22" s="44">
        <v>0.06</v>
      </c>
    </row>
    <row r="23" spans="16:23" ht="20.100000000000001" customHeight="1" x14ac:dyDescent="0.25">
      <c r="P23" s="68" t="s">
        <v>219</v>
      </c>
      <c r="Q23" s="44">
        <v>0.03</v>
      </c>
      <c r="V23" s="68" t="s">
        <v>256</v>
      </c>
      <c r="W23" s="44">
        <v>0.06</v>
      </c>
    </row>
    <row r="24" spans="16:23" ht="20.100000000000001" customHeight="1" x14ac:dyDescent="0.25">
      <c r="P24" s="68" t="s">
        <v>221</v>
      </c>
      <c r="Q24" s="69">
        <v>3.79E-3</v>
      </c>
      <c r="V24" s="68" t="s">
        <v>252</v>
      </c>
      <c r="W24" s="44">
        <v>373.24</v>
      </c>
    </row>
    <row r="25" spans="16:23" ht="20.100000000000001" customHeight="1" x14ac:dyDescent="0.25">
      <c r="P25" s="68" t="s">
        <v>222</v>
      </c>
      <c r="Q25" s="69">
        <v>9.4600000000000001E-4</v>
      </c>
      <c r="V25" s="68" t="s">
        <v>253</v>
      </c>
      <c r="W25" s="44">
        <v>31.1</v>
      </c>
    </row>
    <row r="26" spans="16:23" ht="20.100000000000001" customHeight="1" x14ac:dyDescent="0.25">
      <c r="P26" s="68" t="s">
        <v>223</v>
      </c>
      <c r="Q26" s="69">
        <v>4.73E-4</v>
      </c>
      <c r="V26" s="68" t="s">
        <v>259</v>
      </c>
      <c r="W26" s="44">
        <v>1.56</v>
      </c>
    </row>
    <row r="27" spans="16:23" ht="20.100000000000001" customHeight="1" x14ac:dyDescent="0.25">
      <c r="P27" s="68" t="s">
        <v>224</v>
      </c>
      <c r="Q27" s="69">
        <v>1.18E-4</v>
      </c>
      <c r="V27" s="68" t="s">
        <v>241</v>
      </c>
      <c r="W27" s="44">
        <v>0.21</v>
      </c>
    </row>
    <row r="28" spans="16:23" ht="20.100000000000001" customHeight="1" x14ac:dyDescent="0.25">
      <c r="P28" s="68" t="s">
        <v>225</v>
      </c>
      <c r="Q28" s="69">
        <v>2.9600000000000001E-5</v>
      </c>
      <c r="V28" s="68" t="s">
        <v>261</v>
      </c>
      <c r="W28" s="69">
        <v>3.2399999999999998E-3</v>
      </c>
    </row>
    <row r="29" spans="16:23" ht="20.100000000000001" customHeight="1" x14ac:dyDescent="0.25">
      <c r="P29" s="68" t="s">
        <v>226</v>
      </c>
      <c r="Q29" s="69">
        <v>1.6399999999999999E-5</v>
      </c>
      <c r="V29" s="68" t="s">
        <v>262</v>
      </c>
      <c r="W29" s="69">
        <v>1.35E-4</v>
      </c>
    </row>
    <row r="30" spans="16:23" ht="20.100000000000001" customHeight="1" x14ac:dyDescent="0.25">
      <c r="P30" s="68" t="s">
        <v>227</v>
      </c>
      <c r="Q30" s="69">
        <v>3.7000000000000002E-6</v>
      </c>
      <c r="V30" s="68" t="s">
        <v>229</v>
      </c>
      <c r="W30" s="44">
        <v>180407.95</v>
      </c>
    </row>
    <row r="31" spans="16:23" ht="20.100000000000001" customHeight="1" x14ac:dyDescent="0.25">
      <c r="P31" s="68" t="s">
        <v>228</v>
      </c>
      <c r="Q31" s="69">
        <v>6.1599999999999996E-8</v>
      </c>
      <c r="V31" s="68" t="s">
        <v>263</v>
      </c>
      <c r="W31" s="44">
        <v>3750.37</v>
      </c>
    </row>
    <row r="32" spans="16:23" ht="20.100000000000001" customHeight="1" x14ac:dyDescent="0.25">
      <c r="P32" s="68" t="s">
        <v>229</v>
      </c>
      <c r="Q32" s="44">
        <v>0.18</v>
      </c>
      <c r="V32" s="68" t="s">
        <v>264</v>
      </c>
      <c r="W32" s="44">
        <v>600.05999999999995</v>
      </c>
    </row>
    <row r="33" spans="16:23" ht="20.100000000000001" customHeight="1" x14ac:dyDescent="0.25">
      <c r="P33" s="68" t="s">
        <v>230</v>
      </c>
      <c r="Q33" s="44">
        <v>0.02</v>
      </c>
      <c r="V33" s="68" t="s">
        <v>265</v>
      </c>
      <c r="W33" s="44">
        <v>3.75</v>
      </c>
    </row>
    <row r="34" spans="16:23" ht="20.100000000000001" customHeight="1" x14ac:dyDescent="0.25">
      <c r="P34" s="68" t="s">
        <v>231</v>
      </c>
      <c r="Q34" s="69">
        <v>1.8E-3</v>
      </c>
      <c r="V34" s="68" t="s">
        <v>266</v>
      </c>
      <c r="W34" s="44">
        <v>37.79</v>
      </c>
    </row>
    <row r="35" spans="16:23" ht="20.100000000000001" customHeight="1" x14ac:dyDescent="0.25">
      <c r="P35" s="68" t="s">
        <v>232</v>
      </c>
      <c r="Q35" s="69">
        <v>1.8000000000000001E-4</v>
      </c>
      <c r="V35" s="68" t="s">
        <v>267</v>
      </c>
      <c r="W35" s="44">
        <v>37.32</v>
      </c>
    </row>
    <row r="36" spans="16:23" ht="20.100000000000001" customHeight="1" x14ac:dyDescent="0.25">
      <c r="V36" s="68" t="s">
        <v>268</v>
      </c>
      <c r="W36" s="44">
        <v>170016.91</v>
      </c>
    </row>
    <row r="37" spans="16:23" ht="20.100000000000001" customHeight="1" x14ac:dyDescent="0.25">
      <c r="V37" s="68" t="s">
        <v>269</v>
      </c>
      <c r="W37" s="44">
        <v>8502.84</v>
      </c>
    </row>
    <row r="38" spans="16:23" ht="20.100000000000001" customHeight="1" x14ac:dyDescent="0.25">
      <c r="V38" s="68" t="s">
        <v>270</v>
      </c>
      <c r="W38" s="44">
        <v>425.04</v>
      </c>
    </row>
    <row r="39" spans="16:23" ht="20.100000000000001" customHeight="1" x14ac:dyDescent="0.25">
      <c r="V39" s="68" t="s">
        <v>271</v>
      </c>
      <c r="W39" s="44">
        <v>212.52</v>
      </c>
    </row>
    <row r="40" spans="16:23" ht="20.100000000000001" customHeight="1" x14ac:dyDescent="0.25">
      <c r="V40" s="68" t="s">
        <v>272</v>
      </c>
      <c r="W40" s="44">
        <v>27.9</v>
      </c>
    </row>
    <row r="41" spans="16:23" ht="20.100000000000001" customHeight="1" x14ac:dyDescent="0.25">
      <c r="V41" s="68" t="s">
        <v>273</v>
      </c>
      <c r="W41" s="44">
        <v>13.3</v>
      </c>
    </row>
  </sheetData>
  <mergeCells count="15">
    <mergeCell ref="H1:L1"/>
    <mergeCell ref="A2:G2"/>
    <mergeCell ref="A1:G1"/>
    <mergeCell ref="A3:G3"/>
    <mergeCell ref="A5:G5"/>
    <mergeCell ref="H3:L3"/>
    <mergeCell ref="H5:L5"/>
    <mergeCell ref="H2:N2"/>
    <mergeCell ref="D13:G13"/>
    <mergeCell ref="D12:G12"/>
    <mergeCell ref="H7:L7"/>
    <mergeCell ref="H9:L9"/>
    <mergeCell ref="H11:L11"/>
    <mergeCell ref="A7:G7"/>
    <mergeCell ref="A9:G9"/>
  </mergeCells>
  <dataValidations count="4">
    <dataValidation type="list" allowBlank="1" showInputMessage="1" showErrorMessage="1" sqref="K4">
      <formula1>$P$2:$P$35</formula1>
    </dataValidation>
    <dataValidation type="list" allowBlank="1" showInputMessage="1" showErrorMessage="1" sqref="K8">
      <formula1>$T$2:$T$5</formula1>
    </dataValidation>
    <dataValidation type="list" allowBlank="1" showInputMessage="1" showErrorMessage="1" sqref="K10">
      <formula1>$V$2:$V$41</formula1>
    </dataValidation>
    <dataValidation type="list" allowBlank="1" showInputMessage="1" showErrorMessage="1" sqref="K6">
      <formula1>$R$2:$R$22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'Prop. &amp; Parâmetros (Antoine)'!$A$150:$A$244</xm:f>
          </x14:formula1>
          <xm:sqref>B4</xm:sqref>
        </x14:dataValidation>
        <x14:dataValidation type="list" allowBlank="1" showInputMessage="1" showErrorMessage="1">
          <x14:formula1>
            <xm:f>'Prop. &amp; Parâmetros (Antoine)'!$A$247:$A$252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L30"/>
  <sheetViews>
    <sheetView tabSelected="1" topLeftCell="A7" workbookViewId="0">
      <selection activeCell="D12" sqref="D12"/>
    </sheetView>
  </sheetViews>
  <sheetFormatPr defaultColWidth="16.7109375" defaultRowHeight="20.100000000000001" customHeight="1" x14ac:dyDescent="0.25"/>
  <cols>
    <col min="1" max="1" width="28.140625" bestFit="1" customWidth="1"/>
    <col min="2" max="2" width="24.5703125" customWidth="1"/>
    <col min="5" max="5" width="23.42578125" customWidth="1"/>
    <col min="9" max="9" width="20.42578125" bestFit="1" customWidth="1"/>
    <col min="10" max="10" width="19.7109375" bestFit="1" customWidth="1"/>
  </cols>
  <sheetData>
    <row r="1" spans="1:11" ht="20.100000000000001" customHeight="1" x14ac:dyDescent="0.25">
      <c r="A1" s="141" t="s">
        <v>163</v>
      </c>
      <c r="B1" s="141"/>
      <c r="C1" s="141"/>
      <c r="D1" s="141"/>
      <c r="E1" s="141"/>
      <c r="F1" s="141"/>
      <c r="G1" s="141"/>
      <c r="H1" s="141"/>
    </row>
    <row r="2" spans="1:11" ht="20.100000000000001" customHeight="1" x14ac:dyDescent="0.25">
      <c r="A2" s="14" t="s">
        <v>50</v>
      </c>
      <c r="B2" s="15" t="s">
        <v>43</v>
      </c>
      <c r="C2" s="16" t="s">
        <v>194</v>
      </c>
      <c r="D2" s="14" t="s">
        <v>45</v>
      </c>
      <c r="E2" s="14" t="s">
        <v>46</v>
      </c>
      <c r="F2" s="14" t="s">
        <v>47</v>
      </c>
      <c r="G2" s="15" t="s">
        <v>48</v>
      </c>
      <c r="H2" s="14" t="s">
        <v>49</v>
      </c>
    </row>
    <row r="3" spans="1:11" ht="20.100000000000001" customHeight="1" x14ac:dyDescent="0.25">
      <c r="A3" s="2" t="s">
        <v>93</v>
      </c>
      <c r="B3" s="48">
        <f>VLOOKUP($A$3,'Prop. &amp; Parâmetros (Antoine)'!$A$3:$H$92,2,FALSE)</f>
        <v>18.015000000000001</v>
      </c>
      <c r="C3" s="48">
        <f>VLOOKUP(A3,'Prop. &amp; Parâmetros (Antoine)'!$A$3:$H$92,3,FALSE)</f>
        <v>0.34499999999999997</v>
      </c>
      <c r="D3" s="48">
        <f>VLOOKUP(A3,'Prop. &amp; Parâmetros (Antoine)'!$A$3:$H$92,4,FALSE)</f>
        <v>647.1</v>
      </c>
      <c r="E3" s="48">
        <f>VLOOKUP(A3,'Prop. &amp; Parâmetros (Antoine)'!$A$3:$H$92,5,FALSE)</f>
        <v>220.55</v>
      </c>
      <c r="F3" s="48">
        <f>VLOOKUP(A3,'Prop. &amp; Parâmetros (Antoine)'!$A$3:$H$92,6,FALSE)</f>
        <v>0.22900000000000001</v>
      </c>
      <c r="G3" s="48">
        <f>VLOOKUP(A3,'Prop. &amp; Parâmetros (Antoine)'!$A$3:$H$92,7,FALSE)</f>
        <v>55.9</v>
      </c>
      <c r="H3" s="48">
        <f>VLOOKUP(A3,'Prop. &amp; Parâmetros (Antoine)'!$A$3:$H$92,8,FALSE)</f>
        <v>373.2</v>
      </c>
    </row>
    <row r="4" spans="1:11" ht="20.100000000000001" customHeight="1" x14ac:dyDescent="0.25">
      <c r="A4" s="145" t="s">
        <v>99</v>
      </c>
      <c r="B4" s="147"/>
      <c r="C4" s="148"/>
      <c r="D4" s="149"/>
      <c r="E4" s="147" t="s">
        <v>104</v>
      </c>
      <c r="F4" s="148"/>
      <c r="G4" s="21" t="s">
        <v>164</v>
      </c>
      <c r="H4" s="23" t="s">
        <v>105</v>
      </c>
    </row>
    <row r="5" spans="1:11" ht="20.100000000000001" customHeight="1" x14ac:dyDescent="0.25">
      <c r="A5" s="146"/>
      <c r="B5" s="16" t="s">
        <v>100</v>
      </c>
      <c r="C5" s="14" t="s">
        <v>101</v>
      </c>
      <c r="D5" s="14" t="s">
        <v>102</v>
      </c>
      <c r="E5" s="14" t="s">
        <v>160</v>
      </c>
      <c r="F5" s="20" t="s">
        <v>161</v>
      </c>
      <c r="G5" s="22" t="s">
        <v>162</v>
      </c>
      <c r="H5" s="22" t="s">
        <v>107</v>
      </c>
    </row>
    <row r="6" spans="1:11" ht="20.100000000000001" customHeight="1" x14ac:dyDescent="0.25">
      <c r="A6" s="48" t="str">
        <f>VLOOKUP(A3,'Prop. &amp; Parâmetros (Antoine)'!$A$97:$J$138,2,FALSE)</f>
        <v>H2O</v>
      </c>
      <c r="B6" s="48">
        <f>VLOOKUP(A3,'Prop. &amp; Parâmetros (Antoine)'!$A$97:$J$138,3,FALSE)</f>
        <v>16.3872</v>
      </c>
      <c r="C6" s="48">
        <f>VLOOKUP(A3,'Prop. &amp; Parâmetros (Antoine)'!$A$97:$J$138,4,FALSE)</f>
        <v>3885.7</v>
      </c>
      <c r="D6" s="48">
        <f>VLOOKUP(A3,'Prop. &amp; Parâmetros (Antoine)'!$A$97:$J$138,5,FALSE)</f>
        <v>230.17</v>
      </c>
      <c r="E6" s="48">
        <f>VLOOKUP(A3,'Prop. &amp; Parâmetros (Antoine)'!$A$97:$J$138,6,FALSE)</f>
        <v>0</v>
      </c>
      <c r="F6" s="48">
        <f>VLOOKUP(A3,'Prop. &amp; Parâmetros (Antoine)'!$A$97:$J$138,7,FALSE)</f>
        <v>200</v>
      </c>
      <c r="G6" s="48">
        <f>VLOOKUP(A3,'Prop. &amp; Parâmetros (Antoine)'!$A$97:$J$138,8,FALSE)</f>
        <v>373.15</v>
      </c>
      <c r="H6" s="48">
        <f>VLOOKUP(A3,'Prop. &amp; Parâmetros (Antoine)'!$A$97:$J$138,10,FALSE)</f>
        <v>40.659999999999997</v>
      </c>
    </row>
    <row r="7" spans="1:11" ht="20.100000000000001" customHeight="1" x14ac:dyDescent="0.25">
      <c r="A7" s="141" t="s">
        <v>165</v>
      </c>
      <c r="B7" s="141"/>
      <c r="C7" s="141"/>
      <c r="D7" s="141"/>
      <c r="E7" s="141"/>
      <c r="F7" s="141"/>
      <c r="G7" s="141"/>
      <c r="H7" s="141"/>
    </row>
    <row r="8" spans="1:11" ht="20.100000000000001" customHeight="1" x14ac:dyDescent="0.25">
      <c r="A8" s="14" t="s">
        <v>173</v>
      </c>
      <c r="B8" s="14" t="s">
        <v>167</v>
      </c>
      <c r="C8" s="14" t="s">
        <v>168</v>
      </c>
      <c r="D8" s="14" t="s">
        <v>169</v>
      </c>
      <c r="E8" s="44" t="s">
        <v>170</v>
      </c>
      <c r="F8" s="44" t="s">
        <v>311</v>
      </c>
      <c r="G8" s="14" t="s">
        <v>172</v>
      </c>
      <c r="H8" s="14" t="s">
        <v>166</v>
      </c>
      <c r="I8" s="44" t="s">
        <v>313</v>
      </c>
    </row>
    <row r="9" spans="1:11" ht="20.100000000000001" customHeight="1" x14ac:dyDescent="0.25">
      <c r="A9" s="5"/>
      <c r="B9" s="47">
        <v>3</v>
      </c>
      <c r="C9" s="2"/>
      <c r="D9" s="2">
        <v>1000</v>
      </c>
      <c r="E9" s="47"/>
      <c r="F9" s="28"/>
      <c r="G9" s="6"/>
      <c r="H9" s="2">
        <v>373</v>
      </c>
      <c r="I9" s="2"/>
    </row>
    <row r="10" spans="1:11" ht="20.100000000000001" customHeight="1" x14ac:dyDescent="0.25">
      <c r="A10" s="141" t="s">
        <v>174</v>
      </c>
      <c r="B10" s="141"/>
      <c r="C10" s="141"/>
      <c r="D10" s="141"/>
      <c r="E10" s="141"/>
      <c r="F10" s="141"/>
      <c r="G10" s="141"/>
      <c r="H10" s="141"/>
      <c r="I10" s="141"/>
      <c r="J10" s="141"/>
      <c r="K10" s="141"/>
    </row>
    <row r="11" spans="1:11" ht="20.100000000000001" customHeight="1" x14ac:dyDescent="0.25">
      <c r="A11" s="44" t="s">
        <v>190</v>
      </c>
      <c r="B11" s="44" t="s">
        <v>191</v>
      </c>
      <c r="C11" s="44" t="s">
        <v>188</v>
      </c>
      <c r="D11" s="44" t="s">
        <v>189</v>
      </c>
      <c r="E11" s="44" t="s">
        <v>175</v>
      </c>
      <c r="F11" s="44" t="s">
        <v>176</v>
      </c>
      <c r="G11" s="44" t="s">
        <v>101</v>
      </c>
      <c r="H11" s="44" t="s">
        <v>177</v>
      </c>
      <c r="I11" s="44" t="s">
        <v>192</v>
      </c>
      <c r="J11" s="17" t="s">
        <v>193</v>
      </c>
      <c r="K11" s="17" t="s">
        <v>195</v>
      </c>
    </row>
    <row r="12" spans="1:11" ht="20.100000000000001" customHeight="1" x14ac:dyDescent="0.25">
      <c r="A12" s="106">
        <f>H9/D3</f>
        <v>0.57641786431772524</v>
      </c>
      <c r="B12" s="48">
        <f>B9/E3</f>
        <v>1.3602357742008615E-2</v>
      </c>
      <c r="C12" s="63">
        <f>-(D16-A12)*(B16-A16)/(D16-C16)+B16</f>
        <v>0.47315588349093268</v>
      </c>
      <c r="D12" s="63">
        <f>-(D16-A12)*(B18-A18)/(D16-C16)+B18</f>
        <v>-1.5878302150490499E-2</v>
      </c>
      <c r="E12" s="72">
        <f>0.083-(0.422/(A12^(1.6)))</f>
        <v>-0.93590234034142461</v>
      </c>
      <c r="F12" s="72">
        <f>0.139-(0.172/(A12^(4.2)))</f>
        <v>-1.6005272344913486</v>
      </c>
      <c r="G12" s="72">
        <f>(8.3144621*D3/(E3*101000))*(E12+C3*F12)</f>
        <v>-3.594219847114064E-4</v>
      </c>
      <c r="H12" s="63">
        <f>C12+C3*D12</f>
        <v>0.46767786924901344</v>
      </c>
      <c r="I12" s="9" t="str">
        <f>IF(A12=0.7,EXP(B6-(C6/((D3*A12-273.15)+D6)))/101000,"Tr≠0,7")</f>
        <v>Tr≠0,7</v>
      </c>
      <c r="J12" s="9" t="str">
        <f>IF(A12=0.7,I12/E3,"Tr≠0,7")</f>
        <v>Tr≠0,7</v>
      </c>
      <c r="K12" s="9" t="str">
        <f>IF(A12=0.7,-1-LOG10(J12),"Tr≠0,7")</f>
        <v>Tr≠0,7</v>
      </c>
    </row>
    <row r="13" spans="1:11" ht="20.100000000000001" customHeight="1" x14ac:dyDescent="0.25">
      <c r="A13" s="45" t="s">
        <v>310</v>
      </c>
      <c r="B13" s="45" t="s">
        <v>178</v>
      </c>
      <c r="C13" s="45" t="s">
        <v>312</v>
      </c>
      <c r="D13" s="45" t="s">
        <v>179</v>
      </c>
      <c r="E13" s="44" t="s">
        <v>383</v>
      </c>
      <c r="F13" s="44" t="s">
        <v>171</v>
      </c>
      <c r="G13" s="44" t="s">
        <v>171</v>
      </c>
      <c r="H13" s="44" t="s">
        <v>171</v>
      </c>
      <c r="I13" s="44" t="s">
        <v>315</v>
      </c>
      <c r="J13" s="84"/>
      <c r="K13" s="83"/>
    </row>
    <row r="14" spans="1:11" ht="20.100000000000001" customHeight="1" thickBot="1" x14ac:dyDescent="0.3">
      <c r="A14" s="105">
        <f>1+(G12*B9/(8.3144621*H9))</f>
        <v>0.99999965231744303</v>
      </c>
      <c r="B14" s="118">
        <f>H12*8.3144621*H9/B9</f>
        <v>483.46891324737334</v>
      </c>
      <c r="C14" s="117">
        <f>A14*8.3144621*H9/B9</f>
        <v>1033.7644283446818</v>
      </c>
      <c r="D14" s="75" t="e">
        <f>8.3144621*H9/E9+G12*8.3144621*H9/(E9^2)</f>
        <v>#DIV/0!</v>
      </c>
      <c r="E14" s="111">
        <f>8.3144621*H9/B9</f>
        <v>1033.7647877666666</v>
      </c>
      <c r="F14" s="63">
        <f>B3*10^-3/B14</f>
        <v>3.7261961434079594E-5</v>
      </c>
      <c r="G14" s="72">
        <f>B3*10^-3/C14</f>
        <v>1.7426600786454384E-5</v>
      </c>
      <c r="H14" s="119">
        <f>B3*10^-3/E14</f>
        <v>1.7426594727529264E-5</v>
      </c>
      <c r="I14" s="116" t="e">
        <f>C9/I9</f>
        <v>#DIV/0!</v>
      </c>
      <c r="J14" s="55"/>
      <c r="K14" s="53"/>
    </row>
    <row r="15" spans="1:11" ht="20.100000000000001" customHeight="1" thickTop="1" x14ac:dyDescent="0.25">
      <c r="A15" s="59" t="s">
        <v>180</v>
      </c>
      <c r="B15" s="58" t="s">
        <v>181</v>
      </c>
      <c r="C15" s="56" t="s">
        <v>184</v>
      </c>
      <c r="D15" s="73" t="s">
        <v>185</v>
      </c>
      <c r="E15" s="142" t="s">
        <v>384</v>
      </c>
      <c r="F15" s="60" t="s">
        <v>313</v>
      </c>
      <c r="G15" s="17" t="s">
        <v>313</v>
      </c>
      <c r="H15" s="49" t="s">
        <v>313</v>
      </c>
      <c r="I15" s="44" t="s">
        <v>314</v>
      </c>
      <c r="J15" s="52"/>
      <c r="K15" s="54"/>
    </row>
    <row r="16" spans="1:11" ht="20.100000000000001" customHeight="1" x14ac:dyDescent="0.25">
      <c r="A16" s="62">
        <f>-(D18-B12)*((HLOOKUP(D18,'Z(0)-Z(1) - Lee Kesler'!A3:P43,'Z(0)-Z(1) - Lee Kesler'!S1-1,FALSE))-(HLOOKUP(C18,'Z(0)-Z(1) - Lee Kesler'!A3:P43,'Z(0)-Z(1) - Lee Kesler'!S1-1,FALSE)))/(D18-C18)+(HLOOKUP(D18,'Z(0)-Z(1) - Lee Kesler'!A3:P43,'Z(0)-Z(1) - Lee Kesler'!S1-1,FALSE))</f>
        <v>2.8384833371117649E-3</v>
      </c>
      <c r="B16" s="63">
        <f>-(D18-B12)*((HLOOKUP(D18,'Z(0)-Z(1) - Lee Kesler'!A3:P43,'Z(0)-Z(1) - Lee Kesler'!S1,FALSE))-(HLOOKUP(C18,'Z(0)-Z(1) - Lee Kesler'!A3:P43,'Z(0)-Z(1) - Lee Kesler'!S1,FALSE)))/(D18-C18)+(HLOOKUP(D18,'Z(0)-Z(1) - Lee Kesler'!A3:P43,'Z(0)-Z(1) - Lee Kesler'!S1,FALSE))</f>
        <v>0.89298878939016113</v>
      </c>
      <c r="C16" s="63">
        <v>0.55000000000000004</v>
      </c>
      <c r="D16" s="64">
        <v>0.6</v>
      </c>
      <c r="E16" s="143"/>
      <c r="F16" s="61">
        <v>0</v>
      </c>
      <c r="G16" s="72">
        <f>E9/C14</f>
        <v>0</v>
      </c>
      <c r="H16" s="85">
        <f>E9/E14</f>
        <v>0</v>
      </c>
      <c r="I16" s="82" t="e">
        <f>8.3144621*H9/(I14-G12)</f>
        <v>#DIV/0!</v>
      </c>
      <c r="J16" s="50"/>
      <c r="K16" s="51"/>
    </row>
    <row r="17" spans="1:12" ht="20.100000000000001" customHeight="1" x14ac:dyDescent="0.25">
      <c r="A17" s="60" t="s">
        <v>182</v>
      </c>
      <c r="B17" s="17" t="s">
        <v>183</v>
      </c>
      <c r="C17" s="46" t="s">
        <v>187</v>
      </c>
      <c r="D17" s="57" t="s">
        <v>186</v>
      </c>
      <c r="E17" s="143"/>
      <c r="F17" s="101" t="s">
        <v>354</v>
      </c>
      <c r="G17" s="44" t="s">
        <v>355</v>
      </c>
      <c r="H17" s="96" t="s">
        <v>356</v>
      </c>
      <c r="I17" s="44" t="s">
        <v>323</v>
      </c>
      <c r="J17" s="16" t="s">
        <v>324</v>
      </c>
    </row>
    <row r="18" spans="1:12" ht="20.100000000000001" customHeight="1" thickBot="1" x14ac:dyDescent="0.3">
      <c r="A18" s="65">
        <f>-(D18-B12)*((HLOOKUP(D18,'Z(0)-Z(1) - Lee Kesler'!R3:AG43,'Z(0)-Z(1) - Lee Kesler'!S1-1,FALSE))-(HLOOKUP(C18,'Z(0)-Z(1) - Lee Kesler'!R3:AG43,'Z(0)-Z(1) - Lee Kesler'!S1-1,FALSE)))/(D18-C18)+(HLOOKUP(D18,'Z(0)-Z(1) - Lee Kesler'!R3:AG43,'Z(0)-Z(1) - Lee Kesler'!S1-1,FALSE))</f>
        <v>-1.224212196780775E-3</v>
      </c>
      <c r="B18" s="66">
        <f>-(D18-B12)*((HLOOKUP(D18,'Z(0)-Z(1) - Lee Kesler'!R3:AG43,'Z(0)-Z(1) - Lee Kesler'!S1,FALSE))-(HLOOKUP(C18,'Z(0)-Z(1) - Lee Kesler'!R3:AG43,'Z(0)-Z(1) - Lee Kesler'!S1,FALSE)))/(D18-C18)+(HLOOKUP(D18,'Z(0)-Z(1) - Lee Kesler'!R3:AG43,'Z(0)-Z(1) - Lee Kesler'!S1,FALSE))</f>
        <v>-2.895940262978916E-2</v>
      </c>
      <c r="C18" s="66">
        <v>0.01</v>
      </c>
      <c r="D18" s="66">
        <v>0.05</v>
      </c>
      <c r="E18" s="144"/>
      <c r="F18" s="90">
        <f>0.45724*(8.3144621^2)*(D3^2)*((1+H18*(1-(A12^(1/2))))^2)/(E3*101000)</f>
        <v>0.87079483461321128</v>
      </c>
      <c r="G18" s="89">
        <f>0.0778*(8.3144621^2)*(D3^2)/(E3*101000)</f>
        <v>0.1011025889390007</v>
      </c>
      <c r="H18" s="89">
        <f>0.37464+1.54226*C3-0.26992*(C3^2)</f>
        <v>0.8745924719999999</v>
      </c>
      <c r="I18" s="89">
        <f>(F18*(B9*101000))/((8.3144621*H9)^2)</f>
        <v>2.7432948811024802E-2</v>
      </c>
      <c r="J18" s="102">
        <f>G18*(B9*101000)/(8.3144621*H9)</f>
        <v>9.8778383667909377</v>
      </c>
    </row>
    <row r="19" spans="1:12" ht="20.100000000000001" customHeight="1" thickTop="1" x14ac:dyDescent="0.25">
      <c r="A19" s="45" t="s">
        <v>316</v>
      </c>
      <c r="B19" s="56" t="s">
        <v>318</v>
      </c>
      <c r="C19" s="45" t="s">
        <v>319</v>
      </c>
      <c r="D19" s="45" t="s">
        <v>320</v>
      </c>
      <c r="E19" s="91" t="s">
        <v>338</v>
      </c>
      <c r="F19" s="44" t="s">
        <v>325</v>
      </c>
      <c r="G19" s="44" t="s">
        <v>326</v>
      </c>
      <c r="H19" s="44" t="s">
        <v>327</v>
      </c>
      <c r="I19" s="44" t="s">
        <v>330</v>
      </c>
      <c r="J19" s="44" t="s">
        <v>346</v>
      </c>
      <c r="K19" s="44" t="s">
        <v>331</v>
      </c>
      <c r="L19" s="44" t="s">
        <v>357</v>
      </c>
    </row>
    <row r="20" spans="1:12" ht="20.100000000000001" customHeight="1" x14ac:dyDescent="0.25">
      <c r="A20" s="86">
        <f>27*(8.3144621*D3)^2/(64*E3*101000)</f>
        <v>0.54823463635785263</v>
      </c>
      <c r="B20" s="88" t="e">
        <f>8.3144621*H9/(E9-A22)-A20/((E9*101000)^2)</f>
        <v>#DIV/0!</v>
      </c>
      <c r="C20" s="92">
        <f>0.08664*8.3144621*D3/(E3*101000)</f>
        <v>2.0926450262022819E-5</v>
      </c>
      <c r="D20" s="92">
        <f>0.42748*(8.3144621^2)*(D3^2)*(1+C22*(1-(A12^(1/2))))^2/(E3*101000)</f>
        <v>0.85592856919947113</v>
      </c>
      <c r="E20" s="93">
        <f>(D20*(B9*101000))/((8.3144621*H9)^2)</f>
        <v>2.6964611744823223E-2</v>
      </c>
      <c r="F20" s="74">
        <f>J18-1</f>
        <v>8.8778383667909377</v>
      </c>
      <c r="G20" s="103">
        <f>I18-3*(J18^2)-2*J18</f>
        <v>-312.44331618611204</v>
      </c>
      <c r="H20" s="99">
        <f>-I18*J18+(J18^3)+(J18^2)</f>
        <v>1061.0981034674855</v>
      </c>
      <c r="I20" s="76">
        <f>IF(G22^2&lt;F22^3,3,1)</f>
        <v>3</v>
      </c>
      <c r="J20" s="74">
        <f>ACOS(G22/(F22^(3/2)))</f>
        <v>0.55634660955844684</v>
      </c>
      <c r="K20" s="74" t="e">
        <f>-(IF(G22&lt;0,-1,IF(G22=0,0,1)))*((ABS(G22))+((G22^2)-(F22^3))^(1/2))^(1/3)</f>
        <v>#NUM!</v>
      </c>
      <c r="L20" s="110">
        <f>H22*8.3144621*H9/(B9*101000)</f>
        <v>-0.2440734805013858</v>
      </c>
    </row>
    <row r="21" spans="1:12" ht="20.100000000000001" customHeight="1" x14ac:dyDescent="0.25">
      <c r="A21" s="44" t="s">
        <v>317</v>
      </c>
      <c r="B21" s="44" t="s">
        <v>335</v>
      </c>
      <c r="C21" s="96" t="s">
        <v>321</v>
      </c>
      <c r="D21" s="44" t="s">
        <v>322</v>
      </c>
      <c r="E21" s="44" t="s">
        <v>339</v>
      </c>
      <c r="F21" s="44" t="s">
        <v>328</v>
      </c>
      <c r="G21" s="44" t="s">
        <v>329</v>
      </c>
      <c r="H21" s="44" t="s">
        <v>348</v>
      </c>
      <c r="I21" s="44" t="s">
        <v>349</v>
      </c>
      <c r="J21" s="44" t="s">
        <v>350</v>
      </c>
      <c r="K21" s="44" t="s">
        <v>332</v>
      </c>
      <c r="L21" s="44" t="s">
        <v>358</v>
      </c>
    </row>
    <row r="22" spans="1:12" ht="20.100000000000001" customHeight="1" x14ac:dyDescent="0.25">
      <c r="A22" s="86">
        <f>8.3144621*D3/(8*E3*101000)</f>
        <v>3.0191669930203749E-5</v>
      </c>
      <c r="B22" s="98">
        <f>-(A26+1)</f>
        <v>-1.0029497606215998</v>
      </c>
      <c r="C22" s="97">
        <f>0.48+1.574*C3-0.176*(C3^2)</f>
        <v>1.0020815999999999</v>
      </c>
      <c r="D22" s="92" t="e">
        <f>8.3144621*H9/(E9*101000-C20)-D20/(E9*101000*(E9*101000+C20))</f>
        <v>#DIV/0!</v>
      </c>
      <c r="E22" s="94">
        <f>C20*(B9*101000)/(8.3144621*H9)</f>
        <v>2.044538082043247E-3</v>
      </c>
      <c r="F22" s="74">
        <f>(F20^2-3*G20)/9</f>
        <v>112.9051069583557</v>
      </c>
      <c r="G22" s="74">
        <f>(2*F20^3-9*F20*G20+27*H20)/54</f>
        <v>1018.7679962922765</v>
      </c>
      <c r="H22" s="74">
        <f>IF(I20=3,-2*(F22^(1/2))*COS(J20/3)-F20/3,(K20+K22)-F20/3)</f>
        <v>-23.84625770035813</v>
      </c>
      <c r="I22" s="74">
        <f>IF(I20=3,-2*(F22^(1/2))*COS((J20-2*PI())/3)-F20/3,"Z2 é imaginária")</f>
        <v>4.090697367229791</v>
      </c>
      <c r="J22" s="74">
        <f>IF(I20=3,-2*(F22^(1/2))*COS((J20+2*PI())/3)-F20/3,"Z3 é imaginária")</f>
        <v>10.877721966337395</v>
      </c>
      <c r="K22" s="74" t="e">
        <f>IF(K20=0,0,F22/K20)</f>
        <v>#NUM!</v>
      </c>
      <c r="L22" s="110">
        <f>J22*8.3144621*H9/(B9*101000)</f>
        <v>0.11133669247441173</v>
      </c>
    </row>
    <row r="23" spans="1:12" ht="20.100000000000001" customHeight="1" x14ac:dyDescent="0.25">
      <c r="A23" s="44" t="s">
        <v>333</v>
      </c>
      <c r="B23" s="44" t="s">
        <v>336</v>
      </c>
      <c r="C23" s="44" t="s">
        <v>340</v>
      </c>
      <c r="D23" s="44" t="s">
        <v>341</v>
      </c>
      <c r="E23" s="44" t="s">
        <v>342</v>
      </c>
      <c r="F23" s="44" t="s">
        <v>343</v>
      </c>
      <c r="G23" s="44" t="s">
        <v>347</v>
      </c>
      <c r="H23" s="44" t="s">
        <v>370</v>
      </c>
      <c r="I23" s="44" t="s">
        <v>359</v>
      </c>
    </row>
    <row r="24" spans="1:12" ht="20.100000000000001" customHeight="1" x14ac:dyDescent="0.25">
      <c r="A24" s="86">
        <f>(A20*(B9*101000))/((8.3144621*H9)^2)</f>
        <v>1.7271224079224219E-2</v>
      </c>
      <c r="B24" s="87">
        <f>A24</f>
        <v>1.7271224079224219E-2</v>
      </c>
      <c r="C24" s="92">
        <f>-1</f>
        <v>-1</v>
      </c>
      <c r="D24" s="100">
        <f>E20+E22-(E22^2)</f>
        <v>2.9004969690897543E-2</v>
      </c>
      <c r="E24" s="100">
        <f>-E20*E22</f>
        <v>-5.5130175579801684E-5</v>
      </c>
      <c r="F24" s="93">
        <f>IF(D26^2&lt;C26^3,3,1)</f>
        <v>3</v>
      </c>
      <c r="G24" s="93">
        <f>ACOS(D26/(C26^(3/2)))</f>
        <v>3.0715719237767543</v>
      </c>
      <c r="H24" s="93" t="e">
        <f>-(IF(D26&lt;0,-1,IF(D26=0,0,1)))*((ABS(D26))+((D26^2)-(C26^3))^(1/2))^(1/3)</f>
        <v>#NUM!</v>
      </c>
      <c r="I24" s="109">
        <f>E26*8.3144621*H9/(B9*101000)</f>
        <v>2.0926450262022809E-5</v>
      </c>
    </row>
    <row r="25" spans="1:12" ht="20.100000000000001" customHeight="1" x14ac:dyDescent="0.25">
      <c r="A25" s="44" t="s">
        <v>334</v>
      </c>
      <c r="B25" s="44" t="s">
        <v>337</v>
      </c>
      <c r="C25" s="44" t="s">
        <v>344</v>
      </c>
      <c r="D25" s="44" t="s">
        <v>345</v>
      </c>
      <c r="E25" s="44" t="s">
        <v>351</v>
      </c>
      <c r="F25" s="45" t="s">
        <v>352</v>
      </c>
      <c r="G25" s="45" t="s">
        <v>353</v>
      </c>
      <c r="H25" s="45" t="s">
        <v>371</v>
      </c>
      <c r="I25" s="44" t="s">
        <v>360</v>
      </c>
    </row>
    <row r="26" spans="1:12" ht="20.100000000000001" customHeight="1" x14ac:dyDescent="0.25">
      <c r="A26" s="95">
        <f>A22*(B9*101000)/(8.3144621*H9)</f>
        <v>2.9497606215997908E-3</v>
      </c>
      <c r="B26" s="98">
        <f>-A24*A26</f>
        <v>-5.094597667572171E-5</v>
      </c>
      <c r="C26" s="93">
        <f>(C24^2-3*D24)/9</f>
        <v>0.10144278788081193</v>
      </c>
      <c r="D26" s="93">
        <f>(2*C24^3-9*C24*D24+27*E24)/54</f>
        <v>-3.2230440509677348E-2</v>
      </c>
      <c r="E26" s="93">
        <f>IF(F24=3,-2*(C26^(1/2))*COS(G24/3)-C24/3,(H24+H26)-C24/3)</f>
        <v>2.0445380820432457E-3</v>
      </c>
      <c r="F26" s="93">
        <f>IF(F24=3,-2*(C26^(1/2))*COS((G24-2*PI())/3)-C24/3,"Z2 é imaginária")</f>
        <v>2.7793940651897164E-2</v>
      </c>
      <c r="G26" s="93">
        <f>IF(F24=3,-2*(C26^(1/2))*COS((G24+2*PI())/3)-C24/3,"Z3 é imaginária")</f>
        <v>0.97016152126605948</v>
      </c>
      <c r="H26" s="93" t="e">
        <f>IF(H24=0,0,C26/H24)</f>
        <v>#NUM!</v>
      </c>
      <c r="I26" s="109">
        <f>G26*8.3144621*H9/(B9*101000)</f>
        <v>9.9298892983266784E-3</v>
      </c>
    </row>
    <row r="27" spans="1:12" ht="20.100000000000001" customHeight="1" x14ac:dyDescent="0.25">
      <c r="A27" s="44" t="s">
        <v>364</v>
      </c>
      <c r="B27" s="44" t="s">
        <v>362</v>
      </c>
      <c r="C27" s="44" t="s">
        <v>361</v>
      </c>
      <c r="D27" s="44" t="s">
        <v>363</v>
      </c>
      <c r="E27" s="56" t="s">
        <v>369</v>
      </c>
      <c r="F27" s="44" t="s">
        <v>372</v>
      </c>
    </row>
    <row r="28" spans="1:12" ht="20.100000000000001" customHeight="1" x14ac:dyDescent="0.25">
      <c r="A28" s="87">
        <f>(B22^2-3*B24)/9</f>
        <v>0.10601050556591686</v>
      </c>
      <c r="B28" s="86">
        <f>IF(A30^2&lt;A28^3,3,1)</f>
        <v>3</v>
      </c>
      <c r="C28" s="86">
        <f>ACOS(A30/(A28^(3/2)))</f>
        <v>3.1151902180865001</v>
      </c>
      <c r="D28" s="86" t="e">
        <f>-(IF(A30&lt;0,-1,IF(A30=0,0,1)))*((ABS(A30))+((A30^2)-(A28^3))^(1/2))^(1/3)</f>
        <v>#NUM!</v>
      </c>
      <c r="E28" s="104" t="e">
        <f>IF(D28=0,0,A28/D28)</f>
        <v>#NUM!</v>
      </c>
      <c r="F28" s="108">
        <f>B30*8.3144621*H9/(B9*101000)</f>
        <v>3.8623500277350476E-5</v>
      </c>
    </row>
    <row r="29" spans="1:12" ht="20.100000000000001" customHeight="1" x14ac:dyDescent="0.25">
      <c r="A29" s="44" t="s">
        <v>365</v>
      </c>
      <c r="B29" s="44" t="s">
        <v>366</v>
      </c>
      <c r="C29" s="44" t="s">
        <v>367</v>
      </c>
      <c r="D29" s="44" t="s">
        <v>368</v>
      </c>
      <c r="F29" s="44" t="s">
        <v>373</v>
      </c>
    </row>
    <row r="30" spans="1:12" ht="20.100000000000001" customHeight="1" x14ac:dyDescent="0.25">
      <c r="A30" s="86">
        <f>(2*B22^3-9*B22*B24+27*B26)/54</f>
        <v>-3.4504200601024895E-2</v>
      </c>
      <c r="B30" s="86">
        <f>IF(B28=3,-2*(A28^(1/2))*COS(C28/3)-B22/3,(D28+D30)-B22/3)</f>
        <v>3.773560073022042E-3</v>
      </c>
      <c r="C30" s="86">
        <f>IF(B28=3,-2*(A28^(1/2))*COS((C28-2*PI())/3)-B22/3,"Z2 é imaginária")</f>
        <v>1.3699741417284916E-2</v>
      </c>
      <c r="D30" s="86">
        <f>IF(B28=3,-2*(A28^(1/2))*COS((C28+2*PI())/3)-B22/3,"Z3 é imaginária")</f>
        <v>0.98547645913129278</v>
      </c>
      <c r="F30" s="108">
        <f>D30*8.3144621*H9/(B9*101000)</f>
        <v>1.0086642204187198E-2</v>
      </c>
    </row>
  </sheetData>
  <mergeCells count="7">
    <mergeCell ref="A10:K10"/>
    <mergeCell ref="E15:E18"/>
    <mergeCell ref="A1:H1"/>
    <mergeCell ref="A4:A5"/>
    <mergeCell ref="B4:D4"/>
    <mergeCell ref="E4:F4"/>
    <mergeCell ref="A7:H7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G46"/>
  <sheetViews>
    <sheetView workbookViewId="0">
      <selection activeCell="D25" sqref="D25"/>
    </sheetView>
  </sheetViews>
  <sheetFormatPr defaultRowHeight="15" x14ac:dyDescent="0.25"/>
  <cols>
    <col min="1" max="1" width="9.28515625" bestFit="1" customWidth="1"/>
    <col min="17" max="17" width="4.5703125" customWidth="1"/>
  </cols>
  <sheetData>
    <row r="1" spans="1:33" x14ac:dyDescent="0.25">
      <c r="R1" s="17" t="s">
        <v>380</v>
      </c>
      <c r="S1" s="47">
        <v>7</v>
      </c>
    </row>
    <row r="2" spans="1:33" x14ac:dyDescent="0.25">
      <c r="A2" s="141" t="s">
        <v>1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R2" s="141" t="s">
        <v>2</v>
      </c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</row>
    <row r="3" spans="1:33" x14ac:dyDescent="0.25">
      <c r="A3" s="8" t="s">
        <v>0</v>
      </c>
      <c r="B3" s="26">
        <v>0.01</v>
      </c>
      <c r="C3" s="26">
        <v>0.05</v>
      </c>
      <c r="D3" s="26">
        <v>0.1</v>
      </c>
      <c r="E3" s="26">
        <v>0.2</v>
      </c>
      <c r="F3" s="26">
        <v>0.4</v>
      </c>
      <c r="G3" s="26">
        <v>0.6</v>
      </c>
      <c r="H3" s="26">
        <v>0.8</v>
      </c>
      <c r="I3" s="26">
        <v>1</v>
      </c>
      <c r="J3" s="26">
        <v>1.2</v>
      </c>
      <c r="K3" s="26">
        <v>1.5</v>
      </c>
      <c r="L3" s="26">
        <v>2</v>
      </c>
      <c r="M3" s="26">
        <v>3</v>
      </c>
      <c r="N3" s="26">
        <v>5</v>
      </c>
      <c r="O3" s="26">
        <v>7</v>
      </c>
      <c r="P3" s="26">
        <v>10</v>
      </c>
      <c r="R3" s="8" t="s">
        <v>0</v>
      </c>
      <c r="S3" s="26">
        <v>0.01</v>
      </c>
      <c r="T3" s="26">
        <v>0.05</v>
      </c>
      <c r="U3" s="26">
        <v>0.1</v>
      </c>
      <c r="V3" s="26">
        <v>0.2</v>
      </c>
      <c r="W3" s="26">
        <v>0.4</v>
      </c>
      <c r="X3" s="26">
        <v>0.6</v>
      </c>
      <c r="Y3" s="26">
        <v>0.8</v>
      </c>
      <c r="Z3" s="26">
        <v>1</v>
      </c>
      <c r="AA3" s="26">
        <v>1.2</v>
      </c>
      <c r="AB3" s="26">
        <v>1.5</v>
      </c>
      <c r="AC3" s="26">
        <v>2</v>
      </c>
      <c r="AD3" s="26">
        <v>3</v>
      </c>
      <c r="AE3" s="26">
        <v>5</v>
      </c>
      <c r="AF3" s="26">
        <v>7</v>
      </c>
      <c r="AG3" s="26">
        <v>10</v>
      </c>
    </row>
    <row r="4" spans="1:33" x14ac:dyDescent="0.25">
      <c r="A4" s="25">
        <v>0.3</v>
      </c>
      <c r="B4" s="12">
        <v>2.8999999999999998E-3</v>
      </c>
      <c r="C4" s="12">
        <v>1.4500000000000001E-2</v>
      </c>
      <c r="D4" s="12">
        <v>2.9000000000000001E-2</v>
      </c>
      <c r="E4" s="12">
        <v>5.79E-2</v>
      </c>
      <c r="F4" s="12">
        <v>0.1158</v>
      </c>
      <c r="G4" s="12">
        <v>0.17369999999999999</v>
      </c>
      <c r="H4" s="12">
        <v>0.23150000000000001</v>
      </c>
      <c r="I4" s="12">
        <v>0.28920000000000001</v>
      </c>
      <c r="J4" s="12">
        <v>0.34789999999999999</v>
      </c>
      <c r="K4" s="12">
        <v>0.4335</v>
      </c>
      <c r="L4" s="12">
        <v>0.57750000000000001</v>
      </c>
      <c r="M4" s="12">
        <v>0.86480000000000001</v>
      </c>
      <c r="N4" s="12">
        <v>1.4366000000000001</v>
      </c>
      <c r="O4" s="12">
        <v>2.0047999999999999</v>
      </c>
      <c r="P4" s="12">
        <v>2.8506999999999998</v>
      </c>
      <c r="R4" s="25">
        <v>0.3</v>
      </c>
      <c r="S4" s="12">
        <v>-8.0000000000000004E-4</v>
      </c>
      <c r="T4" s="12">
        <v>-4.0000000000000001E-3</v>
      </c>
      <c r="U4" s="12">
        <v>-8.0999999999999996E-3</v>
      </c>
      <c r="V4" s="12">
        <v>-1.61E-2</v>
      </c>
      <c r="W4" s="12">
        <v>-3.2300000000000002E-2</v>
      </c>
      <c r="X4" s="12">
        <v>-4.8399999999999999E-2</v>
      </c>
      <c r="Y4" s="12">
        <v>-6.4500000000000002E-2</v>
      </c>
      <c r="Z4" s="12">
        <v>-8.0600000000000005E-2</v>
      </c>
      <c r="AA4" s="12">
        <v>-9.6600000000000005E-2</v>
      </c>
      <c r="AB4" s="12">
        <v>-0.1207</v>
      </c>
      <c r="AC4" s="12">
        <v>-0.1608</v>
      </c>
      <c r="AD4" s="12">
        <v>-0.2407</v>
      </c>
      <c r="AE4" s="12">
        <v>-0.39960000000000001</v>
      </c>
      <c r="AF4" s="12">
        <v>-0.55720000000000003</v>
      </c>
      <c r="AG4" s="12">
        <v>-0.79149999999999998</v>
      </c>
    </row>
    <row r="5" spans="1:33" x14ac:dyDescent="0.25">
      <c r="A5" s="25">
        <v>0.35</v>
      </c>
      <c r="B5" s="12">
        <v>2.5999999999999999E-3</v>
      </c>
      <c r="C5" s="12">
        <v>1.2999999999999999E-2</v>
      </c>
      <c r="D5" s="12">
        <v>2.6100000000000002E-2</v>
      </c>
      <c r="E5" s="12">
        <v>5.2200000000000003E-2</v>
      </c>
      <c r="F5" s="12">
        <v>0.1043</v>
      </c>
      <c r="G5" s="12">
        <v>0.15640000000000001</v>
      </c>
      <c r="H5" s="12">
        <v>0.2084</v>
      </c>
      <c r="I5" s="12">
        <v>0.26040000000000002</v>
      </c>
      <c r="J5" s="12">
        <v>0.31230000000000002</v>
      </c>
      <c r="K5" s="12">
        <v>0.3901</v>
      </c>
      <c r="L5" s="12">
        <v>0.51949999999999996</v>
      </c>
      <c r="M5" s="12">
        <v>0.77749999999999997</v>
      </c>
      <c r="N5" s="12">
        <v>1.2902</v>
      </c>
      <c r="O5" s="12">
        <v>1.7987</v>
      </c>
      <c r="P5" s="12">
        <v>2.5539000000000001</v>
      </c>
      <c r="R5" s="25">
        <v>0.35</v>
      </c>
      <c r="S5" s="12">
        <v>-8.9999999999999998E-4</v>
      </c>
      <c r="T5" s="12">
        <v>-4.5999999999999999E-3</v>
      </c>
      <c r="U5" s="12">
        <v>-9.2999999999999992E-3</v>
      </c>
      <c r="V5" s="12">
        <v>-1.8499999999999999E-2</v>
      </c>
      <c r="W5" s="12">
        <v>-3.6999999999999998E-2</v>
      </c>
      <c r="X5" s="12">
        <v>-5.5399999999999998E-2</v>
      </c>
      <c r="Y5" s="12">
        <v>-7.3800000000000004E-2</v>
      </c>
      <c r="Z5" s="12">
        <v>-9.2100000000000001E-2</v>
      </c>
      <c r="AA5" s="12">
        <v>-0.1105</v>
      </c>
      <c r="AB5" s="12">
        <v>-0.13789999999999999</v>
      </c>
      <c r="AC5" s="12">
        <v>-0.18340000000000001</v>
      </c>
      <c r="AD5" s="12">
        <v>-0.27379999999999999</v>
      </c>
      <c r="AE5" s="12">
        <v>-0.45229999999999998</v>
      </c>
      <c r="AF5" s="12">
        <v>-0.62790000000000001</v>
      </c>
      <c r="AG5" s="12">
        <v>-0.88629999999999998</v>
      </c>
    </row>
    <row r="6" spans="1:33" x14ac:dyDescent="0.25">
      <c r="A6" s="25">
        <v>0.4</v>
      </c>
      <c r="B6" s="12">
        <v>2.3999999999999998E-3</v>
      </c>
      <c r="C6" s="12">
        <v>1.1900000000000001E-2</v>
      </c>
      <c r="D6" s="12">
        <v>2.3900000000000001E-2</v>
      </c>
      <c r="E6" s="12">
        <v>4.7699999999999999E-2</v>
      </c>
      <c r="F6" s="12">
        <v>9.5299999999999996E-2</v>
      </c>
      <c r="G6" s="12">
        <v>0.1429</v>
      </c>
      <c r="H6" s="12">
        <v>0.19040000000000001</v>
      </c>
      <c r="I6" s="12">
        <v>0.2379</v>
      </c>
      <c r="J6" s="12">
        <v>0.2853</v>
      </c>
      <c r="K6" s="12">
        <v>0.35630000000000001</v>
      </c>
      <c r="L6" s="12">
        <v>0.47439999999999999</v>
      </c>
      <c r="M6" s="12">
        <v>0.70950000000000002</v>
      </c>
      <c r="N6" s="12">
        <v>1.1758</v>
      </c>
      <c r="O6" s="12">
        <v>1.6373</v>
      </c>
      <c r="P6" s="12">
        <v>2.3210999999999999</v>
      </c>
      <c r="R6" s="25">
        <v>0.4</v>
      </c>
      <c r="S6" s="12">
        <v>-1E-3</v>
      </c>
      <c r="T6" s="12">
        <v>-4.7999999999999996E-3</v>
      </c>
      <c r="U6" s="12">
        <v>-9.4999999999999998E-3</v>
      </c>
      <c r="V6" s="12">
        <v>-1.9E-2</v>
      </c>
      <c r="W6" s="12">
        <v>-3.7999999999999999E-2</v>
      </c>
      <c r="X6" s="12">
        <v>-5.7000000000000002E-2</v>
      </c>
      <c r="Y6" s="12">
        <v>-7.5800000000000006E-2</v>
      </c>
      <c r="Z6" s="12">
        <v>-9.4600000000000004E-2</v>
      </c>
      <c r="AA6" s="12">
        <v>-0.1134</v>
      </c>
      <c r="AB6" s="12">
        <v>-0.1414</v>
      </c>
      <c r="AC6" s="12">
        <v>-0.18790000000000001</v>
      </c>
      <c r="AD6" s="12">
        <v>-0.27989999999999998</v>
      </c>
      <c r="AE6" s="12">
        <v>-0.46029999999999999</v>
      </c>
      <c r="AF6" s="12">
        <v>-0.63649999999999995</v>
      </c>
      <c r="AG6" s="12">
        <v>-0.89359999999999995</v>
      </c>
    </row>
    <row r="7" spans="1:33" x14ac:dyDescent="0.25">
      <c r="A7" s="25">
        <v>0.45</v>
      </c>
      <c r="B7" s="12">
        <v>2.2000000000000001E-3</v>
      </c>
      <c r="C7" s="12">
        <v>1.0999999999999999E-2</v>
      </c>
      <c r="D7" s="12">
        <v>2.2100000000000002E-2</v>
      </c>
      <c r="E7" s="12">
        <v>4.4200000000000003E-2</v>
      </c>
      <c r="F7" s="12">
        <v>8.8200000000000001E-2</v>
      </c>
      <c r="G7" s="12">
        <v>0.13220000000000001</v>
      </c>
      <c r="H7" s="12">
        <v>0.1762</v>
      </c>
      <c r="I7" s="12">
        <v>0.22</v>
      </c>
      <c r="J7" s="12">
        <v>0.26379999999999998</v>
      </c>
      <c r="K7" s="12">
        <v>0.32940000000000003</v>
      </c>
      <c r="L7" s="12">
        <v>0.43840000000000001</v>
      </c>
      <c r="M7" s="12">
        <v>0.65510000000000002</v>
      </c>
      <c r="N7" s="12">
        <v>1.0841000000000001</v>
      </c>
      <c r="O7" s="12">
        <v>1.5077</v>
      </c>
      <c r="P7" s="12">
        <v>2.1337999999999999</v>
      </c>
      <c r="R7" s="25">
        <v>0.45</v>
      </c>
      <c r="S7" s="12">
        <v>-8.9999999999999998E-4</v>
      </c>
      <c r="T7" s="12">
        <v>-4.7000000000000002E-3</v>
      </c>
      <c r="U7" s="12">
        <v>-9.4000000000000004E-3</v>
      </c>
      <c r="V7" s="12">
        <v>-1.8700000000000001E-2</v>
      </c>
      <c r="W7" s="12">
        <v>-3.7400000000000003E-2</v>
      </c>
      <c r="X7" s="12">
        <v>-5.6000000000000001E-2</v>
      </c>
      <c r="Y7" s="12">
        <v>-7.4499999999999997E-2</v>
      </c>
      <c r="Z7" s="12">
        <v>-9.2899999999999996E-2</v>
      </c>
      <c r="AA7" s="12">
        <v>-0.1113</v>
      </c>
      <c r="AB7" s="12">
        <v>-0.13869999999999999</v>
      </c>
      <c r="AC7" s="12">
        <v>-0.184</v>
      </c>
      <c r="AD7" s="12">
        <v>-0.27339999999999998</v>
      </c>
      <c r="AE7" s="12">
        <v>-0.44750000000000001</v>
      </c>
      <c r="AF7" s="12">
        <v>-0.61619999999999997</v>
      </c>
      <c r="AG7" s="12">
        <v>-0.86080000000000001</v>
      </c>
    </row>
    <row r="8" spans="1:33" x14ac:dyDescent="0.25">
      <c r="A8" s="25">
        <v>0.5</v>
      </c>
      <c r="B8" s="12">
        <v>2.0999999999999999E-3</v>
      </c>
      <c r="C8" s="12">
        <v>1.03E-2</v>
      </c>
      <c r="D8" s="12">
        <v>2.07E-2</v>
      </c>
      <c r="E8" s="12">
        <v>4.1300000000000003E-2</v>
      </c>
      <c r="F8" s="12">
        <v>8.2500000000000004E-2</v>
      </c>
      <c r="G8" s="12">
        <v>0.1236</v>
      </c>
      <c r="H8" s="12">
        <v>0.16470000000000001</v>
      </c>
      <c r="I8" s="12">
        <v>0.2056</v>
      </c>
      <c r="J8" s="12">
        <v>0.2465</v>
      </c>
      <c r="K8" s="12">
        <v>0.30769999999999997</v>
      </c>
      <c r="L8" s="12">
        <v>0.40920000000000001</v>
      </c>
      <c r="M8" s="12">
        <v>0.61099999999999999</v>
      </c>
      <c r="N8" s="12">
        <v>1.0094000000000001</v>
      </c>
      <c r="O8" s="12">
        <v>1.4016999999999999</v>
      </c>
      <c r="P8" s="12">
        <v>1.9801</v>
      </c>
      <c r="R8" s="25">
        <v>0.5</v>
      </c>
      <c r="S8" s="27">
        <v>-8.9999999999999998E-4</v>
      </c>
      <c r="T8" s="12">
        <v>-4.4999999999999997E-3</v>
      </c>
      <c r="U8" s="12">
        <v>-8.9999999999999993E-3</v>
      </c>
      <c r="V8" s="12">
        <v>-1.8100000000000002E-2</v>
      </c>
      <c r="W8" s="12">
        <v>-3.5999999999999997E-2</v>
      </c>
      <c r="X8" s="12">
        <v>-5.3900000000000003E-2</v>
      </c>
      <c r="Y8" s="12">
        <v>-7.1599999999999997E-2</v>
      </c>
      <c r="Z8" s="12">
        <v>-8.9300000000000004E-2</v>
      </c>
      <c r="AA8" s="12">
        <v>-0.1069</v>
      </c>
      <c r="AB8" s="12">
        <v>-0.13300000000000001</v>
      </c>
      <c r="AC8" s="12">
        <v>-0.1762</v>
      </c>
      <c r="AD8" s="12">
        <v>-0.2611</v>
      </c>
      <c r="AE8" s="12">
        <v>-0.42530000000000001</v>
      </c>
      <c r="AF8" s="12">
        <v>-0.58309999999999995</v>
      </c>
      <c r="AG8" s="12">
        <v>-0.80989999999999995</v>
      </c>
    </row>
    <row r="9" spans="1:33" x14ac:dyDescent="0.25">
      <c r="A9" s="25">
        <v>0.55000000000000004</v>
      </c>
      <c r="B9" s="12">
        <v>0.98040000000000005</v>
      </c>
      <c r="C9" s="12">
        <v>9.7999999999999997E-3</v>
      </c>
      <c r="D9" s="12">
        <v>1.95E-2</v>
      </c>
      <c r="E9" s="12">
        <v>3.9E-2</v>
      </c>
      <c r="F9" s="12">
        <v>7.7799999999999994E-2</v>
      </c>
      <c r="G9" s="12">
        <v>0.1166</v>
      </c>
      <c r="H9" s="12">
        <v>0.15529999999999999</v>
      </c>
      <c r="I9" s="12">
        <v>0.19389999999999999</v>
      </c>
      <c r="J9" s="12">
        <v>0.23230000000000001</v>
      </c>
      <c r="K9" s="12">
        <v>0.28989999999999999</v>
      </c>
      <c r="L9" s="12">
        <v>0.38529999999999998</v>
      </c>
      <c r="M9" s="12">
        <v>0.57469999999999999</v>
      </c>
      <c r="N9" s="12">
        <v>0.94750000000000001</v>
      </c>
      <c r="O9" s="12">
        <v>1.3137000000000001</v>
      </c>
      <c r="P9" s="12">
        <v>1.8520000000000001</v>
      </c>
      <c r="R9" s="25">
        <v>0.55000000000000004</v>
      </c>
      <c r="S9" s="12">
        <v>-3.1399999999999997E-2</v>
      </c>
      <c r="T9" s="12">
        <v>-4.3E-3</v>
      </c>
      <c r="U9" s="12">
        <v>-8.6E-3</v>
      </c>
      <c r="V9" s="12">
        <v>-1.72E-2</v>
      </c>
      <c r="W9" s="12">
        <v>-3.4299999999999997E-2</v>
      </c>
      <c r="X9" s="12">
        <v>-5.1299999999999998E-2</v>
      </c>
      <c r="Y9" s="12">
        <v>-6.8199999999999997E-2</v>
      </c>
      <c r="Z9" s="12">
        <v>-8.4900000000000003E-2</v>
      </c>
      <c r="AA9" s="12">
        <v>-0.10150000000000001</v>
      </c>
      <c r="AB9" s="12">
        <v>-0.1263</v>
      </c>
      <c r="AC9" s="12">
        <v>-0.16689999999999999</v>
      </c>
      <c r="AD9" s="12">
        <v>-0.2465</v>
      </c>
      <c r="AE9" s="12">
        <v>-0.39910000000000001</v>
      </c>
      <c r="AF9" s="12">
        <v>-0.54459999999999997</v>
      </c>
      <c r="AG9" s="12">
        <v>-0.75209999999999999</v>
      </c>
    </row>
    <row r="10" spans="1:33" x14ac:dyDescent="0.25">
      <c r="A10" s="25">
        <v>0.6</v>
      </c>
      <c r="B10" s="12">
        <v>0.9849</v>
      </c>
      <c r="C10" s="12">
        <v>9.2999999999999992E-3</v>
      </c>
      <c r="D10" s="12">
        <v>1.8599999999999998E-2</v>
      </c>
      <c r="E10" s="12">
        <v>3.7100000000000001E-2</v>
      </c>
      <c r="F10" s="12">
        <v>7.4099999999999999E-2</v>
      </c>
      <c r="G10" s="12">
        <v>0.1109</v>
      </c>
      <c r="H10" s="12">
        <v>0.14760000000000001</v>
      </c>
      <c r="I10" s="12">
        <v>0.1842</v>
      </c>
      <c r="J10" s="12">
        <v>0.22070000000000001</v>
      </c>
      <c r="K10" s="12">
        <v>0.27529999999999999</v>
      </c>
      <c r="L10" s="12">
        <v>0.36570000000000003</v>
      </c>
      <c r="M10" s="12">
        <v>0.54459999999999997</v>
      </c>
      <c r="N10" s="12">
        <v>0.89590000000000003</v>
      </c>
      <c r="O10" s="12">
        <v>1.2398</v>
      </c>
      <c r="P10" s="12">
        <v>1.744</v>
      </c>
      <c r="R10" s="25">
        <v>0.6</v>
      </c>
      <c r="S10" s="12">
        <v>-2.0500000000000001E-2</v>
      </c>
      <c r="T10" s="12">
        <v>-4.1000000000000003E-3</v>
      </c>
      <c r="U10" s="12">
        <v>-8.2000000000000007E-3</v>
      </c>
      <c r="V10" s="12">
        <v>-1.6400000000000001E-2</v>
      </c>
      <c r="W10" s="12">
        <v>-3.2599999999999997E-2</v>
      </c>
      <c r="X10" s="12">
        <v>-4.87E-2</v>
      </c>
      <c r="Y10" s="12">
        <v>-6.4600000000000005E-2</v>
      </c>
      <c r="Z10" s="12">
        <v>-8.0299999999999996E-2</v>
      </c>
      <c r="AA10" s="12">
        <v>-9.6000000000000002E-2</v>
      </c>
      <c r="AB10" s="12">
        <v>-0.1192</v>
      </c>
      <c r="AC10" s="12">
        <v>-0.15720000000000001</v>
      </c>
      <c r="AD10" s="12">
        <v>-0.23119999999999999</v>
      </c>
      <c r="AE10" s="12">
        <v>-0.37180000000000002</v>
      </c>
      <c r="AF10" s="12">
        <v>-0.50470000000000004</v>
      </c>
      <c r="AG10" s="12">
        <v>-0.69279999999999997</v>
      </c>
    </row>
    <row r="11" spans="1:33" x14ac:dyDescent="0.25">
      <c r="A11" s="25">
        <v>0.65</v>
      </c>
      <c r="B11" s="12">
        <v>0.98809999999999998</v>
      </c>
      <c r="C11" s="12">
        <v>0.93769999999999998</v>
      </c>
      <c r="D11" s="12">
        <v>1.78E-2</v>
      </c>
      <c r="E11" s="12">
        <v>3.56E-2</v>
      </c>
      <c r="F11" s="12">
        <v>7.0999999999999994E-2</v>
      </c>
      <c r="G11" s="12">
        <v>0.10630000000000001</v>
      </c>
      <c r="H11" s="12">
        <v>0.14149999999999999</v>
      </c>
      <c r="I11" s="12">
        <v>0.17649999999999999</v>
      </c>
      <c r="J11" s="12">
        <v>0.21129999999999999</v>
      </c>
      <c r="K11" s="12">
        <v>0.26340000000000002</v>
      </c>
      <c r="L11" s="12">
        <v>0.34949999999999998</v>
      </c>
      <c r="M11" s="12">
        <v>0.51970000000000005</v>
      </c>
      <c r="N11" s="12">
        <v>0.85260000000000002</v>
      </c>
      <c r="O11" s="12">
        <v>1.1773</v>
      </c>
      <c r="P11" s="12">
        <v>1.6518999999999999</v>
      </c>
      <c r="R11" s="25">
        <v>0.65</v>
      </c>
      <c r="S11" s="12">
        <v>-1.37E-2</v>
      </c>
      <c r="T11" s="12">
        <v>-7.7200000000000005E-2</v>
      </c>
      <c r="U11" s="12">
        <v>-7.7999999999999996E-3</v>
      </c>
      <c r="V11" s="12">
        <v>-1.5599999999999999E-2</v>
      </c>
      <c r="W11" s="12">
        <v>-3.09E-2</v>
      </c>
      <c r="X11" s="12">
        <v>-4.6100000000000002E-2</v>
      </c>
      <c r="Y11" s="12">
        <v>-6.1100000000000002E-2</v>
      </c>
      <c r="Z11" s="12">
        <v>-7.5899999999999995E-2</v>
      </c>
      <c r="AA11" s="12">
        <v>-9.06E-2</v>
      </c>
      <c r="AB11" s="12">
        <v>-0.11219999999999999</v>
      </c>
      <c r="AC11" s="12">
        <v>-0.14760000000000001</v>
      </c>
      <c r="AD11" s="12">
        <v>-0.216</v>
      </c>
      <c r="AE11" s="12">
        <v>-0.34470000000000001</v>
      </c>
      <c r="AF11" s="12">
        <v>-0.46529999999999999</v>
      </c>
      <c r="AG11" s="12">
        <v>-0.63460000000000005</v>
      </c>
    </row>
    <row r="12" spans="1:33" x14ac:dyDescent="0.25">
      <c r="A12" s="25">
        <v>0.7</v>
      </c>
      <c r="B12" s="12">
        <v>0.99039999999999995</v>
      </c>
      <c r="C12" s="12">
        <v>0.95040000000000002</v>
      </c>
      <c r="D12" s="12">
        <v>0.89580000000000004</v>
      </c>
      <c r="E12" s="12">
        <v>3.44E-2</v>
      </c>
      <c r="F12" s="12">
        <v>6.8699999999999997E-2</v>
      </c>
      <c r="G12" s="12">
        <v>0.1027</v>
      </c>
      <c r="H12" s="12">
        <v>0.1366</v>
      </c>
      <c r="I12" s="12">
        <v>0.17030000000000001</v>
      </c>
      <c r="J12" s="12">
        <v>0.20380000000000001</v>
      </c>
      <c r="K12" s="12">
        <v>0.25380000000000003</v>
      </c>
      <c r="L12" s="12">
        <v>0.33639999999999998</v>
      </c>
      <c r="M12" s="12">
        <v>0.49909999999999999</v>
      </c>
      <c r="N12" s="12">
        <v>0.81610000000000005</v>
      </c>
      <c r="O12" s="12">
        <v>1.1341000000000001</v>
      </c>
      <c r="P12" s="12">
        <v>1.5729</v>
      </c>
      <c r="R12" s="25">
        <v>0.7</v>
      </c>
      <c r="S12" s="12">
        <v>-9.2999999999999992E-3</v>
      </c>
      <c r="T12" s="12">
        <v>-5.0700000000000002E-2</v>
      </c>
      <c r="U12" s="12">
        <v>-0.11609999999999999</v>
      </c>
      <c r="V12" s="12">
        <v>-1.4800000000000001E-2</v>
      </c>
      <c r="W12" s="12">
        <v>-2.9399999999999999E-2</v>
      </c>
      <c r="X12" s="12">
        <v>-4.3799999999999999E-2</v>
      </c>
      <c r="Y12" s="12">
        <v>-5.79E-2</v>
      </c>
      <c r="Z12" s="12">
        <v>-7.1800000000000003E-2</v>
      </c>
      <c r="AA12" s="12">
        <v>-8.5500000000000007E-2</v>
      </c>
      <c r="AB12" s="12">
        <v>-0.1057</v>
      </c>
      <c r="AC12" s="12">
        <v>-0.13850000000000001</v>
      </c>
      <c r="AD12" s="12">
        <v>-0.20130000000000001</v>
      </c>
      <c r="AE12" s="12">
        <v>-0.31840000000000002</v>
      </c>
      <c r="AF12" s="12">
        <v>-0.42699999999999999</v>
      </c>
      <c r="AG12" s="12">
        <v>-0.57850000000000001</v>
      </c>
    </row>
    <row r="13" spans="1:33" x14ac:dyDescent="0.25">
      <c r="A13" s="25">
        <v>0.75</v>
      </c>
      <c r="B13" s="12">
        <v>0.99219999999999997</v>
      </c>
      <c r="C13" s="12">
        <v>0.95979999999999999</v>
      </c>
      <c r="D13" s="12">
        <v>0.91649999999999998</v>
      </c>
      <c r="E13" s="12">
        <v>3.3599999999999998E-2</v>
      </c>
      <c r="F13" s="12">
        <v>6.7000000000000004E-2</v>
      </c>
      <c r="G13" s="12">
        <v>0.10009999999999999</v>
      </c>
      <c r="H13" s="12">
        <v>0.13300000000000001</v>
      </c>
      <c r="I13" s="12">
        <v>0.1656</v>
      </c>
      <c r="J13" s="12">
        <v>0.1981</v>
      </c>
      <c r="K13" s="12">
        <v>0.24640000000000001</v>
      </c>
      <c r="L13" s="12">
        <v>0.32600000000000001</v>
      </c>
      <c r="M13" s="12">
        <v>0.48230000000000001</v>
      </c>
      <c r="N13" s="12">
        <v>0.78539999999999999</v>
      </c>
      <c r="O13" s="12">
        <v>1.0787</v>
      </c>
      <c r="P13" s="12">
        <v>1.5046999999999999</v>
      </c>
      <c r="R13" s="25">
        <v>0.75</v>
      </c>
      <c r="S13" s="12">
        <v>-6.4000000000000003E-3</v>
      </c>
      <c r="T13" s="12">
        <v>-3.39E-2</v>
      </c>
      <c r="U13" s="12">
        <v>-7.4399999999999994E-2</v>
      </c>
      <c r="V13" s="12">
        <v>-1.43E-2</v>
      </c>
      <c r="W13" s="12">
        <v>-2.8199999999999999E-2</v>
      </c>
      <c r="X13" s="12">
        <v>-4.1700000000000001E-2</v>
      </c>
      <c r="Y13" s="12">
        <v>-5.5E-2</v>
      </c>
      <c r="Z13" s="12">
        <v>-6.8099999999999994E-2</v>
      </c>
      <c r="AA13" s="12">
        <v>-8.0799999999999997E-2</v>
      </c>
      <c r="AB13" s="12">
        <v>-9.9599999999999994E-2</v>
      </c>
      <c r="AC13" s="12">
        <v>-0.1298</v>
      </c>
      <c r="AD13" s="12">
        <v>-0.18720000000000001</v>
      </c>
      <c r="AE13" s="12">
        <v>-0.29289999999999999</v>
      </c>
      <c r="AF13" s="12">
        <v>-0.3901</v>
      </c>
      <c r="AG13" s="12">
        <v>-0.52500000000000002</v>
      </c>
    </row>
    <row r="14" spans="1:33" x14ac:dyDescent="0.25">
      <c r="A14" s="25">
        <v>0.8</v>
      </c>
      <c r="B14" s="12">
        <v>0.99350000000000005</v>
      </c>
      <c r="C14" s="12">
        <v>0.96689999999999998</v>
      </c>
      <c r="D14" s="12">
        <v>0.93189999999999995</v>
      </c>
      <c r="E14" s="12">
        <v>0.85389999999999999</v>
      </c>
      <c r="F14" s="12">
        <v>6.6100000000000006E-2</v>
      </c>
      <c r="G14" s="12">
        <v>9.8500000000000004E-2</v>
      </c>
      <c r="H14" s="12">
        <v>0.13070000000000001</v>
      </c>
      <c r="I14" s="12">
        <v>0.16259999999999999</v>
      </c>
      <c r="J14" s="12">
        <v>0.19420000000000001</v>
      </c>
      <c r="K14" s="12">
        <v>0.24110000000000001</v>
      </c>
      <c r="L14" s="12">
        <v>0.31819999999999998</v>
      </c>
      <c r="M14" s="12">
        <v>0.46899999999999997</v>
      </c>
      <c r="N14" s="12">
        <v>0.75980000000000003</v>
      </c>
      <c r="O14" s="12">
        <v>1.04</v>
      </c>
      <c r="P14" s="12">
        <v>1.4456</v>
      </c>
      <c r="R14" s="25">
        <v>0.8</v>
      </c>
      <c r="S14" s="12">
        <v>-4.4000000000000003E-3</v>
      </c>
      <c r="T14" s="12">
        <v>-2.2800000000000001E-2</v>
      </c>
      <c r="U14" s="12">
        <v>-4.87E-2</v>
      </c>
      <c r="V14" s="12">
        <v>-0.11600000000000001</v>
      </c>
      <c r="W14" s="12">
        <v>-2.7199999999999998E-2</v>
      </c>
      <c r="X14" s="12">
        <v>-4.0099999999999997E-2</v>
      </c>
      <c r="Y14" s="12">
        <v>-5.2600000000000001E-2</v>
      </c>
      <c r="Z14" s="12">
        <v>-6.4799999999999996E-2</v>
      </c>
      <c r="AA14" s="12">
        <v>-7.6700000000000004E-2</v>
      </c>
      <c r="AB14" s="12">
        <v>-9.4E-2</v>
      </c>
      <c r="AC14" s="12">
        <v>-0.1217</v>
      </c>
      <c r="AD14" s="12">
        <v>-0.1736</v>
      </c>
      <c r="AE14" s="12">
        <v>-0.26819999999999999</v>
      </c>
      <c r="AF14" s="12">
        <v>-0.35449999999999998</v>
      </c>
      <c r="AG14" s="12">
        <v>-0.47399999999999998</v>
      </c>
    </row>
    <row r="15" spans="1:33" x14ac:dyDescent="0.25">
      <c r="A15" s="25">
        <v>0.85</v>
      </c>
      <c r="B15" s="12">
        <v>0.99460000000000004</v>
      </c>
      <c r="C15" s="12">
        <v>0.97250000000000003</v>
      </c>
      <c r="D15" s="12">
        <v>0.94359999999999999</v>
      </c>
      <c r="E15" s="12">
        <v>0.88100000000000001</v>
      </c>
      <c r="F15" s="12">
        <v>6.6100000000000006E-2</v>
      </c>
      <c r="G15" s="12">
        <v>9.8299999999999998E-2</v>
      </c>
      <c r="H15" s="12">
        <v>0.13009999999999999</v>
      </c>
      <c r="I15" s="12">
        <v>0.16139999999999999</v>
      </c>
      <c r="J15" s="12">
        <v>0.19239999999999999</v>
      </c>
      <c r="K15" s="12">
        <v>0.2382</v>
      </c>
      <c r="L15" s="12">
        <v>0.31319999999999998</v>
      </c>
      <c r="M15" s="12">
        <v>0.45910000000000001</v>
      </c>
      <c r="N15" s="12">
        <v>0.38800000000000001</v>
      </c>
      <c r="O15" s="12">
        <v>1.0071000000000001</v>
      </c>
      <c r="P15" s="12">
        <v>1.3943000000000001</v>
      </c>
      <c r="R15" s="25">
        <v>0.85</v>
      </c>
      <c r="S15" s="12">
        <v>-2.8999999999999998E-3</v>
      </c>
      <c r="T15" s="27">
        <v>-1.52E-2</v>
      </c>
      <c r="U15" s="12">
        <v>-3.1899999999999998E-2</v>
      </c>
      <c r="V15" s="12">
        <v>-7.1499999999999994E-2</v>
      </c>
      <c r="W15" s="12">
        <v>-2.6800000000000001E-2</v>
      </c>
      <c r="X15" s="12">
        <v>-3.9100000000000003E-2</v>
      </c>
      <c r="Y15" s="12">
        <v>-5.0900000000000001E-2</v>
      </c>
      <c r="Z15" s="12">
        <v>-6.2199999999999998E-2</v>
      </c>
      <c r="AA15" s="12">
        <v>-7.3099999999999998E-2</v>
      </c>
      <c r="AB15" s="12">
        <v>-8.8800000000000004E-2</v>
      </c>
      <c r="AC15" s="12">
        <v>-0.1138</v>
      </c>
      <c r="AD15" s="12">
        <v>-0.16020000000000001</v>
      </c>
      <c r="AE15" s="12">
        <v>-0.24390000000000001</v>
      </c>
      <c r="AF15" s="12">
        <v>-0.3201</v>
      </c>
      <c r="AG15" s="12">
        <v>-0.4254</v>
      </c>
    </row>
    <row r="16" spans="1:33" x14ac:dyDescent="0.25">
      <c r="A16" s="25">
        <v>0.9</v>
      </c>
      <c r="B16" s="12">
        <v>0.99539999999999995</v>
      </c>
      <c r="C16" s="12">
        <v>0.9768</v>
      </c>
      <c r="D16" s="12">
        <v>0.95279999999999998</v>
      </c>
      <c r="E16" s="12">
        <v>0.90149999999999997</v>
      </c>
      <c r="F16" s="12">
        <v>0.78</v>
      </c>
      <c r="G16" s="12">
        <v>0.10059999999999999</v>
      </c>
      <c r="H16" s="12">
        <v>0.1321</v>
      </c>
      <c r="I16" s="12">
        <v>0.16300000000000001</v>
      </c>
      <c r="J16" s="12">
        <v>0.19350000000000001</v>
      </c>
      <c r="K16" s="12">
        <v>0.23830000000000001</v>
      </c>
      <c r="L16" s="12">
        <v>0.31140000000000001</v>
      </c>
      <c r="M16" s="12">
        <v>0.45269999999999999</v>
      </c>
      <c r="N16" s="12">
        <v>0.72199999999999998</v>
      </c>
      <c r="O16" s="12">
        <v>0.97929999999999995</v>
      </c>
      <c r="P16" s="12">
        <v>1.3495999999999999</v>
      </c>
      <c r="R16" s="25">
        <v>0.9</v>
      </c>
      <c r="S16" s="12">
        <v>-1.9E-3</v>
      </c>
      <c r="T16" s="12">
        <v>-9.9000000000000008E-3</v>
      </c>
      <c r="U16" s="12">
        <v>-2.0500000000000001E-2</v>
      </c>
      <c r="V16" s="12">
        <v>-4.4200000000000003E-2</v>
      </c>
      <c r="W16" s="12">
        <v>-0.1118</v>
      </c>
      <c r="X16" s="12">
        <v>-3.9600000000000003E-2</v>
      </c>
      <c r="Y16" s="12">
        <v>-5.0299999999999997E-2</v>
      </c>
      <c r="Z16" s="12">
        <v>-6.0400000000000002E-2</v>
      </c>
      <c r="AA16" s="12">
        <v>-7.0099999999999996E-2</v>
      </c>
      <c r="AB16" s="12">
        <v>-8.4000000000000005E-2</v>
      </c>
      <c r="AC16" s="12">
        <v>-0.10589999999999999</v>
      </c>
      <c r="AD16" s="12">
        <v>-0.14630000000000001</v>
      </c>
      <c r="AE16" s="12">
        <v>-0.2195</v>
      </c>
      <c r="AF16" s="12">
        <v>-0.28620000000000001</v>
      </c>
      <c r="AG16" s="12">
        <v>-0.37880000000000003</v>
      </c>
    </row>
    <row r="17" spans="1:33" x14ac:dyDescent="0.25">
      <c r="A17" s="25">
        <v>0.93</v>
      </c>
      <c r="B17" s="12">
        <v>0.99590000000000001</v>
      </c>
      <c r="C17" s="12">
        <v>0.97899999999999998</v>
      </c>
      <c r="D17" s="12">
        <v>0.95730000000000004</v>
      </c>
      <c r="E17" s="12">
        <v>0.91149999999999998</v>
      </c>
      <c r="F17" s="12">
        <v>0.80589999999999995</v>
      </c>
      <c r="G17" s="12">
        <v>0.66349999999999998</v>
      </c>
      <c r="H17" s="12">
        <v>0.13589999999999999</v>
      </c>
      <c r="I17" s="12">
        <v>0.16639999999999999</v>
      </c>
      <c r="J17" s="12">
        <v>0.1963</v>
      </c>
      <c r="K17" s="12">
        <v>0.24049999999999999</v>
      </c>
      <c r="L17" s="12">
        <v>0.31219999999999998</v>
      </c>
      <c r="M17" s="12">
        <v>0.45069999999999999</v>
      </c>
      <c r="N17" s="12">
        <v>0.71379999999999999</v>
      </c>
      <c r="O17" s="12">
        <v>0.96479999999999999</v>
      </c>
      <c r="P17" s="12">
        <v>1.3257000000000001</v>
      </c>
      <c r="R17" s="25">
        <v>0.93</v>
      </c>
      <c r="S17" s="12">
        <v>-1.5E-3</v>
      </c>
      <c r="T17" s="12">
        <v>-7.4999999999999997E-3</v>
      </c>
      <c r="U17" s="12">
        <v>-1.54E-2</v>
      </c>
      <c r="V17" s="12">
        <v>-3.2599999999999997E-2</v>
      </c>
      <c r="W17" s="12">
        <v>-7.6300000000000007E-2</v>
      </c>
      <c r="X17" s="12">
        <v>-0.16619999999999999</v>
      </c>
      <c r="Y17" s="12">
        <v>-5.1400000000000001E-2</v>
      </c>
      <c r="Z17" s="12">
        <v>-6.0199999999999997E-2</v>
      </c>
      <c r="AA17" s="12">
        <v>-6.8699999999999997E-2</v>
      </c>
      <c r="AB17" s="12">
        <v>-8.1000000000000003E-2</v>
      </c>
      <c r="AC17" s="12">
        <v>-0.1007</v>
      </c>
      <c r="AD17" s="12">
        <v>-0.13739999999999999</v>
      </c>
      <c r="AE17" s="12">
        <v>-0.20449999999999999</v>
      </c>
      <c r="AF17" s="12">
        <v>-0.2661</v>
      </c>
      <c r="AG17" s="12">
        <v>-0.35160000000000002</v>
      </c>
    </row>
    <row r="18" spans="1:33" x14ac:dyDescent="0.25">
      <c r="A18" s="25">
        <v>0.95</v>
      </c>
      <c r="B18" s="12">
        <v>0.99609999999999999</v>
      </c>
      <c r="C18" s="12">
        <v>0.98029999999999995</v>
      </c>
      <c r="D18" s="12">
        <v>0.96</v>
      </c>
      <c r="E18" s="12">
        <v>0.91739999999999999</v>
      </c>
      <c r="F18" s="12">
        <v>0.8206</v>
      </c>
      <c r="G18" s="12">
        <v>0.69669999999999999</v>
      </c>
      <c r="H18" s="12">
        <v>0.14099999999999999</v>
      </c>
      <c r="I18" s="12">
        <v>0.17050000000000001</v>
      </c>
      <c r="J18" s="12">
        <v>0.19980000000000001</v>
      </c>
      <c r="K18" s="12">
        <v>0.2432</v>
      </c>
      <c r="L18" s="12">
        <v>0.31380000000000002</v>
      </c>
      <c r="M18" s="12">
        <v>0.4501</v>
      </c>
      <c r="N18" s="12">
        <v>0.70920000000000005</v>
      </c>
      <c r="O18" s="12">
        <v>0.95609999999999995</v>
      </c>
      <c r="P18" s="12">
        <v>1.3108</v>
      </c>
      <c r="R18" s="25">
        <v>0.95</v>
      </c>
      <c r="S18" s="12">
        <v>-1.1999999999999999E-3</v>
      </c>
      <c r="T18" s="12">
        <v>-6.1999999999999998E-3</v>
      </c>
      <c r="U18" s="12">
        <v>-1.26E-2</v>
      </c>
      <c r="V18" s="12">
        <v>-2.6200000000000001E-2</v>
      </c>
      <c r="W18" s="12">
        <v>-5.8900000000000001E-2</v>
      </c>
      <c r="X18" s="12">
        <v>-0.111</v>
      </c>
      <c r="Y18" s="12">
        <v>-5.3999999999999999E-2</v>
      </c>
      <c r="Z18" s="12">
        <v>-6.0699999999999997E-2</v>
      </c>
      <c r="AA18" s="12">
        <v>-6.7799999999999999E-2</v>
      </c>
      <c r="AB18" s="12">
        <v>-7.8799999999999995E-2</v>
      </c>
      <c r="AC18" s="12">
        <v>-9.6699999999999994E-2</v>
      </c>
      <c r="AD18" s="12">
        <v>-0.13100000000000001</v>
      </c>
      <c r="AE18" s="12">
        <v>-0.1943</v>
      </c>
      <c r="AF18" s="12">
        <v>-0.25259999999999999</v>
      </c>
      <c r="AG18" s="12">
        <v>-0.33389999999999997</v>
      </c>
    </row>
    <row r="19" spans="1:33" x14ac:dyDescent="0.25">
      <c r="A19" s="25">
        <v>0.97</v>
      </c>
      <c r="B19" s="12">
        <v>0.99629999999999996</v>
      </c>
      <c r="C19" s="12">
        <v>0.98150000000000004</v>
      </c>
      <c r="D19" s="12">
        <v>0.96250000000000002</v>
      </c>
      <c r="E19" s="12">
        <v>0.92269999999999996</v>
      </c>
      <c r="F19" s="12">
        <v>0.83379999999999999</v>
      </c>
      <c r="G19" s="12">
        <v>0.72399999999999998</v>
      </c>
      <c r="H19" s="12">
        <v>0.55800000000000005</v>
      </c>
      <c r="I19" s="12">
        <v>0.1779</v>
      </c>
      <c r="J19" s="12">
        <v>0.20549999999999999</v>
      </c>
      <c r="K19" s="12">
        <v>0.24740000000000001</v>
      </c>
      <c r="L19" s="12">
        <v>0.31640000000000001</v>
      </c>
      <c r="M19" s="12">
        <v>0.45040000000000002</v>
      </c>
      <c r="N19" s="12">
        <v>0.70520000000000005</v>
      </c>
      <c r="O19" s="12">
        <v>0.94799999999999995</v>
      </c>
      <c r="P19" s="12">
        <v>1.2968</v>
      </c>
      <c r="R19" s="25">
        <v>0.97</v>
      </c>
      <c r="S19" s="12">
        <v>-1E-3</v>
      </c>
      <c r="T19" s="12">
        <v>-5.0000000000000001E-3</v>
      </c>
      <c r="U19" s="12">
        <v>-1.01E-2</v>
      </c>
      <c r="V19" s="12">
        <v>-2.0799999999999999E-2</v>
      </c>
      <c r="W19" s="12">
        <v>-4.4999999999999998E-2</v>
      </c>
      <c r="X19" s="12">
        <v>-7.6999999999999999E-2</v>
      </c>
      <c r="Y19" s="12">
        <v>-0.16470000000000001</v>
      </c>
      <c r="Z19" s="12">
        <v>-6.2300000000000001E-2</v>
      </c>
      <c r="AA19" s="12">
        <v>-6.6900000000000001E-2</v>
      </c>
      <c r="AB19" s="12">
        <v>-7.5899999999999995E-2</v>
      </c>
      <c r="AC19" s="12">
        <v>-9.2100000000000001E-2</v>
      </c>
      <c r="AD19" s="12">
        <v>-0.124</v>
      </c>
      <c r="AE19" s="12">
        <v>-0.1837</v>
      </c>
      <c r="AF19" s="12">
        <v>-0.23910000000000001</v>
      </c>
      <c r="AG19" s="12">
        <v>-0.31630000000000003</v>
      </c>
    </row>
    <row r="20" spans="1:33" x14ac:dyDescent="0.25">
      <c r="A20" s="25">
        <v>0.98</v>
      </c>
      <c r="B20" s="12">
        <v>0.99650000000000005</v>
      </c>
      <c r="C20" s="12">
        <v>0.98209999999999997</v>
      </c>
      <c r="D20" s="12">
        <v>0.9637</v>
      </c>
      <c r="E20" s="12">
        <v>0.92530000000000001</v>
      </c>
      <c r="F20" s="12">
        <v>0.83979999999999999</v>
      </c>
      <c r="G20" s="12">
        <v>0.73599999999999999</v>
      </c>
      <c r="H20" s="12">
        <v>0.5887</v>
      </c>
      <c r="I20" s="12">
        <v>0.18440000000000001</v>
      </c>
      <c r="J20" s="12">
        <v>0.2097</v>
      </c>
      <c r="K20" s="12">
        <v>0.25030000000000002</v>
      </c>
      <c r="L20" s="12">
        <v>0.31819999999999998</v>
      </c>
      <c r="M20" s="12">
        <v>0.45079999999999998</v>
      </c>
      <c r="N20" s="12">
        <v>0.70350000000000001</v>
      </c>
      <c r="O20" s="12">
        <v>0.94420000000000004</v>
      </c>
      <c r="P20" s="12">
        <v>1.2901</v>
      </c>
      <c r="R20" s="25">
        <v>0.98</v>
      </c>
      <c r="S20" s="12">
        <v>-8.9999999999999998E-4</v>
      </c>
      <c r="T20" s="12">
        <v>-4.4000000000000003E-3</v>
      </c>
      <c r="U20" s="12">
        <v>-8.9999999999999993E-3</v>
      </c>
      <c r="V20" s="12">
        <v>-1.84E-2</v>
      </c>
      <c r="W20" s="12">
        <v>-3.9E-2</v>
      </c>
      <c r="X20" s="12">
        <v>-6.4100000000000004E-2</v>
      </c>
      <c r="Y20" s="12">
        <v>-0.11</v>
      </c>
      <c r="Z20" s="12">
        <v>-6.4100000000000004E-2</v>
      </c>
      <c r="AA20" s="12">
        <v>-6.6100000000000006E-2</v>
      </c>
      <c r="AB20" s="12">
        <v>-7.3999999999999996E-2</v>
      </c>
      <c r="AC20" s="12">
        <v>-8.9300000000000004E-2</v>
      </c>
      <c r="AD20" s="12">
        <v>-0.1202</v>
      </c>
      <c r="AE20" s="12">
        <v>-0.17829999999999999</v>
      </c>
      <c r="AF20" s="12">
        <v>-0.23219999999999999</v>
      </c>
      <c r="AG20" s="12">
        <v>-0.3075</v>
      </c>
    </row>
    <row r="21" spans="1:33" x14ac:dyDescent="0.25">
      <c r="A21" s="25">
        <v>0.99</v>
      </c>
      <c r="B21" s="12">
        <v>0.99660000000000004</v>
      </c>
      <c r="C21" s="12">
        <v>0.98260000000000003</v>
      </c>
      <c r="D21" s="12">
        <v>0.96479999999999999</v>
      </c>
      <c r="E21" s="12">
        <v>0.92769999999999997</v>
      </c>
      <c r="F21" s="12">
        <v>0.84550000000000003</v>
      </c>
      <c r="G21" s="12">
        <v>0.74709999999999999</v>
      </c>
      <c r="H21" s="12">
        <v>0.61380000000000001</v>
      </c>
      <c r="I21" s="12">
        <v>0.19589999999999999</v>
      </c>
      <c r="J21" s="12">
        <v>0.21540000000000001</v>
      </c>
      <c r="K21" s="12">
        <v>0.25380000000000003</v>
      </c>
      <c r="L21" s="12">
        <v>0.32040000000000002</v>
      </c>
      <c r="M21" s="12">
        <v>0.45140000000000002</v>
      </c>
      <c r="N21" s="12">
        <v>0.70179999999999998</v>
      </c>
      <c r="O21" s="12">
        <v>0.94059999999999999</v>
      </c>
      <c r="P21" s="12">
        <v>1.2835000000000001</v>
      </c>
      <c r="R21" s="25">
        <v>0.99</v>
      </c>
      <c r="S21" s="12">
        <v>-8.0000000000000004E-4</v>
      </c>
      <c r="T21" s="12">
        <v>-3.8999999999999998E-3</v>
      </c>
      <c r="U21" s="12">
        <v>-7.9000000000000008E-3</v>
      </c>
      <c r="V21" s="12">
        <v>-1.61E-2</v>
      </c>
      <c r="W21" s="12">
        <v>-3.3500000000000002E-2</v>
      </c>
      <c r="X21" s="12">
        <v>-5.3100000000000001E-2</v>
      </c>
      <c r="Y21" s="12">
        <v>-7.9600000000000004E-2</v>
      </c>
      <c r="Z21" s="12">
        <v>-6.8000000000000005E-2</v>
      </c>
      <c r="AA21" s="12">
        <v>-6.4600000000000005E-2</v>
      </c>
      <c r="AB21" s="12">
        <v>-7.1499999999999994E-2</v>
      </c>
      <c r="AC21" s="12">
        <v>-8.6099999999999996E-2</v>
      </c>
      <c r="AD21" s="12">
        <v>-0.1162</v>
      </c>
      <c r="AE21" s="12">
        <v>-0.17280000000000001</v>
      </c>
      <c r="AF21" s="12">
        <v>-0.22539999999999999</v>
      </c>
      <c r="AG21" s="12">
        <v>-0.2989</v>
      </c>
    </row>
    <row r="22" spans="1:33" x14ac:dyDescent="0.25">
      <c r="A22" s="25">
        <v>1</v>
      </c>
      <c r="B22" s="12">
        <v>0.99670000000000003</v>
      </c>
      <c r="C22" s="12">
        <v>0.98319999999999996</v>
      </c>
      <c r="D22" s="12">
        <v>0.96589999999999998</v>
      </c>
      <c r="E22" s="12">
        <v>0.93</v>
      </c>
      <c r="F22" s="12">
        <v>0.85089999999999999</v>
      </c>
      <c r="G22" s="12">
        <v>0.75739999999999996</v>
      </c>
      <c r="H22" s="12">
        <v>0.63549999999999995</v>
      </c>
      <c r="I22" s="12">
        <v>0.29010000000000002</v>
      </c>
      <c r="J22" s="12">
        <v>0.22370000000000001</v>
      </c>
      <c r="K22" s="12">
        <v>0.25829999999999997</v>
      </c>
      <c r="L22" s="12">
        <v>0.32290000000000002</v>
      </c>
      <c r="M22" s="12">
        <v>0.45219999999999999</v>
      </c>
      <c r="N22" s="12">
        <v>0.70040000000000002</v>
      </c>
      <c r="O22" s="12">
        <v>0.93720000000000003</v>
      </c>
      <c r="P22" s="12">
        <v>1.2771999999999999</v>
      </c>
      <c r="R22" s="25">
        <v>1</v>
      </c>
      <c r="S22" s="12">
        <v>-6.9999999999999999E-4</v>
      </c>
      <c r="T22" s="12">
        <v>-3.3999999999999998E-3</v>
      </c>
      <c r="U22" s="12">
        <v>-6.8999999999999999E-3</v>
      </c>
      <c r="V22" s="12">
        <v>-1.4E-2</v>
      </c>
      <c r="W22" s="12">
        <v>-2.8500000000000001E-2</v>
      </c>
      <c r="X22" s="12">
        <v>-4.3499999999999997E-2</v>
      </c>
      <c r="Y22" s="12">
        <v>-5.8799999999999998E-2</v>
      </c>
      <c r="Z22" s="12">
        <v>-8.7900000000000006E-2</v>
      </c>
      <c r="AA22" s="12">
        <v>-6.0900000000000003E-2</v>
      </c>
      <c r="AB22" s="12">
        <v>-6.7799999999999999E-2</v>
      </c>
      <c r="AC22" s="12">
        <v>-8.2400000000000001E-2</v>
      </c>
      <c r="AD22" s="12">
        <v>-0.1118</v>
      </c>
      <c r="AE22" s="12">
        <v>-0.16719999999999999</v>
      </c>
      <c r="AF22" s="12">
        <v>-0.2185</v>
      </c>
      <c r="AG22" s="12">
        <v>-0.29020000000000001</v>
      </c>
    </row>
    <row r="23" spans="1:33" x14ac:dyDescent="0.25">
      <c r="A23" s="25">
        <v>1.01</v>
      </c>
      <c r="B23" s="12">
        <v>0.99680000000000002</v>
      </c>
      <c r="C23" s="12">
        <v>0.98370000000000002</v>
      </c>
      <c r="D23" s="12">
        <v>0.96689999999999998</v>
      </c>
      <c r="E23" s="12">
        <v>0.93220000000000003</v>
      </c>
      <c r="F23" s="12">
        <v>0.85609999999999997</v>
      </c>
      <c r="G23" s="12">
        <v>0.7671</v>
      </c>
      <c r="H23" s="12">
        <v>0.6542</v>
      </c>
      <c r="I23" s="12">
        <v>0.46479999999999999</v>
      </c>
      <c r="J23" s="12">
        <v>0.23699999999999999</v>
      </c>
      <c r="K23" s="12">
        <v>0.26400000000000001</v>
      </c>
      <c r="L23" s="12">
        <v>0.32600000000000001</v>
      </c>
      <c r="M23" s="12">
        <v>0.45329999999999998</v>
      </c>
      <c r="N23" s="12">
        <v>0.69910000000000005</v>
      </c>
      <c r="O23" s="12">
        <v>0.93389999999999995</v>
      </c>
      <c r="P23" s="12">
        <v>1.2709999999999999</v>
      </c>
      <c r="R23" s="25">
        <v>1.01</v>
      </c>
      <c r="S23" s="12">
        <v>-5.9999999999999995E-4</v>
      </c>
      <c r="T23" s="12">
        <v>-3.0000000000000001E-3</v>
      </c>
      <c r="U23" s="12">
        <v>-6.0000000000000001E-3</v>
      </c>
      <c r="V23" s="12">
        <v>-1.2E-2</v>
      </c>
      <c r="W23" s="12">
        <v>-2.4E-2</v>
      </c>
      <c r="X23" s="12">
        <v>-3.5099999999999999E-2</v>
      </c>
      <c r="Y23" s="12">
        <v>-4.2900000000000001E-2</v>
      </c>
      <c r="Z23" s="12">
        <v>-2.23E-2</v>
      </c>
      <c r="AA23" s="12">
        <v>-4.7300000000000002E-2</v>
      </c>
      <c r="AB23" s="12">
        <v>-6.2100000000000002E-2</v>
      </c>
      <c r="AC23" s="12">
        <v>-7.7799999999999994E-2</v>
      </c>
      <c r="AD23" s="12">
        <v>-0.1072</v>
      </c>
      <c r="AE23" s="12">
        <v>-0.1615</v>
      </c>
      <c r="AF23" s="12">
        <v>-0.21160000000000001</v>
      </c>
      <c r="AG23" s="12">
        <v>-0.28160000000000002</v>
      </c>
    </row>
    <row r="24" spans="1:33" x14ac:dyDescent="0.25">
      <c r="A24" s="25">
        <v>1.02</v>
      </c>
      <c r="B24" s="12">
        <v>0.99690000000000001</v>
      </c>
      <c r="C24" s="12">
        <v>0.98419999999999996</v>
      </c>
      <c r="D24" s="12">
        <v>0.96789999999999998</v>
      </c>
      <c r="E24" s="12">
        <v>0.93430000000000002</v>
      </c>
      <c r="F24" s="12">
        <v>0.86099999999999999</v>
      </c>
      <c r="G24" s="12">
        <v>0.77610000000000001</v>
      </c>
      <c r="H24" s="12">
        <v>0.67100000000000004</v>
      </c>
      <c r="I24" s="12">
        <v>0.51459999999999995</v>
      </c>
      <c r="J24" s="12">
        <v>0.26290000000000002</v>
      </c>
      <c r="K24" s="12">
        <v>0.27150000000000002</v>
      </c>
      <c r="L24" s="12">
        <v>0.32969999999999999</v>
      </c>
      <c r="M24" s="12">
        <v>0.45469999999999999</v>
      </c>
      <c r="N24" s="12">
        <v>0.69799999999999995</v>
      </c>
      <c r="O24" s="12">
        <v>0.93069999999999997</v>
      </c>
      <c r="P24" s="12">
        <v>1.2649999999999999</v>
      </c>
      <c r="R24" s="25">
        <v>1.02</v>
      </c>
      <c r="S24" s="12">
        <v>-5.0000000000000001E-4</v>
      </c>
      <c r="T24" s="12">
        <v>-2.5999999999999999E-3</v>
      </c>
      <c r="U24" s="12">
        <v>-5.1000000000000004E-3</v>
      </c>
      <c r="V24" s="12">
        <v>-1.0200000000000001E-2</v>
      </c>
      <c r="W24" s="12">
        <v>-1.9800000000000002E-2</v>
      </c>
      <c r="X24" s="12">
        <v>-2.7699999999999999E-2</v>
      </c>
      <c r="Y24" s="12">
        <v>-3.0300000000000001E-2</v>
      </c>
      <c r="Z24" s="12">
        <v>-6.1999999999999998E-3</v>
      </c>
      <c r="AA24" s="12">
        <v>-2.2700000000000001E-2</v>
      </c>
      <c r="AB24" s="12">
        <v>-5.2400000000000002E-2</v>
      </c>
      <c r="AC24" s="12">
        <v>-7.22E-2</v>
      </c>
      <c r="AD24" s="12">
        <v>-0.1021</v>
      </c>
      <c r="AE24" s="12">
        <v>-0.15559999999999999</v>
      </c>
      <c r="AF24" s="12">
        <v>-0.20469999999999999</v>
      </c>
      <c r="AG24" s="12">
        <v>-0.27310000000000001</v>
      </c>
    </row>
    <row r="25" spans="1:33" x14ac:dyDescent="0.25">
      <c r="A25" s="25">
        <v>1.05</v>
      </c>
      <c r="B25" s="12">
        <v>0.99709999999999999</v>
      </c>
      <c r="C25" s="12">
        <v>0.98550000000000004</v>
      </c>
      <c r="D25" s="12">
        <v>0.97070000000000001</v>
      </c>
      <c r="E25" s="12">
        <v>0.94010000000000005</v>
      </c>
      <c r="F25" s="12">
        <v>0.87429999999999997</v>
      </c>
      <c r="G25" s="12">
        <v>0.80020000000000002</v>
      </c>
      <c r="H25" s="12">
        <v>0.71299999999999997</v>
      </c>
      <c r="I25" s="12">
        <v>0.60260000000000002</v>
      </c>
      <c r="J25" s="12">
        <v>0.44369999999999998</v>
      </c>
      <c r="K25" s="12">
        <v>0.31309999999999999</v>
      </c>
      <c r="L25" s="12">
        <v>0.34520000000000001</v>
      </c>
      <c r="M25" s="12">
        <v>0.46039999999999998</v>
      </c>
      <c r="N25" s="12">
        <v>0.6956</v>
      </c>
      <c r="O25" s="12">
        <v>0.92220000000000002</v>
      </c>
      <c r="P25" s="12">
        <v>1.2481</v>
      </c>
      <c r="R25" s="25">
        <v>1.05</v>
      </c>
      <c r="S25" s="12">
        <v>-2.9999999999999997E-4</v>
      </c>
      <c r="T25" s="12">
        <v>-1.5E-3</v>
      </c>
      <c r="U25" s="12">
        <v>-2.8999999999999998E-3</v>
      </c>
      <c r="V25" s="12">
        <v>-5.4000000000000003E-3</v>
      </c>
      <c r="W25" s="12">
        <v>-9.1999999999999998E-3</v>
      </c>
      <c r="X25" s="12">
        <v>-9.7000000000000003E-3</v>
      </c>
      <c r="Y25" s="12">
        <v>-3.2000000000000002E-3</v>
      </c>
      <c r="Z25" s="12">
        <v>2.1999999999999999E-2</v>
      </c>
      <c r="AA25" s="12">
        <v>0.10589999999999999</v>
      </c>
      <c r="AB25" s="12">
        <v>4.5100000000000001E-2</v>
      </c>
      <c r="AC25" s="12">
        <v>-4.3200000000000002E-2</v>
      </c>
      <c r="AD25" s="12">
        <v>-8.3799999999999999E-2</v>
      </c>
      <c r="AE25" s="12">
        <v>-0.13700000000000001</v>
      </c>
      <c r="AF25" s="12">
        <v>-0.1835</v>
      </c>
      <c r="AG25" s="12">
        <v>-0.24759999999999999</v>
      </c>
    </row>
    <row r="26" spans="1:33" x14ac:dyDescent="0.25">
      <c r="A26" s="25">
        <v>1.1000000000000001</v>
      </c>
      <c r="B26" s="12">
        <v>0.99750000000000005</v>
      </c>
      <c r="C26" s="12">
        <v>0.98740000000000006</v>
      </c>
      <c r="D26" s="12">
        <v>0.97470000000000001</v>
      </c>
      <c r="E26" s="12">
        <v>0.94850000000000001</v>
      </c>
      <c r="F26" s="12">
        <v>0.89300000000000002</v>
      </c>
      <c r="G26" s="12">
        <v>0.83230000000000004</v>
      </c>
      <c r="H26" s="12">
        <v>0.76490000000000002</v>
      </c>
      <c r="I26" s="12">
        <v>0.68799999999999994</v>
      </c>
      <c r="J26" s="12">
        <v>0.59840000000000004</v>
      </c>
      <c r="K26" s="12">
        <v>0.45800000000000002</v>
      </c>
      <c r="L26" s="12">
        <v>0.39529999999999998</v>
      </c>
      <c r="M26" s="12">
        <v>0.47699999999999998</v>
      </c>
      <c r="N26" s="12">
        <v>0.69499999999999995</v>
      </c>
      <c r="O26" s="12">
        <v>0.91100000000000003</v>
      </c>
      <c r="P26" s="12">
        <v>1.2232000000000001</v>
      </c>
      <c r="R26" s="25">
        <v>1.1000000000000001</v>
      </c>
      <c r="S26" s="12">
        <v>0</v>
      </c>
      <c r="T26" s="12">
        <v>0</v>
      </c>
      <c r="U26" s="12">
        <v>1E-4</v>
      </c>
      <c r="V26" s="12">
        <v>6.9999999999999999E-4</v>
      </c>
      <c r="W26" s="12">
        <v>3.8E-3</v>
      </c>
      <c r="X26" s="12">
        <v>1.06E-2</v>
      </c>
      <c r="Y26" s="12">
        <v>2.3599999999999999E-2</v>
      </c>
      <c r="Z26" s="12">
        <v>4.7600000000000003E-2</v>
      </c>
      <c r="AA26" s="12">
        <v>8.9700000000000002E-2</v>
      </c>
      <c r="AB26" s="12">
        <v>0.16300000000000001</v>
      </c>
      <c r="AC26" s="12">
        <v>6.9800000000000001E-2</v>
      </c>
      <c r="AD26" s="12">
        <v>-3.73E-2</v>
      </c>
      <c r="AE26" s="12">
        <v>-0.1021</v>
      </c>
      <c r="AF26" s="12">
        <v>-0.1469</v>
      </c>
      <c r="AG26" s="12">
        <v>-0.2056</v>
      </c>
    </row>
    <row r="27" spans="1:33" x14ac:dyDescent="0.25">
      <c r="A27" s="25">
        <v>1.1499999999999999</v>
      </c>
      <c r="B27" s="12">
        <v>0.99780000000000002</v>
      </c>
      <c r="C27" s="12">
        <v>0.98909999999999998</v>
      </c>
      <c r="D27" s="12">
        <v>0.97799999999999998</v>
      </c>
      <c r="E27" s="12">
        <v>0.95540000000000003</v>
      </c>
      <c r="F27" s="12">
        <v>0.90810000000000002</v>
      </c>
      <c r="G27" s="12">
        <v>0.85760000000000003</v>
      </c>
      <c r="H27" s="12">
        <v>0.80320000000000003</v>
      </c>
      <c r="I27" s="12">
        <v>0.74429999999999996</v>
      </c>
      <c r="J27" s="12">
        <v>0.68030000000000002</v>
      </c>
      <c r="K27" s="12">
        <v>0.57979999999999998</v>
      </c>
      <c r="L27" s="12">
        <v>0.47599999999999998</v>
      </c>
      <c r="M27" s="12">
        <v>0.50419999999999998</v>
      </c>
      <c r="N27" s="12">
        <v>0.69869999999999999</v>
      </c>
      <c r="O27" s="12">
        <v>0.90329999999999999</v>
      </c>
      <c r="P27" s="12">
        <v>1.2020999999999999</v>
      </c>
      <c r="R27" s="25">
        <v>1.1499999999999999</v>
      </c>
      <c r="S27" s="12">
        <v>2.0000000000000001E-4</v>
      </c>
      <c r="T27" s="12">
        <v>1.1000000000000001E-3</v>
      </c>
      <c r="U27" s="12">
        <v>2.3E-3</v>
      </c>
      <c r="V27" s="12">
        <v>5.1999999999999998E-3</v>
      </c>
      <c r="W27" s="12">
        <v>1.2699999999999999E-2</v>
      </c>
      <c r="X27" s="12">
        <v>2.3699999999999999E-2</v>
      </c>
      <c r="Y27" s="12">
        <v>3.9600000000000003E-2</v>
      </c>
      <c r="Z27" s="12">
        <v>6.25E-2</v>
      </c>
      <c r="AA27" s="12">
        <v>9.4299999999999995E-2</v>
      </c>
      <c r="AB27" s="12">
        <v>0.15479999999999999</v>
      </c>
      <c r="AC27" s="12">
        <v>0.16669999999999999</v>
      </c>
      <c r="AD27" s="12">
        <v>3.32E-2</v>
      </c>
      <c r="AE27" s="12">
        <v>-6.1100000000000002E-2</v>
      </c>
      <c r="AF27" s="12">
        <v>-0.1084</v>
      </c>
      <c r="AG27" s="12">
        <v>-0.16420000000000001</v>
      </c>
    </row>
    <row r="28" spans="1:33" x14ac:dyDescent="0.25">
      <c r="A28" s="25">
        <v>1.2</v>
      </c>
      <c r="B28" s="12">
        <v>0.99809999999999999</v>
      </c>
      <c r="C28" s="12">
        <v>0.99039999999999995</v>
      </c>
      <c r="D28" s="12">
        <v>0.98080000000000001</v>
      </c>
      <c r="E28" s="12">
        <v>0.96109999999999995</v>
      </c>
      <c r="F28" s="12">
        <v>0.92049999999999998</v>
      </c>
      <c r="G28" s="12">
        <v>0.87790000000000001</v>
      </c>
      <c r="H28" s="12">
        <v>0.83299999999999996</v>
      </c>
      <c r="I28" s="12">
        <v>0.78580000000000005</v>
      </c>
      <c r="J28" s="12">
        <v>0.73629999999999995</v>
      </c>
      <c r="K28" s="12">
        <v>0.66049999999999998</v>
      </c>
      <c r="L28" s="12">
        <v>0.5605</v>
      </c>
      <c r="M28" s="12">
        <v>0.54249999999999998</v>
      </c>
      <c r="N28" s="12">
        <v>0.70689999999999997</v>
      </c>
      <c r="O28" s="12">
        <v>0.89900000000000002</v>
      </c>
      <c r="P28" s="12">
        <v>1.1843999999999999</v>
      </c>
      <c r="R28" s="25">
        <v>1.2</v>
      </c>
      <c r="S28" s="12">
        <v>4.0000000000000002E-4</v>
      </c>
      <c r="T28" s="12">
        <v>1.9E-3</v>
      </c>
      <c r="U28" s="12">
        <v>3.8999999999999998E-3</v>
      </c>
      <c r="V28" s="12">
        <v>8.3999999999999995E-3</v>
      </c>
      <c r="W28" s="12">
        <v>1.9E-2</v>
      </c>
      <c r="X28" s="12">
        <v>3.2599999999999997E-2</v>
      </c>
      <c r="Y28" s="12">
        <v>4.99E-2</v>
      </c>
      <c r="Z28" s="12">
        <v>7.1900000000000006E-2</v>
      </c>
      <c r="AA28" s="12">
        <v>9.9099999999999994E-2</v>
      </c>
      <c r="AB28" s="12">
        <v>0.1477</v>
      </c>
      <c r="AC28" s="12">
        <v>0.19900000000000001</v>
      </c>
      <c r="AD28" s="12">
        <v>0.1095</v>
      </c>
      <c r="AE28" s="12">
        <v>-1.41E-2</v>
      </c>
      <c r="AF28" s="12">
        <v>-6.7799999999999999E-2</v>
      </c>
      <c r="AG28" s="12">
        <v>-0.1231</v>
      </c>
    </row>
    <row r="29" spans="1:33" x14ac:dyDescent="0.25">
      <c r="A29" s="25">
        <v>1.3</v>
      </c>
      <c r="B29" s="12">
        <v>0.99850000000000005</v>
      </c>
      <c r="C29" s="12">
        <v>0.99260000000000004</v>
      </c>
      <c r="D29" s="12">
        <v>0.98519999999999996</v>
      </c>
      <c r="E29" s="12">
        <v>0.97019999999999995</v>
      </c>
      <c r="F29" s="12">
        <v>0.93959999999999999</v>
      </c>
      <c r="G29" s="12">
        <v>0.9083</v>
      </c>
      <c r="H29" s="12">
        <v>0.87639999999999996</v>
      </c>
      <c r="I29" s="12">
        <v>0.84379999999999999</v>
      </c>
      <c r="J29" s="12">
        <v>0.81110000000000004</v>
      </c>
      <c r="K29" s="12">
        <v>0.76239999999999997</v>
      </c>
      <c r="L29" s="12">
        <v>0.69079999999999997</v>
      </c>
      <c r="M29" s="12">
        <v>0.63439999999999996</v>
      </c>
      <c r="N29" s="12">
        <v>0.73580000000000001</v>
      </c>
      <c r="O29" s="12">
        <v>0.89980000000000004</v>
      </c>
      <c r="P29" s="12">
        <v>1.1579999999999999</v>
      </c>
      <c r="R29" s="25">
        <v>1.3</v>
      </c>
      <c r="S29" s="12">
        <v>5.9999999999999995E-4</v>
      </c>
      <c r="T29" s="12">
        <v>3.0000000000000001E-3</v>
      </c>
      <c r="U29" s="12">
        <v>6.1000000000000004E-3</v>
      </c>
      <c r="V29" s="12">
        <v>1.2500000000000001E-2</v>
      </c>
      <c r="W29" s="12">
        <v>2.6700000000000002E-2</v>
      </c>
      <c r="X29" s="12">
        <v>4.2900000000000001E-2</v>
      </c>
      <c r="Y29" s="12">
        <v>6.1199999999999997E-2</v>
      </c>
      <c r="Z29" s="12">
        <v>8.1900000000000001E-2</v>
      </c>
      <c r="AA29" s="12">
        <v>0.1048</v>
      </c>
      <c r="AB29" s="12">
        <v>0.14199999999999999</v>
      </c>
      <c r="AC29" s="12">
        <v>0.1991</v>
      </c>
      <c r="AD29" s="12">
        <v>0.2079</v>
      </c>
      <c r="AE29" s="12">
        <v>8.7499999999999994E-2</v>
      </c>
      <c r="AF29" s="12">
        <v>1.7600000000000001E-2</v>
      </c>
      <c r="AG29" s="12">
        <v>-4.2299999999999997E-2</v>
      </c>
    </row>
    <row r="30" spans="1:33" x14ac:dyDescent="0.25">
      <c r="A30" s="25">
        <v>1.4</v>
      </c>
      <c r="B30" s="12">
        <v>0.99880000000000002</v>
      </c>
      <c r="C30" s="12">
        <v>0.99419999999999997</v>
      </c>
      <c r="D30" s="12">
        <v>0.98839999999999995</v>
      </c>
      <c r="E30" s="12">
        <v>0.9768</v>
      </c>
      <c r="F30" s="12">
        <v>0.95340000000000003</v>
      </c>
      <c r="G30" s="12">
        <v>0.92979999999999996</v>
      </c>
      <c r="H30" s="12">
        <v>0.90620000000000001</v>
      </c>
      <c r="I30" s="12">
        <v>0.88270000000000004</v>
      </c>
      <c r="J30" s="12">
        <v>0.85950000000000004</v>
      </c>
      <c r="K30" s="12">
        <v>0.8256</v>
      </c>
      <c r="L30" s="12">
        <v>0.77529999999999999</v>
      </c>
      <c r="M30" s="12">
        <v>0.72019999999999995</v>
      </c>
      <c r="N30" s="12">
        <v>0.77610000000000001</v>
      </c>
      <c r="O30" s="12">
        <v>0.91120000000000001</v>
      </c>
      <c r="P30" s="12">
        <v>1.1418999999999999</v>
      </c>
      <c r="R30" s="25">
        <v>1.4</v>
      </c>
      <c r="S30" s="12">
        <v>6.9999999999999999E-4</v>
      </c>
      <c r="T30" s="12">
        <v>3.5999999999999999E-3</v>
      </c>
      <c r="U30" s="12">
        <v>7.1999999999999998E-3</v>
      </c>
      <c r="V30" s="12">
        <v>1.47E-2</v>
      </c>
      <c r="W30" s="12">
        <v>3.0599999999999999E-2</v>
      </c>
      <c r="X30" s="12">
        <v>4.7699999999999999E-2</v>
      </c>
      <c r="Y30" s="12">
        <v>6.6100000000000006E-2</v>
      </c>
      <c r="Z30" s="12">
        <v>8.5699999999999998E-2</v>
      </c>
      <c r="AA30" s="12">
        <v>0.10630000000000001</v>
      </c>
      <c r="AB30" s="12">
        <v>0.13830000000000001</v>
      </c>
      <c r="AC30" s="12">
        <v>0.18940000000000001</v>
      </c>
      <c r="AD30" s="12">
        <v>0.2397</v>
      </c>
      <c r="AE30" s="12">
        <v>0.17369999999999999</v>
      </c>
      <c r="AF30" s="12">
        <v>0.1008</v>
      </c>
      <c r="AG30" s="12">
        <v>3.5000000000000003E-2</v>
      </c>
    </row>
    <row r="31" spans="1:33" x14ac:dyDescent="0.25">
      <c r="A31" s="25">
        <v>1.5</v>
      </c>
      <c r="B31" s="12">
        <v>0.99909999999999999</v>
      </c>
      <c r="C31" s="12">
        <v>0.99539999999999995</v>
      </c>
      <c r="D31" s="12">
        <v>0.9909</v>
      </c>
      <c r="E31" s="12">
        <v>0.98180000000000001</v>
      </c>
      <c r="F31" s="12">
        <v>0.96360000000000001</v>
      </c>
      <c r="G31" s="12">
        <v>0.9456</v>
      </c>
      <c r="H31" s="12">
        <v>0.92779999999999996</v>
      </c>
      <c r="I31" s="12">
        <v>0.9103</v>
      </c>
      <c r="J31" s="12">
        <v>0.89329999999999998</v>
      </c>
      <c r="K31" s="12">
        <v>0.86890000000000001</v>
      </c>
      <c r="L31" s="12">
        <v>0.83279999999999998</v>
      </c>
      <c r="M31" s="12">
        <v>0.78869999999999996</v>
      </c>
      <c r="N31" s="12">
        <v>0.82</v>
      </c>
      <c r="O31" s="12">
        <v>0.92969999999999997</v>
      </c>
      <c r="P31" s="12">
        <v>1.1338999999999999</v>
      </c>
      <c r="R31" s="25">
        <v>1.5</v>
      </c>
      <c r="S31" s="12">
        <v>8.0000000000000004E-4</v>
      </c>
      <c r="T31" s="12">
        <v>3.8999999999999998E-3</v>
      </c>
      <c r="U31" s="12">
        <v>7.7999999999999996E-3</v>
      </c>
      <c r="V31" s="12">
        <v>1.5800000000000002E-2</v>
      </c>
      <c r="W31" s="12">
        <v>3.2300000000000002E-2</v>
      </c>
      <c r="X31" s="12">
        <v>4.9700000000000001E-2</v>
      </c>
      <c r="Y31" s="12">
        <v>6.7699999999999996E-2</v>
      </c>
      <c r="Z31" s="12">
        <v>8.6400000000000005E-2</v>
      </c>
      <c r="AA31" s="12">
        <v>0.1055</v>
      </c>
      <c r="AB31" s="12">
        <v>0.13450000000000001</v>
      </c>
      <c r="AC31" s="12">
        <v>0.18060000000000001</v>
      </c>
      <c r="AD31" s="12">
        <v>0.24329999999999999</v>
      </c>
      <c r="AE31" s="12">
        <v>0.23089999999999999</v>
      </c>
      <c r="AF31" s="12">
        <v>0.17169999999999999</v>
      </c>
      <c r="AG31" s="12">
        <v>0.10580000000000001</v>
      </c>
    </row>
    <row r="32" spans="1:33" x14ac:dyDescent="0.25">
      <c r="A32" s="25">
        <v>1.6</v>
      </c>
      <c r="B32" s="12">
        <v>0.99929999999999997</v>
      </c>
      <c r="C32" s="12">
        <v>0.99639999999999995</v>
      </c>
      <c r="D32" s="12">
        <v>0.99280000000000002</v>
      </c>
      <c r="E32" s="12">
        <v>0.98560000000000003</v>
      </c>
      <c r="F32" s="12">
        <v>0.97140000000000004</v>
      </c>
      <c r="G32" s="12">
        <v>0.95750000000000002</v>
      </c>
      <c r="H32" s="12">
        <v>0.94389999999999996</v>
      </c>
      <c r="I32" s="12">
        <v>0.93079999999999996</v>
      </c>
      <c r="J32" s="12">
        <v>0.91800000000000004</v>
      </c>
      <c r="K32" s="12">
        <v>0.9</v>
      </c>
      <c r="L32" s="12">
        <v>0.87380000000000002</v>
      </c>
      <c r="M32" s="12">
        <v>0.84099999999999997</v>
      </c>
      <c r="N32" s="12">
        <v>0.86140000000000005</v>
      </c>
      <c r="O32" s="12">
        <v>0.95179999999999998</v>
      </c>
      <c r="P32" s="12">
        <v>1.1319999999999999</v>
      </c>
      <c r="R32" s="25">
        <v>1.6</v>
      </c>
      <c r="S32" s="12">
        <v>8.0000000000000004E-4</v>
      </c>
      <c r="T32" s="12">
        <v>4.0000000000000001E-3</v>
      </c>
      <c r="U32" s="12">
        <v>8.0000000000000002E-3</v>
      </c>
      <c r="V32" s="12">
        <v>1.6199999999999999E-2</v>
      </c>
      <c r="W32" s="12">
        <v>3.3000000000000002E-2</v>
      </c>
      <c r="X32" s="12">
        <v>5.0099999999999999E-2</v>
      </c>
      <c r="Y32" s="12">
        <v>6.7699999999999996E-2</v>
      </c>
      <c r="Z32" s="12">
        <v>8.5500000000000007E-2</v>
      </c>
      <c r="AA32" s="12">
        <v>0.10349999999999999</v>
      </c>
      <c r="AB32" s="12">
        <v>0.1303</v>
      </c>
      <c r="AC32" s="12">
        <v>0.1729</v>
      </c>
      <c r="AD32" s="12">
        <v>0.23810000000000001</v>
      </c>
      <c r="AE32" s="12">
        <v>0.2631</v>
      </c>
      <c r="AF32" s="12">
        <v>0.22550000000000001</v>
      </c>
      <c r="AG32" s="12">
        <v>0.1673</v>
      </c>
    </row>
    <row r="33" spans="1:33" x14ac:dyDescent="0.25">
      <c r="A33" s="25">
        <v>1.7</v>
      </c>
      <c r="B33" s="12">
        <v>0.99939999999999996</v>
      </c>
      <c r="C33" s="12">
        <v>0.99709999999999999</v>
      </c>
      <c r="D33" s="12">
        <v>0.99429999999999996</v>
      </c>
      <c r="E33" s="12">
        <v>0.98860000000000003</v>
      </c>
      <c r="F33" s="12">
        <v>0.97750000000000004</v>
      </c>
      <c r="G33" s="12">
        <v>0.9667</v>
      </c>
      <c r="H33" s="12">
        <v>0.95630000000000004</v>
      </c>
      <c r="I33" s="12">
        <v>0.94630000000000003</v>
      </c>
      <c r="J33" s="12">
        <v>0.93669999999999998</v>
      </c>
      <c r="K33" s="12">
        <v>0.9234</v>
      </c>
      <c r="L33" s="12">
        <v>0.90429999999999999</v>
      </c>
      <c r="M33" s="12">
        <v>0.88090000000000002</v>
      </c>
      <c r="N33" s="12">
        <v>0.89839999999999998</v>
      </c>
      <c r="O33" s="12">
        <v>0.97450000000000003</v>
      </c>
      <c r="P33" s="12">
        <v>1.1343000000000001</v>
      </c>
      <c r="R33" s="25">
        <v>1.7</v>
      </c>
      <c r="S33" s="12">
        <v>8.0000000000000004E-4</v>
      </c>
      <c r="T33" s="12">
        <v>4.0000000000000001E-3</v>
      </c>
      <c r="U33" s="12">
        <v>8.0999999999999996E-3</v>
      </c>
      <c r="V33" s="12">
        <v>1.6299999999999999E-2</v>
      </c>
      <c r="W33" s="12">
        <v>3.2899999999999999E-2</v>
      </c>
      <c r="X33" s="12">
        <v>4.9700000000000001E-2</v>
      </c>
      <c r="Y33" s="12">
        <v>6.6699999999999995E-2</v>
      </c>
      <c r="Z33" s="12">
        <v>8.3799999999999999E-2</v>
      </c>
      <c r="AA33" s="12">
        <v>0.1008</v>
      </c>
      <c r="AB33" s="12">
        <v>0.12590000000000001</v>
      </c>
      <c r="AC33" s="12">
        <v>0.1658</v>
      </c>
      <c r="AD33" s="12">
        <v>0.23050000000000001</v>
      </c>
      <c r="AE33" s="12">
        <v>0.27879999999999999</v>
      </c>
      <c r="AF33" s="12">
        <v>0.26279999999999998</v>
      </c>
      <c r="AG33" s="12">
        <v>0.21790000000000001</v>
      </c>
    </row>
    <row r="34" spans="1:33" x14ac:dyDescent="0.25">
      <c r="A34" s="25">
        <v>1.8</v>
      </c>
      <c r="B34" s="12">
        <v>0.99950000000000006</v>
      </c>
      <c r="C34" s="12">
        <v>0.99770000000000003</v>
      </c>
      <c r="D34" s="12">
        <v>0.99550000000000005</v>
      </c>
      <c r="E34" s="12">
        <v>0.99099999999999999</v>
      </c>
      <c r="F34" s="12">
        <v>0.98229999999999995</v>
      </c>
      <c r="G34" s="12">
        <v>0.97389999999999999</v>
      </c>
      <c r="H34" s="12">
        <v>0.96589999999999998</v>
      </c>
      <c r="I34" s="12">
        <v>0.95830000000000004</v>
      </c>
      <c r="J34" s="12">
        <v>0.95109999999999995</v>
      </c>
      <c r="K34" s="12">
        <v>0.94130000000000003</v>
      </c>
      <c r="L34" s="12">
        <v>0.92749999999999999</v>
      </c>
      <c r="M34" s="12">
        <v>0.91180000000000005</v>
      </c>
      <c r="N34" s="12">
        <v>0.92969999999999997</v>
      </c>
      <c r="O34" s="12">
        <v>0.99609999999999999</v>
      </c>
      <c r="P34" s="12">
        <v>1.1391</v>
      </c>
      <c r="R34" s="25">
        <v>1.8</v>
      </c>
      <c r="S34" s="12">
        <v>8.0000000000000004E-4</v>
      </c>
      <c r="T34" s="12">
        <v>4.0000000000000001E-3</v>
      </c>
      <c r="U34" s="12">
        <v>8.0999999999999996E-3</v>
      </c>
      <c r="V34" s="12">
        <v>1.6199999999999999E-2</v>
      </c>
      <c r="W34" s="12">
        <v>3.2500000000000001E-2</v>
      </c>
      <c r="X34" s="12">
        <v>4.8800000000000003E-2</v>
      </c>
      <c r="Y34" s="12">
        <v>6.5199999999999994E-2</v>
      </c>
      <c r="Z34" s="12">
        <v>8.14E-2</v>
      </c>
      <c r="AA34" s="12">
        <v>9.7799999999999998E-2</v>
      </c>
      <c r="AB34" s="12">
        <v>0.1216</v>
      </c>
      <c r="AC34" s="12">
        <v>0.1593</v>
      </c>
      <c r="AD34" s="12">
        <v>0.22239999999999999</v>
      </c>
      <c r="AE34" s="9">
        <v>0.28460000000000002</v>
      </c>
      <c r="AF34" s="12">
        <v>0.28710000000000002</v>
      </c>
      <c r="AG34" s="12">
        <v>0.2576</v>
      </c>
    </row>
    <row r="35" spans="1:33" x14ac:dyDescent="0.25">
      <c r="A35" s="25">
        <v>1.9</v>
      </c>
      <c r="B35" s="12">
        <v>0.99960000000000004</v>
      </c>
      <c r="C35" s="12">
        <v>0.99819999999999998</v>
      </c>
      <c r="D35" s="12">
        <v>0.99639999999999995</v>
      </c>
      <c r="E35" s="12">
        <v>0.9929</v>
      </c>
      <c r="F35" s="12">
        <v>0.98609999999999998</v>
      </c>
      <c r="G35" s="12">
        <v>0.97960000000000003</v>
      </c>
      <c r="H35" s="12">
        <v>0.97350000000000003</v>
      </c>
      <c r="I35" s="12">
        <v>0.96779999999999999</v>
      </c>
      <c r="J35" s="12">
        <v>0.96240000000000003</v>
      </c>
      <c r="K35" s="12">
        <v>0.95520000000000005</v>
      </c>
      <c r="L35" s="12">
        <v>0.9456</v>
      </c>
      <c r="M35" s="12">
        <v>0.93589999999999995</v>
      </c>
      <c r="N35" s="12">
        <v>0.95569999999999999</v>
      </c>
      <c r="O35" s="12">
        <v>1.0157</v>
      </c>
      <c r="P35" s="12">
        <v>1.1452</v>
      </c>
      <c r="R35" s="25">
        <v>1.9</v>
      </c>
      <c r="S35" s="12">
        <v>8.0000000000000004E-4</v>
      </c>
      <c r="T35" s="12">
        <v>4.0000000000000001E-3</v>
      </c>
      <c r="U35" s="12">
        <v>7.9000000000000008E-3</v>
      </c>
      <c r="V35" s="12">
        <v>1.5900000000000001E-2</v>
      </c>
      <c r="W35" s="12">
        <v>3.1800000000000002E-2</v>
      </c>
      <c r="X35" s="12">
        <v>4.7699999999999999E-2</v>
      </c>
      <c r="Y35" s="12">
        <v>6.3500000000000001E-2</v>
      </c>
      <c r="Z35" s="12">
        <v>7.9200000000000007E-2</v>
      </c>
      <c r="AA35" s="12">
        <v>9.4700000000000006E-2</v>
      </c>
      <c r="AB35" s="12">
        <v>0.1173</v>
      </c>
      <c r="AC35" s="12">
        <v>0.1532</v>
      </c>
      <c r="AD35" s="12">
        <v>0.21440000000000001</v>
      </c>
      <c r="AE35" s="9">
        <v>0.2848</v>
      </c>
      <c r="AF35" s="12">
        <v>0.30170000000000002</v>
      </c>
      <c r="AG35" s="12">
        <v>0.28760000000000002</v>
      </c>
    </row>
    <row r="36" spans="1:33" x14ac:dyDescent="0.25">
      <c r="A36" s="25">
        <v>2</v>
      </c>
      <c r="B36" s="12">
        <v>0.99970000000000003</v>
      </c>
      <c r="C36" s="12">
        <v>0.99860000000000004</v>
      </c>
      <c r="D36" s="12">
        <v>0.99719999999999998</v>
      </c>
      <c r="E36" s="12">
        <v>0.99439999999999995</v>
      </c>
      <c r="F36" s="12">
        <v>0.98919999999999997</v>
      </c>
      <c r="G36" s="12">
        <v>0.98419999999999996</v>
      </c>
      <c r="H36" s="12">
        <v>0.97960000000000003</v>
      </c>
      <c r="I36" s="12">
        <v>0.97540000000000004</v>
      </c>
      <c r="J36" s="12">
        <v>0.97150000000000003</v>
      </c>
      <c r="K36" s="12">
        <v>0.96640000000000004</v>
      </c>
      <c r="L36" s="12">
        <v>0.95989999999999998</v>
      </c>
      <c r="M36" s="12">
        <v>0.95499999999999996</v>
      </c>
      <c r="N36" s="12">
        <v>0.97719999999999996</v>
      </c>
      <c r="O36" s="12">
        <v>1.0327999999999999</v>
      </c>
      <c r="P36" s="12">
        <v>1.1516</v>
      </c>
      <c r="R36" s="25">
        <v>2</v>
      </c>
      <c r="S36" s="12">
        <v>8.0000000000000004E-4</v>
      </c>
      <c r="T36" s="12">
        <v>3.8999999999999998E-3</v>
      </c>
      <c r="U36" s="12">
        <v>7.7999999999999996E-3</v>
      </c>
      <c r="V36" s="12">
        <v>1.55E-2</v>
      </c>
      <c r="W36" s="12">
        <v>3.1E-2</v>
      </c>
      <c r="X36" s="12">
        <v>4.6399999999999997E-2</v>
      </c>
      <c r="Y36" s="12">
        <v>6.1699999999999998E-2</v>
      </c>
      <c r="Z36" s="12">
        <v>7.6700000000000004E-2</v>
      </c>
      <c r="AA36" s="12">
        <v>9.1600000000000001E-2</v>
      </c>
      <c r="AB36" s="12">
        <v>0.1133</v>
      </c>
      <c r="AC36" s="12">
        <v>0.14760000000000001</v>
      </c>
      <c r="AD36" s="12">
        <v>0.2069</v>
      </c>
      <c r="AE36" s="9">
        <v>0.28189999999999998</v>
      </c>
      <c r="AF36" s="12">
        <v>0.30969999999999998</v>
      </c>
      <c r="AG36" s="12">
        <v>0.30959999999999999</v>
      </c>
    </row>
    <row r="37" spans="1:33" x14ac:dyDescent="0.25">
      <c r="A37" s="25">
        <v>2.2000000000000002</v>
      </c>
      <c r="B37" s="12">
        <v>0.99980000000000002</v>
      </c>
      <c r="C37" s="12">
        <v>0.99919999999999998</v>
      </c>
      <c r="D37" s="12">
        <v>0.99829999999999997</v>
      </c>
      <c r="E37" s="12">
        <v>0.99670000000000003</v>
      </c>
      <c r="F37" s="12">
        <v>0.99370000000000003</v>
      </c>
      <c r="G37" s="12">
        <v>0.99099999999999999</v>
      </c>
      <c r="H37" s="12">
        <v>0.98860000000000003</v>
      </c>
      <c r="I37" s="12">
        <v>0.98650000000000004</v>
      </c>
      <c r="J37" s="12">
        <v>0.98470000000000002</v>
      </c>
      <c r="K37" s="12">
        <v>0.98260000000000003</v>
      </c>
      <c r="L37" s="12">
        <v>0.98060000000000003</v>
      </c>
      <c r="M37" s="12">
        <v>0.98270000000000002</v>
      </c>
      <c r="N37" s="12">
        <v>1.0094000000000001</v>
      </c>
      <c r="O37" s="12">
        <v>1.06</v>
      </c>
      <c r="P37" s="12">
        <v>1.1635</v>
      </c>
      <c r="R37" s="25">
        <v>2.2000000000000002</v>
      </c>
      <c r="S37" s="12">
        <v>6.9999999999999999E-4</v>
      </c>
      <c r="T37" s="12">
        <v>3.7000000000000002E-3</v>
      </c>
      <c r="U37" s="12">
        <v>7.4000000000000003E-3</v>
      </c>
      <c r="V37" s="12">
        <v>1.47E-2</v>
      </c>
      <c r="W37" s="12">
        <v>2.93E-2</v>
      </c>
      <c r="X37" s="12">
        <v>4.3700000000000003E-2</v>
      </c>
      <c r="Y37" s="12">
        <v>5.79E-2</v>
      </c>
      <c r="Z37" s="12">
        <v>7.1900000000000006E-2</v>
      </c>
      <c r="AA37" s="12">
        <v>8.5699999999999998E-2</v>
      </c>
      <c r="AB37" s="12">
        <v>0.1057</v>
      </c>
      <c r="AC37" s="12">
        <v>0.13739999999999999</v>
      </c>
      <c r="AD37" s="12">
        <v>0.19320000000000001</v>
      </c>
      <c r="AE37" s="9">
        <v>0.27200000000000002</v>
      </c>
      <c r="AF37" s="12">
        <v>0.3135</v>
      </c>
      <c r="AG37" s="12">
        <v>0.33550000000000002</v>
      </c>
    </row>
    <row r="38" spans="1:33" x14ac:dyDescent="0.25">
      <c r="A38" s="25">
        <v>2.4</v>
      </c>
      <c r="B38" s="12">
        <v>0.99990000000000001</v>
      </c>
      <c r="C38" s="12">
        <v>0.99960000000000004</v>
      </c>
      <c r="D38" s="12">
        <v>0.99909999999999999</v>
      </c>
      <c r="E38" s="12">
        <v>0.99829999999999997</v>
      </c>
      <c r="F38" s="12">
        <v>0.99690000000000001</v>
      </c>
      <c r="G38" s="12">
        <v>0.99570000000000003</v>
      </c>
      <c r="H38" s="12">
        <v>0.99480000000000002</v>
      </c>
      <c r="I38" s="12">
        <v>0.99409999999999998</v>
      </c>
      <c r="J38" s="12">
        <v>0.99360000000000004</v>
      </c>
      <c r="K38" s="12">
        <v>0.99350000000000005</v>
      </c>
      <c r="L38" s="12">
        <v>0.99450000000000005</v>
      </c>
      <c r="M38" s="12">
        <v>1.0011000000000001</v>
      </c>
      <c r="N38" s="12">
        <v>1.0313000000000001</v>
      </c>
      <c r="O38" s="12">
        <v>1.0792999999999999</v>
      </c>
      <c r="P38" s="12">
        <v>1.1728000000000001</v>
      </c>
      <c r="R38" s="25">
        <v>2.4</v>
      </c>
      <c r="S38" s="12">
        <v>6.9999999999999999E-4</v>
      </c>
      <c r="T38" s="12">
        <v>3.5000000000000001E-3</v>
      </c>
      <c r="U38" s="12">
        <v>7.0000000000000001E-3</v>
      </c>
      <c r="V38" s="12">
        <v>1.3899999999999999E-2</v>
      </c>
      <c r="W38" s="12">
        <v>2.76E-2</v>
      </c>
      <c r="X38" s="12">
        <v>4.1099999999999998E-2</v>
      </c>
      <c r="Y38" s="12">
        <v>5.4399999999999997E-2</v>
      </c>
      <c r="Z38" s="12">
        <v>6.7500000000000004E-2</v>
      </c>
      <c r="AA38" s="12">
        <v>8.0299999999999996E-2</v>
      </c>
      <c r="AB38" s="12">
        <v>9.8900000000000002E-2</v>
      </c>
      <c r="AC38" s="12">
        <v>0.1285</v>
      </c>
      <c r="AD38" s="12">
        <v>0.1812</v>
      </c>
      <c r="AE38" s="9">
        <v>0.26019999999999999</v>
      </c>
      <c r="AF38" s="12">
        <v>0.30890000000000001</v>
      </c>
      <c r="AG38" s="12">
        <v>0.34589999999999999</v>
      </c>
    </row>
    <row r="39" spans="1:33" x14ac:dyDescent="0.25">
      <c r="A39" s="25">
        <v>2.6</v>
      </c>
      <c r="B39" s="12">
        <v>1</v>
      </c>
      <c r="C39" s="12">
        <v>0.99980000000000002</v>
      </c>
      <c r="D39" s="12">
        <v>0.99970000000000003</v>
      </c>
      <c r="E39" s="12">
        <v>0.99939999999999996</v>
      </c>
      <c r="F39" s="12">
        <v>0.99909999999999999</v>
      </c>
      <c r="G39" s="12">
        <v>0.999</v>
      </c>
      <c r="H39" s="12">
        <v>0.999</v>
      </c>
      <c r="I39" s="12">
        <v>0.99929999999999997</v>
      </c>
      <c r="J39" s="12">
        <v>0.99980000000000002</v>
      </c>
      <c r="K39" s="12">
        <v>1.0009999999999999</v>
      </c>
      <c r="L39" s="12">
        <v>1.004</v>
      </c>
      <c r="M39" s="12">
        <v>1.0137</v>
      </c>
      <c r="N39" s="12">
        <v>1.0463</v>
      </c>
      <c r="O39" s="12">
        <v>1.0926</v>
      </c>
      <c r="P39" s="12">
        <v>1.1792</v>
      </c>
      <c r="R39" s="25">
        <v>2.6</v>
      </c>
      <c r="S39" s="12">
        <v>6.9999999999999999E-4</v>
      </c>
      <c r="T39" s="12">
        <v>3.3E-3</v>
      </c>
      <c r="U39" s="12">
        <v>6.6E-3</v>
      </c>
      <c r="V39" s="12">
        <v>1.3100000000000001E-2</v>
      </c>
      <c r="W39" s="12">
        <v>2.5999999999999999E-2</v>
      </c>
      <c r="X39" s="12">
        <v>3.8699999999999998E-2</v>
      </c>
      <c r="Y39" s="12">
        <v>5.1200000000000002E-2</v>
      </c>
      <c r="Z39" s="12">
        <v>6.3399999999999998E-2</v>
      </c>
      <c r="AA39" s="12">
        <v>7.5399999999999995E-2</v>
      </c>
      <c r="AB39" s="12">
        <v>9.2899999999999996E-2</v>
      </c>
      <c r="AC39" s="12">
        <v>0.1207</v>
      </c>
      <c r="AD39" s="12">
        <v>0.1706</v>
      </c>
      <c r="AE39" s="9">
        <v>0.24840000000000001</v>
      </c>
      <c r="AF39" s="12">
        <v>0.3009</v>
      </c>
      <c r="AG39" s="12">
        <v>0.34749999999999998</v>
      </c>
    </row>
    <row r="40" spans="1:33" x14ac:dyDescent="0.25">
      <c r="A40" s="25">
        <v>2.8</v>
      </c>
      <c r="B40" s="12">
        <v>1</v>
      </c>
      <c r="C40" s="12">
        <v>1</v>
      </c>
      <c r="D40" s="12">
        <v>1.0001</v>
      </c>
      <c r="E40" s="12">
        <v>1.0002</v>
      </c>
      <c r="F40" s="12">
        <v>1.0006999999999999</v>
      </c>
      <c r="G40" s="12">
        <v>1.0013000000000001</v>
      </c>
      <c r="H40" s="12">
        <v>1.0021</v>
      </c>
      <c r="I40" s="12">
        <v>1.0031000000000001</v>
      </c>
      <c r="J40" s="12">
        <v>1.0042</v>
      </c>
      <c r="K40" s="12">
        <v>1.0063</v>
      </c>
      <c r="L40" s="12">
        <v>1.0105999999999999</v>
      </c>
      <c r="M40" s="12">
        <v>1.0223</v>
      </c>
      <c r="N40" s="12">
        <v>1.0565</v>
      </c>
      <c r="O40" s="12">
        <v>1.1015999999999999</v>
      </c>
      <c r="P40" s="12">
        <v>1.1830000000000001</v>
      </c>
      <c r="R40" s="25">
        <v>2.8</v>
      </c>
      <c r="S40" s="12">
        <v>5.9999999999999995E-4</v>
      </c>
      <c r="T40" s="12">
        <v>3.0999999999999999E-3</v>
      </c>
      <c r="U40" s="12">
        <v>6.1999999999999998E-3</v>
      </c>
      <c r="V40" s="12">
        <v>1.24E-2</v>
      </c>
      <c r="W40" s="12">
        <v>2.4500000000000001E-2</v>
      </c>
      <c r="X40" s="12">
        <v>3.6499999999999998E-2</v>
      </c>
      <c r="Y40" s="12">
        <v>4.8300000000000003E-2</v>
      </c>
      <c r="Z40" s="12">
        <v>5.9799999999999999E-2</v>
      </c>
      <c r="AA40" s="12">
        <v>7.1099999999999997E-2</v>
      </c>
      <c r="AB40" s="12">
        <v>8.7599999999999997E-2</v>
      </c>
      <c r="AC40" s="12">
        <v>0.1138</v>
      </c>
      <c r="AD40" s="12">
        <v>0.1613</v>
      </c>
      <c r="AE40" s="9">
        <v>0.23719999999999999</v>
      </c>
      <c r="AF40" s="12">
        <v>0.29149999999999998</v>
      </c>
      <c r="AG40" s="12">
        <v>0.34429999999999999</v>
      </c>
    </row>
    <row r="41" spans="1:33" x14ac:dyDescent="0.25">
      <c r="A41" s="25">
        <v>3</v>
      </c>
      <c r="B41" s="12">
        <v>1</v>
      </c>
      <c r="C41" s="12">
        <v>1.0002</v>
      </c>
      <c r="D41" s="12">
        <v>1.0004</v>
      </c>
      <c r="E41" s="12">
        <v>1.0007999999999999</v>
      </c>
      <c r="F41" s="12">
        <v>1.0018</v>
      </c>
      <c r="G41" s="12">
        <v>1.0029999999999999</v>
      </c>
      <c r="H41" s="12">
        <v>1.0043</v>
      </c>
      <c r="I41" s="12">
        <v>1.0057</v>
      </c>
      <c r="J41" s="12">
        <v>1.0074000000000001</v>
      </c>
      <c r="K41" s="12">
        <v>1.0101</v>
      </c>
      <c r="L41" s="12">
        <v>1.0153000000000001</v>
      </c>
      <c r="M41" s="12">
        <v>1.0284</v>
      </c>
      <c r="N41" s="12">
        <v>1.0634999999999999</v>
      </c>
      <c r="O41" s="12">
        <v>1.1074999999999999</v>
      </c>
      <c r="P41" s="12">
        <v>1.1848000000000001</v>
      </c>
      <c r="R41" s="25">
        <v>3</v>
      </c>
      <c r="S41" s="12">
        <v>5.9999999999999995E-4</v>
      </c>
      <c r="T41" s="12">
        <v>2.8999999999999998E-3</v>
      </c>
      <c r="U41" s="12">
        <v>5.8999999999999999E-3</v>
      </c>
      <c r="V41" s="12">
        <v>1.17E-2</v>
      </c>
      <c r="W41" s="12">
        <v>2.3199999999999998E-2</v>
      </c>
      <c r="X41" s="12">
        <v>3.4500000000000003E-2</v>
      </c>
      <c r="Y41" s="12">
        <v>4.5600000000000002E-2</v>
      </c>
      <c r="Z41" s="12">
        <v>5.6500000000000002E-2</v>
      </c>
      <c r="AA41" s="12">
        <v>6.7199999999999996E-2</v>
      </c>
      <c r="AB41" s="12">
        <v>8.2799999999999999E-2</v>
      </c>
      <c r="AC41" s="12">
        <v>0.1076</v>
      </c>
      <c r="AD41" s="12">
        <v>0.15290000000000001</v>
      </c>
      <c r="AE41" s="9">
        <v>0.2268</v>
      </c>
      <c r="AF41" s="12">
        <v>0.28170000000000001</v>
      </c>
      <c r="AG41" s="12">
        <v>0.33850000000000002</v>
      </c>
    </row>
    <row r="42" spans="1:33" x14ac:dyDescent="0.25">
      <c r="A42" s="25">
        <v>3.5</v>
      </c>
      <c r="B42" s="12">
        <v>1.0001</v>
      </c>
      <c r="C42" s="12">
        <v>1.0004</v>
      </c>
      <c r="D42" s="12">
        <v>1.0007999999999999</v>
      </c>
      <c r="E42" s="12">
        <v>1.0017</v>
      </c>
      <c r="F42" s="12">
        <v>1.0035000000000001</v>
      </c>
      <c r="G42" s="12">
        <v>1.0055000000000001</v>
      </c>
      <c r="H42" s="12">
        <v>1.0075000000000001</v>
      </c>
      <c r="I42" s="12">
        <v>1.0097</v>
      </c>
      <c r="J42" s="12">
        <v>1.012</v>
      </c>
      <c r="K42" s="12">
        <v>1.0156000000000001</v>
      </c>
      <c r="L42" s="12">
        <v>1.0221</v>
      </c>
      <c r="M42" s="12">
        <v>1.0367999999999999</v>
      </c>
      <c r="N42" s="12">
        <v>1.0723</v>
      </c>
      <c r="O42" s="12">
        <v>1.1137999999999999</v>
      </c>
      <c r="P42" s="12">
        <v>1.1834</v>
      </c>
      <c r="R42" s="25">
        <v>3.5</v>
      </c>
      <c r="S42" s="12">
        <v>5.0000000000000001E-4</v>
      </c>
      <c r="T42" s="12">
        <v>2.5999999999999999E-3</v>
      </c>
      <c r="U42" s="12">
        <v>5.1999999999999998E-3</v>
      </c>
      <c r="V42" s="12">
        <v>1.03E-2</v>
      </c>
      <c r="W42" s="12">
        <v>2.0400000000000001E-2</v>
      </c>
      <c r="X42" s="12">
        <v>3.0300000000000001E-2</v>
      </c>
      <c r="Y42" s="12">
        <v>4.0099999999999997E-2</v>
      </c>
      <c r="Z42" s="12">
        <v>4.9700000000000001E-2</v>
      </c>
      <c r="AA42" s="12">
        <v>5.91E-2</v>
      </c>
      <c r="AB42" s="12">
        <v>7.2800000000000004E-2</v>
      </c>
      <c r="AC42" s="12">
        <v>9.4899999999999998E-2</v>
      </c>
      <c r="AD42" s="12">
        <v>0.1356</v>
      </c>
      <c r="AE42" s="9">
        <v>0.20419999999999999</v>
      </c>
      <c r="AF42" s="12">
        <v>0.25840000000000002</v>
      </c>
      <c r="AG42" s="12">
        <v>0.31940000000000002</v>
      </c>
    </row>
    <row r="43" spans="1:33" x14ac:dyDescent="0.25">
      <c r="A43" s="25">
        <v>4</v>
      </c>
      <c r="B43" s="12">
        <v>1.0001</v>
      </c>
      <c r="C43" s="12">
        <v>1.0004999999999999</v>
      </c>
      <c r="D43" s="12">
        <v>1.0009999999999999</v>
      </c>
      <c r="E43" s="12">
        <v>1.0021</v>
      </c>
      <c r="F43" s="12">
        <v>1.0043</v>
      </c>
      <c r="G43" s="12">
        <v>1.0065999999999999</v>
      </c>
      <c r="H43" s="12">
        <v>1.0089999999999999</v>
      </c>
      <c r="I43" s="12">
        <v>1.0115000000000001</v>
      </c>
      <c r="J43" s="12">
        <v>1.014</v>
      </c>
      <c r="K43" s="12">
        <v>1.0179</v>
      </c>
      <c r="L43" s="12">
        <v>1.0248999999999999</v>
      </c>
      <c r="M43" s="12">
        <v>1.0401</v>
      </c>
      <c r="N43" s="12">
        <v>1.0747</v>
      </c>
      <c r="O43" s="12">
        <v>1.1135999999999999</v>
      </c>
      <c r="P43" s="12">
        <v>1.1773</v>
      </c>
      <c r="R43" s="25">
        <v>4</v>
      </c>
      <c r="S43" s="12">
        <v>5.0000000000000001E-4</v>
      </c>
      <c r="T43" s="12">
        <v>2.3E-3</v>
      </c>
      <c r="U43" s="12">
        <v>4.5999999999999999E-3</v>
      </c>
      <c r="V43" s="12">
        <v>9.1000000000000004E-3</v>
      </c>
      <c r="W43" s="12">
        <v>1.8200000000000001E-2</v>
      </c>
      <c r="X43" s="12">
        <v>2.7E-2</v>
      </c>
      <c r="Y43" s="12">
        <v>3.5700000000000003E-2</v>
      </c>
      <c r="Z43" s="12">
        <v>4.4299999999999999E-2</v>
      </c>
      <c r="AA43" s="12">
        <v>5.2699999999999997E-2</v>
      </c>
      <c r="AB43" s="12">
        <v>6.5100000000000005E-2</v>
      </c>
      <c r="AC43" s="12">
        <v>8.4900000000000003E-2</v>
      </c>
      <c r="AD43" s="12">
        <v>0.12189999999999999</v>
      </c>
      <c r="AE43" s="9">
        <v>0.1857</v>
      </c>
      <c r="AF43" s="12">
        <v>0.23780000000000001</v>
      </c>
      <c r="AG43" s="12">
        <v>0.2994</v>
      </c>
    </row>
    <row r="46" spans="1:33" x14ac:dyDescent="0.25">
      <c r="C46" s="13"/>
      <c r="U46" s="107"/>
      <c r="W46" s="107"/>
    </row>
  </sheetData>
  <mergeCells count="2">
    <mergeCell ref="A2:P2"/>
    <mergeCell ref="R2:AG2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N252"/>
  <sheetViews>
    <sheetView workbookViewId="0">
      <selection activeCell="L9" sqref="L9"/>
    </sheetView>
  </sheetViews>
  <sheetFormatPr defaultRowHeight="15" x14ac:dyDescent="0.25"/>
  <cols>
    <col min="1" max="1" width="21.42578125" customWidth="1"/>
    <col min="6" max="6" width="9.140625" customWidth="1"/>
    <col min="7" max="7" width="9.7109375" customWidth="1"/>
    <col min="11" max="11" width="10.42578125" bestFit="1" customWidth="1"/>
    <col min="12" max="12" width="16.28515625" bestFit="1" customWidth="1"/>
  </cols>
  <sheetData>
    <row r="1" spans="1:8" x14ac:dyDescent="0.25">
      <c r="A1" s="141" t="s">
        <v>97</v>
      </c>
      <c r="B1" s="141"/>
      <c r="C1" s="141"/>
      <c r="D1" s="141"/>
      <c r="E1" s="141"/>
      <c r="F1" s="141"/>
      <c r="G1" s="141"/>
      <c r="H1" s="141"/>
    </row>
    <row r="2" spans="1:8" s="7" customFormat="1" ht="30.75" customHeight="1" x14ac:dyDescent="0.25">
      <c r="A2" s="14" t="s">
        <v>50</v>
      </c>
      <c r="B2" s="15" t="s">
        <v>374</v>
      </c>
      <c r="C2" s="16" t="s">
        <v>44</v>
      </c>
      <c r="D2" s="14" t="s">
        <v>45</v>
      </c>
      <c r="E2" s="14" t="s">
        <v>46</v>
      </c>
      <c r="F2" s="14" t="s">
        <v>47</v>
      </c>
      <c r="G2" s="15" t="s">
        <v>48</v>
      </c>
      <c r="H2" s="14" t="s">
        <v>49</v>
      </c>
    </row>
    <row r="3" spans="1:8" x14ac:dyDescent="0.25">
      <c r="A3" s="17" t="s">
        <v>4</v>
      </c>
      <c r="B3" s="11">
        <v>16.042999999999999</v>
      </c>
      <c r="C3" s="11">
        <v>1.2E-2</v>
      </c>
      <c r="D3" s="18">
        <v>190.6</v>
      </c>
      <c r="E3" s="10">
        <v>45.99</v>
      </c>
      <c r="F3" s="11">
        <v>0.28599999999999998</v>
      </c>
      <c r="G3" s="18">
        <v>98.6</v>
      </c>
      <c r="H3" s="9">
        <v>111.4</v>
      </c>
    </row>
    <row r="4" spans="1:8" x14ac:dyDescent="0.25">
      <c r="A4" s="17" t="s">
        <v>5</v>
      </c>
      <c r="B4" s="11">
        <v>30.07</v>
      </c>
      <c r="C4" s="11">
        <v>0.1</v>
      </c>
      <c r="D4" s="18">
        <v>305.3</v>
      </c>
      <c r="E4" s="10">
        <v>48.72</v>
      </c>
      <c r="F4" s="11">
        <v>0.27900000000000003</v>
      </c>
      <c r="G4" s="18">
        <v>145.5</v>
      </c>
      <c r="H4" s="9">
        <v>184.6</v>
      </c>
    </row>
    <row r="5" spans="1:8" x14ac:dyDescent="0.25">
      <c r="A5" s="17" t="s">
        <v>6</v>
      </c>
      <c r="B5" s="11">
        <v>44.097000000000001</v>
      </c>
      <c r="C5" s="11">
        <v>0.152</v>
      </c>
      <c r="D5" s="18">
        <v>369.8</v>
      </c>
      <c r="E5" s="10">
        <v>42.48</v>
      </c>
      <c r="F5" s="11">
        <v>0.27600000000000002</v>
      </c>
      <c r="G5" s="18">
        <v>200</v>
      </c>
      <c r="H5" s="9">
        <v>231.1</v>
      </c>
    </row>
    <row r="6" spans="1:8" x14ac:dyDescent="0.25">
      <c r="A6" s="17" t="s">
        <v>7</v>
      </c>
      <c r="B6" s="11">
        <v>58.122999999999998</v>
      </c>
      <c r="C6" s="11">
        <v>0.2</v>
      </c>
      <c r="D6" s="18">
        <v>425.1</v>
      </c>
      <c r="E6" s="10">
        <v>37.96</v>
      </c>
      <c r="F6" s="11">
        <v>0.27400000000000002</v>
      </c>
      <c r="G6" s="18">
        <v>255</v>
      </c>
      <c r="H6" s="9">
        <v>272.7</v>
      </c>
    </row>
    <row r="7" spans="1:8" x14ac:dyDescent="0.25">
      <c r="A7" s="17" t="s">
        <v>8</v>
      </c>
      <c r="B7" s="11">
        <v>72.150000000000006</v>
      </c>
      <c r="C7" s="11">
        <v>0.252</v>
      </c>
      <c r="D7" s="18">
        <v>469.7</v>
      </c>
      <c r="E7" s="10">
        <v>33.700000000000003</v>
      </c>
      <c r="F7" s="11">
        <v>0.27</v>
      </c>
      <c r="G7" s="18">
        <v>313</v>
      </c>
      <c r="H7" s="9">
        <v>309.2</v>
      </c>
    </row>
    <row r="8" spans="1:8" x14ac:dyDescent="0.25">
      <c r="A8" s="17" t="s">
        <v>9</v>
      </c>
      <c r="B8" s="11">
        <v>86.177000000000007</v>
      </c>
      <c r="C8" s="11">
        <v>0.30099999999999999</v>
      </c>
      <c r="D8" s="18">
        <v>507.6</v>
      </c>
      <c r="E8" s="10">
        <v>30.25</v>
      </c>
      <c r="F8" s="11">
        <v>0.26600000000000001</v>
      </c>
      <c r="G8" s="18">
        <v>371</v>
      </c>
      <c r="H8" s="9">
        <v>341.9</v>
      </c>
    </row>
    <row r="9" spans="1:8" x14ac:dyDescent="0.25">
      <c r="A9" s="17" t="s">
        <v>10</v>
      </c>
      <c r="B9" s="11">
        <v>100.20399999999999</v>
      </c>
      <c r="C9" s="11">
        <v>0.35</v>
      </c>
      <c r="D9" s="18">
        <v>540.20000000000005</v>
      </c>
      <c r="E9" s="10">
        <v>27.4</v>
      </c>
      <c r="F9" s="11">
        <v>0.26100000000000001</v>
      </c>
      <c r="G9" s="18">
        <v>428</v>
      </c>
      <c r="H9" s="9">
        <v>371.6</v>
      </c>
    </row>
    <row r="10" spans="1:8" x14ac:dyDescent="0.25">
      <c r="A10" s="17" t="s">
        <v>11</v>
      </c>
      <c r="B10" s="11">
        <v>114.23099999999999</v>
      </c>
      <c r="C10" s="11">
        <v>0.4</v>
      </c>
      <c r="D10" s="18">
        <v>568.70000000000005</v>
      </c>
      <c r="E10" s="10">
        <v>24.9</v>
      </c>
      <c r="F10" s="11">
        <v>0.25600000000000001</v>
      </c>
      <c r="G10" s="18">
        <v>486</v>
      </c>
      <c r="H10" s="9">
        <v>398.8</v>
      </c>
    </row>
    <row r="11" spans="1:8" x14ac:dyDescent="0.25">
      <c r="A11" s="17" t="s">
        <v>12</v>
      </c>
      <c r="B11" s="11">
        <v>128.25800000000001</v>
      </c>
      <c r="C11" s="11">
        <v>0.44400000000000001</v>
      </c>
      <c r="D11" s="18">
        <v>594.6</v>
      </c>
      <c r="E11" s="10">
        <v>22.9</v>
      </c>
      <c r="F11" s="11">
        <v>0.252</v>
      </c>
      <c r="G11" s="18">
        <v>544</v>
      </c>
      <c r="H11" s="9">
        <v>424</v>
      </c>
    </row>
    <row r="12" spans="1:8" x14ac:dyDescent="0.25">
      <c r="A12" s="17" t="s">
        <v>13</v>
      </c>
      <c r="B12" s="11">
        <v>142.285</v>
      </c>
      <c r="C12" s="11">
        <v>0.49199999999999999</v>
      </c>
      <c r="D12" s="18">
        <v>617.70000000000005</v>
      </c>
      <c r="E12" s="10">
        <v>21.1</v>
      </c>
      <c r="F12" s="11">
        <v>0.247</v>
      </c>
      <c r="G12" s="18">
        <v>600</v>
      </c>
      <c r="H12" s="9">
        <v>447.3</v>
      </c>
    </row>
    <row r="13" spans="1:8" x14ac:dyDescent="0.25">
      <c r="A13" s="17" t="s">
        <v>108</v>
      </c>
      <c r="B13" s="11">
        <v>58.122999999999998</v>
      </c>
      <c r="C13" s="11">
        <v>0.18099999999999999</v>
      </c>
      <c r="D13" s="18">
        <v>408.1</v>
      </c>
      <c r="E13" s="10">
        <v>36.479999999999997</v>
      </c>
      <c r="F13" s="11">
        <v>0.28199999999999997</v>
      </c>
      <c r="G13" s="18">
        <v>262.7</v>
      </c>
      <c r="H13" s="9">
        <v>261.39999999999998</v>
      </c>
    </row>
    <row r="14" spans="1:8" x14ac:dyDescent="0.25">
      <c r="A14" s="17" t="s">
        <v>109</v>
      </c>
      <c r="B14" s="11">
        <v>114.23099999999999</v>
      </c>
      <c r="C14" s="11">
        <v>0.30199999999999999</v>
      </c>
      <c r="D14" s="18">
        <v>544</v>
      </c>
      <c r="E14" s="10">
        <v>25.68</v>
      </c>
      <c r="F14" s="11">
        <v>0.26600000000000001</v>
      </c>
      <c r="G14" s="18">
        <v>468</v>
      </c>
      <c r="H14" s="9">
        <v>372.4</v>
      </c>
    </row>
    <row r="15" spans="1:8" x14ac:dyDescent="0.25">
      <c r="A15" s="17" t="s">
        <v>14</v>
      </c>
      <c r="B15" s="11">
        <v>70.134</v>
      </c>
      <c r="C15" s="11">
        <v>0.19600000000000001</v>
      </c>
      <c r="D15" s="18">
        <v>511.8</v>
      </c>
      <c r="E15" s="10">
        <v>45.02</v>
      </c>
      <c r="F15" s="11">
        <v>0.27300000000000002</v>
      </c>
      <c r="G15" s="18">
        <v>258</v>
      </c>
      <c r="H15" s="9">
        <v>322.39999999999998</v>
      </c>
    </row>
    <row r="16" spans="1:8" x14ac:dyDescent="0.25">
      <c r="A16" s="17" t="s">
        <v>15</v>
      </c>
      <c r="B16" s="11">
        <v>84.161000000000001</v>
      </c>
      <c r="C16" s="11">
        <v>0.21</v>
      </c>
      <c r="D16" s="18">
        <v>553.6</v>
      </c>
      <c r="E16" s="10">
        <v>40.729999999999997</v>
      </c>
      <c r="F16" s="11">
        <v>0.27300000000000002</v>
      </c>
      <c r="G16" s="18">
        <v>308</v>
      </c>
      <c r="H16" s="9">
        <v>353.9</v>
      </c>
    </row>
    <row r="17" spans="1:8" x14ac:dyDescent="0.25">
      <c r="A17" s="17" t="s">
        <v>16</v>
      </c>
      <c r="B17" s="11">
        <v>84.161000000000001</v>
      </c>
      <c r="C17" s="11">
        <v>0.23</v>
      </c>
      <c r="D17" s="18">
        <v>532.79999999999995</v>
      </c>
      <c r="E17" s="10">
        <v>37.85</v>
      </c>
      <c r="F17" s="11">
        <v>0.27200000000000002</v>
      </c>
      <c r="G17" s="18">
        <v>319</v>
      </c>
      <c r="H17" s="9">
        <v>345</v>
      </c>
    </row>
    <row r="18" spans="1:8" x14ac:dyDescent="0.25">
      <c r="A18" s="17" t="s">
        <v>17</v>
      </c>
      <c r="B18" s="11">
        <v>98.188000000000002</v>
      </c>
      <c r="C18" s="11">
        <v>0.23499999999999999</v>
      </c>
      <c r="D18" s="18">
        <v>572.20000000000005</v>
      </c>
      <c r="E18" s="10">
        <v>34.71</v>
      </c>
      <c r="F18" s="11">
        <v>0.26900000000000002</v>
      </c>
      <c r="G18" s="18">
        <v>368</v>
      </c>
      <c r="H18" s="9">
        <v>374.1</v>
      </c>
    </row>
    <row r="19" spans="1:8" x14ac:dyDescent="0.25">
      <c r="A19" s="17" t="s">
        <v>18</v>
      </c>
      <c r="B19" s="11">
        <v>28.053999999999998</v>
      </c>
      <c r="C19" s="11">
        <v>8.6999999999999994E-2</v>
      </c>
      <c r="D19" s="18">
        <v>282.3</v>
      </c>
      <c r="E19" s="10">
        <v>50.4</v>
      </c>
      <c r="F19" s="11">
        <v>0.28100000000000003</v>
      </c>
      <c r="G19" s="18">
        <v>131</v>
      </c>
      <c r="H19" s="9">
        <v>169.4</v>
      </c>
    </row>
    <row r="20" spans="1:8" x14ac:dyDescent="0.25">
      <c r="A20" s="17" t="s">
        <v>19</v>
      </c>
      <c r="B20" s="11">
        <v>42.081000000000003</v>
      </c>
      <c r="C20" s="11">
        <v>0.14000000000000001</v>
      </c>
      <c r="D20" s="18">
        <v>365.6</v>
      </c>
      <c r="E20" s="10">
        <v>46.65</v>
      </c>
      <c r="F20" s="11">
        <v>0.28899999999999998</v>
      </c>
      <c r="G20" s="18">
        <v>188.4</v>
      </c>
      <c r="H20" s="9">
        <v>225.5</v>
      </c>
    </row>
    <row r="21" spans="1:8" x14ac:dyDescent="0.25">
      <c r="A21" s="17" t="s">
        <v>20</v>
      </c>
      <c r="B21" s="11">
        <v>56.107999999999997</v>
      </c>
      <c r="C21" s="11">
        <v>0.191</v>
      </c>
      <c r="D21" s="18">
        <v>420</v>
      </c>
      <c r="E21" s="10">
        <v>40.43</v>
      </c>
      <c r="F21" s="11">
        <v>0.27700000000000002</v>
      </c>
      <c r="G21" s="18">
        <v>239.3</v>
      </c>
      <c r="H21" s="9">
        <v>266.89999999999998</v>
      </c>
    </row>
    <row r="22" spans="1:8" x14ac:dyDescent="0.25">
      <c r="A22" s="17" t="s">
        <v>21</v>
      </c>
      <c r="B22" s="11">
        <v>56.107999999999997</v>
      </c>
      <c r="C22" s="11">
        <v>0.20499999999999999</v>
      </c>
      <c r="D22" s="18">
        <v>435.6</v>
      </c>
      <c r="E22" s="10">
        <v>42.43</v>
      </c>
      <c r="F22" s="11">
        <v>0.27300000000000002</v>
      </c>
      <c r="G22" s="18">
        <v>233.8</v>
      </c>
      <c r="H22" s="9">
        <v>276.89999999999998</v>
      </c>
    </row>
    <row r="23" spans="1:8" x14ac:dyDescent="0.25">
      <c r="A23" s="17" t="s">
        <v>22</v>
      </c>
      <c r="B23" s="11">
        <v>56.107999999999997</v>
      </c>
      <c r="C23" s="11">
        <v>0.218</v>
      </c>
      <c r="D23" s="18">
        <v>428.6</v>
      </c>
      <c r="E23" s="10">
        <v>41</v>
      </c>
      <c r="F23" s="11">
        <v>0.27500000000000002</v>
      </c>
      <c r="G23" s="18">
        <v>237.7</v>
      </c>
      <c r="H23" s="9">
        <v>274</v>
      </c>
    </row>
    <row r="24" spans="1:8" x14ac:dyDescent="0.25">
      <c r="A24" s="17" t="s">
        <v>23</v>
      </c>
      <c r="B24" s="11">
        <v>84.161000000000001</v>
      </c>
      <c r="C24" s="11">
        <v>0.28000000000000003</v>
      </c>
      <c r="D24" s="18">
        <v>504</v>
      </c>
      <c r="E24" s="10">
        <v>31.4</v>
      </c>
      <c r="F24" s="11">
        <v>0.26500000000000001</v>
      </c>
      <c r="G24" s="18">
        <v>354</v>
      </c>
      <c r="H24" s="9">
        <v>336.3</v>
      </c>
    </row>
    <row r="25" spans="1:8" x14ac:dyDescent="0.25">
      <c r="A25" s="17" t="s">
        <v>110</v>
      </c>
      <c r="B25" s="11">
        <v>56.107999999999997</v>
      </c>
      <c r="C25" s="11">
        <v>0.19400000000000001</v>
      </c>
      <c r="D25" s="18">
        <v>417.9</v>
      </c>
      <c r="E25" s="10">
        <v>40</v>
      </c>
      <c r="F25" s="11">
        <v>0.27500000000000002</v>
      </c>
      <c r="G25" s="18">
        <v>238.9</v>
      </c>
      <c r="H25" s="9">
        <v>266.3</v>
      </c>
    </row>
    <row r="26" spans="1:8" x14ac:dyDescent="0.25">
      <c r="A26" s="17" t="s">
        <v>24</v>
      </c>
      <c r="B26" s="11">
        <v>54.091999999999999</v>
      </c>
      <c r="C26" s="11">
        <v>0.19</v>
      </c>
      <c r="D26" s="18">
        <v>425.2</v>
      </c>
      <c r="E26" s="10">
        <v>42.77</v>
      </c>
      <c r="F26" s="11">
        <v>0.26700000000000002</v>
      </c>
      <c r="G26" s="18">
        <v>220.4</v>
      </c>
      <c r="H26" s="9">
        <v>268.7</v>
      </c>
    </row>
    <row r="27" spans="1:8" x14ac:dyDescent="0.25">
      <c r="A27" s="17" t="s">
        <v>25</v>
      </c>
      <c r="B27" s="11">
        <v>82.144999999999996</v>
      </c>
      <c r="C27" s="11">
        <v>0.21199999999999999</v>
      </c>
      <c r="D27" s="18">
        <v>560.4</v>
      </c>
      <c r="E27" s="10">
        <v>43.5</v>
      </c>
      <c r="F27" s="11">
        <v>0.27200000000000002</v>
      </c>
      <c r="G27" s="18">
        <v>291</v>
      </c>
      <c r="H27" s="9">
        <v>356.1</v>
      </c>
    </row>
    <row r="28" spans="1:8" x14ac:dyDescent="0.25">
      <c r="A28" s="17" t="s">
        <v>26</v>
      </c>
      <c r="B28" s="11">
        <v>26.038</v>
      </c>
      <c r="C28" s="11">
        <v>0.187</v>
      </c>
      <c r="D28" s="18">
        <v>308.3</v>
      </c>
      <c r="E28" s="10">
        <v>61.39</v>
      </c>
      <c r="F28" s="11">
        <v>0.27100000000000002</v>
      </c>
      <c r="G28" s="18">
        <v>113</v>
      </c>
      <c r="H28" s="9">
        <v>189.4</v>
      </c>
    </row>
    <row r="29" spans="1:8" x14ac:dyDescent="0.25">
      <c r="A29" s="17" t="s">
        <v>27</v>
      </c>
      <c r="B29" s="11">
        <v>78.114000000000004</v>
      </c>
      <c r="C29" s="11">
        <v>0.21</v>
      </c>
      <c r="D29" s="18">
        <v>562.20000000000005</v>
      </c>
      <c r="E29" s="10">
        <v>48.98</v>
      </c>
      <c r="F29" s="11">
        <v>0.27100000000000002</v>
      </c>
      <c r="G29" s="18">
        <v>259</v>
      </c>
      <c r="H29" s="9">
        <v>353.2</v>
      </c>
    </row>
    <row r="30" spans="1:8" x14ac:dyDescent="0.25">
      <c r="A30" s="17" t="s">
        <v>28</v>
      </c>
      <c r="B30" s="11">
        <v>92.141000000000005</v>
      </c>
      <c r="C30" s="11">
        <v>0.26200000000000001</v>
      </c>
      <c r="D30" s="18">
        <v>591.79999999999995</v>
      </c>
      <c r="E30" s="10">
        <v>41.06</v>
      </c>
      <c r="F30" s="11">
        <v>0.26400000000000001</v>
      </c>
      <c r="G30" s="18">
        <v>316</v>
      </c>
      <c r="H30" s="9">
        <v>383.8</v>
      </c>
    </row>
    <row r="31" spans="1:8" x14ac:dyDescent="0.25">
      <c r="A31" s="17" t="s">
        <v>29</v>
      </c>
      <c r="B31" s="11">
        <v>106.167</v>
      </c>
      <c r="C31" s="11">
        <v>0.30299999999999999</v>
      </c>
      <c r="D31" s="18">
        <v>617.20000000000005</v>
      </c>
      <c r="E31" s="10">
        <v>36.06</v>
      </c>
      <c r="F31" s="11">
        <v>0.26300000000000001</v>
      </c>
      <c r="G31" s="18">
        <v>374</v>
      </c>
      <c r="H31" s="9">
        <v>409.4</v>
      </c>
    </row>
    <row r="32" spans="1:8" x14ac:dyDescent="0.25">
      <c r="A32" s="17" t="s">
        <v>30</v>
      </c>
      <c r="B32" s="11">
        <v>120.194</v>
      </c>
      <c r="C32" s="11">
        <v>0.32600000000000001</v>
      </c>
      <c r="D32" s="18">
        <v>631.1</v>
      </c>
      <c r="E32" s="10">
        <v>32.090000000000003</v>
      </c>
      <c r="F32" s="11">
        <v>0.26100000000000001</v>
      </c>
      <c r="G32" s="18">
        <v>427</v>
      </c>
      <c r="H32" s="9">
        <v>425.6</v>
      </c>
    </row>
    <row r="33" spans="1:8" x14ac:dyDescent="0.25">
      <c r="A33" s="17" t="s">
        <v>31</v>
      </c>
      <c r="B33" s="11">
        <v>106.197</v>
      </c>
      <c r="C33" s="11">
        <v>0.31</v>
      </c>
      <c r="D33" s="18">
        <v>630.29999999999995</v>
      </c>
      <c r="E33" s="10">
        <v>37.340000000000003</v>
      </c>
      <c r="F33" s="11">
        <v>0.26300000000000001</v>
      </c>
      <c r="G33" s="18">
        <v>369</v>
      </c>
      <c r="H33" s="9">
        <v>417.6</v>
      </c>
    </row>
    <row r="34" spans="1:8" x14ac:dyDescent="0.25">
      <c r="A34" s="17" t="s">
        <v>32</v>
      </c>
      <c r="B34" s="11">
        <v>106.197</v>
      </c>
      <c r="C34" s="11">
        <v>0.32600000000000001</v>
      </c>
      <c r="D34" s="18">
        <v>617.1</v>
      </c>
      <c r="E34" s="10">
        <v>35.36</v>
      </c>
      <c r="F34" s="11">
        <v>0.25900000000000001</v>
      </c>
      <c r="G34" s="18">
        <v>376</v>
      </c>
      <c r="H34" s="9">
        <v>412.3</v>
      </c>
    </row>
    <row r="35" spans="1:8" x14ac:dyDescent="0.25">
      <c r="A35" s="17" t="s">
        <v>33</v>
      </c>
      <c r="B35" s="11">
        <v>106.197</v>
      </c>
      <c r="C35" s="11">
        <v>0.32200000000000001</v>
      </c>
      <c r="D35" s="18">
        <v>616.20000000000005</v>
      </c>
      <c r="E35" s="10">
        <v>35.11</v>
      </c>
      <c r="F35" s="11">
        <v>0.26</v>
      </c>
      <c r="G35" s="18">
        <v>379</v>
      </c>
      <c r="H35" s="18">
        <v>411.5</v>
      </c>
    </row>
    <row r="36" spans="1:8" x14ac:dyDescent="0.25">
      <c r="A36" s="17" t="s">
        <v>34</v>
      </c>
      <c r="B36" s="11">
        <v>104.152</v>
      </c>
      <c r="C36" s="11">
        <v>0.29699999999999999</v>
      </c>
      <c r="D36" s="18">
        <v>636</v>
      </c>
      <c r="E36" s="10">
        <v>38.4</v>
      </c>
      <c r="F36" s="11">
        <v>0.25600000000000001</v>
      </c>
      <c r="G36" s="18">
        <v>352</v>
      </c>
      <c r="H36" s="18">
        <v>418.3</v>
      </c>
    </row>
    <row r="37" spans="1:8" x14ac:dyDescent="0.25">
      <c r="A37" s="17" t="s">
        <v>35</v>
      </c>
      <c r="B37" s="11">
        <v>128.17400000000001</v>
      </c>
      <c r="C37" s="11">
        <v>0.30199999999999999</v>
      </c>
      <c r="D37" s="18">
        <v>748.4</v>
      </c>
      <c r="E37" s="10">
        <v>40.51</v>
      </c>
      <c r="F37" s="11">
        <v>0.26900000000000002</v>
      </c>
      <c r="G37" s="18">
        <v>413</v>
      </c>
      <c r="H37" s="18">
        <v>491.2</v>
      </c>
    </row>
    <row r="38" spans="1:8" x14ac:dyDescent="0.25">
      <c r="A38" s="17" t="s">
        <v>36</v>
      </c>
      <c r="B38" s="11">
        <v>154.21100000000001</v>
      </c>
      <c r="C38" s="11">
        <v>0.36499999999999999</v>
      </c>
      <c r="D38" s="18">
        <v>789.3</v>
      </c>
      <c r="E38" s="10">
        <v>38.5</v>
      </c>
      <c r="F38" s="11">
        <v>0.29499999999999998</v>
      </c>
      <c r="G38" s="18">
        <v>502</v>
      </c>
      <c r="H38" s="18">
        <v>528.20000000000005</v>
      </c>
    </row>
    <row r="39" spans="1:8" x14ac:dyDescent="0.25">
      <c r="A39" s="17" t="s">
        <v>37</v>
      </c>
      <c r="B39" s="11">
        <v>30.026</v>
      </c>
      <c r="C39" s="11">
        <v>0.28199999999999997</v>
      </c>
      <c r="D39" s="18">
        <v>408</v>
      </c>
      <c r="E39" s="10">
        <v>65.900000000000006</v>
      </c>
      <c r="F39" s="11">
        <v>0.223</v>
      </c>
      <c r="G39" s="18">
        <v>115</v>
      </c>
      <c r="H39" s="18">
        <v>254.1</v>
      </c>
    </row>
    <row r="40" spans="1:8" x14ac:dyDescent="0.25">
      <c r="A40" s="17" t="s">
        <v>38</v>
      </c>
      <c r="B40" s="11">
        <v>44.052999999999997</v>
      </c>
      <c r="C40" s="11">
        <v>0.29099999999999998</v>
      </c>
      <c r="D40" s="18">
        <v>466</v>
      </c>
      <c r="E40" s="10">
        <v>55.5</v>
      </c>
      <c r="F40" s="11">
        <v>0.221</v>
      </c>
      <c r="G40" s="18">
        <v>154</v>
      </c>
      <c r="H40" s="18">
        <v>294</v>
      </c>
    </row>
    <row r="41" spans="1:8" x14ac:dyDescent="0.25">
      <c r="A41" s="17" t="s">
        <v>39</v>
      </c>
      <c r="B41" s="11">
        <v>74.078999999999994</v>
      </c>
      <c r="C41" s="11">
        <v>0.33100000000000002</v>
      </c>
      <c r="D41" s="18">
        <v>506.6</v>
      </c>
      <c r="E41" s="10">
        <v>47.5</v>
      </c>
      <c r="F41" s="11">
        <v>0.25700000000000001</v>
      </c>
      <c r="G41" s="18">
        <v>228</v>
      </c>
      <c r="H41" s="18">
        <v>330.1</v>
      </c>
    </row>
    <row r="42" spans="1:8" x14ac:dyDescent="0.25">
      <c r="A42" s="17" t="s">
        <v>40</v>
      </c>
      <c r="B42" s="11">
        <v>88.105999999999995</v>
      </c>
      <c r="C42" s="11">
        <v>0.36599999999999999</v>
      </c>
      <c r="D42" s="18">
        <v>523.29999999999995</v>
      </c>
      <c r="E42" s="10">
        <v>38.799999999999997</v>
      </c>
      <c r="F42" s="11">
        <v>0.255</v>
      </c>
      <c r="G42" s="18">
        <v>286</v>
      </c>
      <c r="H42" s="18">
        <v>350.2</v>
      </c>
    </row>
    <row r="43" spans="1:8" x14ac:dyDescent="0.25">
      <c r="A43" s="17" t="s">
        <v>51</v>
      </c>
      <c r="B43" s="19">
        <v>58.08</v>
      </c>
      <c r="C43" s="11">
        <v>0.307</v>
      </c>
      <c r="D43" s="18">
        <v>508.2</v>
      </c>
      <c r="E43" s="10">
        <v>47.01</v>
      </c>
      <c r="F43" s="11">
        <v>0.23300000000000001</v>
      </c>
      <c r="G43" s="18">
        <v>209</v>
      </c>
      <c r="H43" s="18">
        <v>329.4</v>
      </c>
    </row>
    <row r="44" spans="1:8" x14ac:dyDescent="0.25">
      <c r="A44" s="17" t="s">
        <v>41</v>
      </c>
      <c r="B44" s="11">
        <v>72.106999999999999</v>
      </c>
      <c r="C44" s="11">
        <v>0.32300000000000001</v>
      </c>
      <c r="D44" s="18">
        <v>535.5</v>
      </c>
      <c r="E44" s="10">
        <v>41.5</v>
      </c>
      <c r="F44" s="11">
        <v>0.249</v>
      </c>
      <c r="G44" s="18">
        <v>267</v>
      </c>
      <c r="H44" s="18">
        <v>352.8</v>
      </c>
    </row>
    <row r="45" spans="1:8" x14ac:dyDescent="0.25">
      <c r="A45" s="17" t="s">
        <v>42</v>
      </c>
      <c r="B45" s="19">
        <v>74.123000000000005</v>
      </c>
      <c r="C45" s="11">
        <v>0.28100000000000003</v>
      </c>
      <c r="D45" s="18">
        <v>466.7</v>
      </c>
      <c r="E45" s="10">
        <v>36.4</v>
      </c>
      <c r="F45" s="11">
        <v>0.26300000000000001</v>
      </c>
      <c r="G45" s="18">
        <v>280</v>
      </c>
      <c r="H45" s="18">
        <v>307.60000000000002</v>
      </c>
    </row>
    <row r="46" spans="1:8" x14ac:dyDescent="0.25">
      <c r="A46" s="17" t="s">
        <v>3</v>
      </c>
      <c r="B46" s="11">
        <v>88.15</v>
      </c>
      <c r="C46" s="11">
        <v>0.26600000000000001</v>
      </c>
      <c r="D46" s="9">
        <v>497.1</v>
      </c>
      <c r="E46" s="10">
        <v>34.299999999999997</v>
      </c>
      <c r="F46" s="9">
        <v>0.27300000000000002</v>
      </c>
      <c r="G46" s="18">
        <v>329</v>
      </c>
      <c r="H46" s="18">
        <v>328.4</v>
      </c>
    </row>
    <row r="47" spans="1:8" x14ac:dyDescent="0.25">
      <c r="A47" s="17" t="s">
        <v>52</v>
      </c>
      <c r="B47" s="11">
        <v>32.042000000000002</v>
      </c>
      <c r="C47" s="11">
        <v>0.56399999999999995</v>
      </c>
      <c r="D47" s="18">
        <v>512.6</v>
      </c>
      <c r="E47" s="10">
        <v>80.97</v>
      </c>
      <c r="F47" s="9">
        <v>0.224</v>
      </c>
      <c r="G47" s="18">
        <v>118</v>
      </c>
      <c r="H47" s="18">
        <v>337.9</v>
      </c>
    </row>
    <row r="48" spans="1:8" x14ac:dyDescent="0.25">
      <c r="A48" s="17" t="s">
        <v>53</v>
      </c>
      <c r="B48" s="11">
        <v>46.069000000000003</v>
      </c>
      <c r="C48" s="11">
        <v>0.64500000000000002</v>
      </c>
      <c r="D48" s="18">
        <v>513.9</v>
      </c>
      <c r="E48" s="10">
        <v>61.48</v>
      </c>
      <c r="F48" s="11">
        <v>0.24</v>
      </c>
      <c r="G48" s="18">
        <v>167</v>
      </c>
      <c r="H48" s="18">
        <v>351.4</v>
      </c>
    </row>
    <row r="49" spans="1:8" x14ac:dyDescent="0.25">
      <c r="A49" s="17" t="s">
        <v>54</v>
      </c>
      <c r="B49" s="11">
        <v>60.095999999999997</v>
      </c>
      <c r="C49" s="11">
        <v>0.622</v>
      </c>
      <c r="D49" s="18">
        <v>536.79999999999995</v>
      </c>
      <c r="E49" s="10">
        <v>51.75</v>
      </c>
      <c r="F49" s="9">
        <v>0.254</v>
      </c>
      <c r="G49" s="18">
        <v>219</v>
      </c>
      <c r="H49" s="18">
        <v>370.4</v>
      </c>
    </row>
    <row r="50" spans="1:8" x14ac:dyDescent="0.25">
      <c r="A50" s="17" t="s">
        <v>55</v>
      </c>
      <c r="B50" s="11">
        <v>74.123000000000005</v>
      </c>
      <c r="C50" s="11">
        <v>0.59399999999999997</v>
      </c>
      <c r="D50" s="18">
        <v>563.1</v>
      </c>
      <c r="E50" s="10">
        <v>44.23</v>
      </c>
      <c r="F50" s="11">
        <v>0.26</v>
      </c>
      <c r="G50" s="18">
        <v>275</v>
      </c>
      <c r="H50" s="18">
        <v>390.8</v>
      </c>
    </row>
    <row r="51" spans="1:8" x14ac:dyDescent="0.25">
      <c r="A51" s="17" t="s">
        <v>56</v>
      </c>
      <c r="B51" s="11">
        <v>102.17700000000001</v>
      </c>
      <c r="C51" s="11">
        <v>0.57899999999999996</v>
      </c>
      <c r="D51" s="18">
        <v>611.4</v>
      </c>
      <c r="E51" s="10">
        <v>35.1</v>
      </c>
      <c r="F51" s="9">
        <v>0.26300000000000001</v>
      </c>
      <c r="G51" s="18">
        <v>381</v>
      </c>
      <c r="H51" s="18">
        <v>430.6</v>
      </c>
    </row>
    <row r="52" spans="1:8" x14ac:dyDescent="0.25">
      <c r="A52" s="17" t="s">
        <v>57</v>
      </c>
      <c r="B52" s="11">
        <v>60.095999999999997</v>
      </c>
      <c r="C52" s="11">
        <v>0.66800000000000004</v>
      </c>
      <c r="D52" s="18">
        <v>508.3</v>
      </c>
      <c r="E52" s="10">
        <v>47.62</v>
      </c>
      <c r="F52" s="11">
        <v>0.248</v>
      </c>
      <c r="G52" s="18">
        <v>220</v>
      </c>
      <c r="H52" s="18">
        <v>355.4</v>
      </c>
    </row>
    <row r="53" spans="1:8" x14ac:dyDescent="0.25">
      <c r="A53" s="17" t="s">
        <v>58</v>
      </c>
      <c r="B53" s="11">
        <v>64.113</v>
      </c>
      <c r="C53" s="11">
        <v>0.44400000000000001</v>
      </c>
      <c r="D53" s="18">
        <v>694.3</v>
      </c>
      <c r="E53" s="10">
        <v>61.3</v>
      </c>
      <c r="F53" s="9">
        <v>0.24299999999999999</v>
      </c>
      <c r="G53" s="18">
        <v>229</v>
      </c>
      <c r="H53" s="18">
        <v>455</v>
      </c>
    </row>
    <row r="54" spans="1:8" x14ac:dyDescent="0.25">
      <c r="A54" s="17" t="s">
        <v>59</v>
      </c>
      <c r="B54" s="11">
        <v>62.067999999999998</v>
      </c>
      <c r="C54" s="11">
        <v>0.48699999999999999</v>
      </c>
      <c r="D54" s="18">
        <v>719.7</v>
      </c>
      <c r="E54" s="10">
        <v>77</v>
      </c>
      <c r="F54" s="11">
        <v>0.246</v>
      </c>
      <c r="G54" s="18">
        <v>191</v>
      </c>
      <c r="H54" s="18">
        <v>470.5</v>
      </c>
    </row>
    <row r="55" spans="1:8" x14ac:dyDescent="0.25">
      <c r="A55" s="17" t="s">
        <v>60</v>
      </c>
      <c r="B55" s="11">
        <v>60.052999999999997</v>
      </c>
      <c r="C55" s="11">
        <v>0.46700000000000003</v>
      </c>
      <c r="D55" s="18">
        <v>592</v>
      </c>
      <c r="E55" s="10">
        <v>57.86</v>
      </c>
      <c r="F55" s="9">
        <v>0.21099999999999999</v>
      </c>
      <c r="G55" s="18">
        <v>179.7</v>
      </c>
      <c r="H55" s="18">
        <v>391.1</v>
      </c>
    </row>
    <row r="56" spans="1:8" x14ac:dyDescent="0.25">
      <c r="A56" s="17" t="s">
        <v>61</v>
      </c>
      <c r="B56" s="11">
        <v>88.105999999999995</v>
      </c>
      <c r="C56" s="11">
        <v>0.68100000000000005</v>
      </c>
      <c r="D56" s="18">
        <v>615.70000000000005</v>
      </c>
      <c r="E56" s="10">
        <v>40.64</v>
      </c>
      <c r="F56" s="11">
        <v>0.23200000000000001</v>
      </c>
      <c r="G56" s="18">
        <v>291.7</v>
      </c>
      <c r="H56" s="18">
        <v>436.4</v>
      </c>
    </row>
    <row r="57" spans="1:8" x14ac:dyDescent="0.25">
      <c r="A57" s="17" t="s">
        <v>62</v>
      </c>
      <c r="B57" s="11">
        <v>122.123</v>
      </c>
      <c r="C57" s="11">
        <v>0.60299999999999998</v>
      </c>
      <c r="D57" s="18">
        <v>751</v>
      </c>
      <c r="E57" s="10">
        <v>44.7</v>
      </c>
      <c r="F57" s="9">
        <v>0.246</v>
      </c>
      <c r="G57" s="18">
        <v>344</v>
      </c>
      <c r="H57" s="18">
        <v>522.4</v>
      </c>
    </row>
    <row r="58" spans="1:8" x14ac:dyDescent="0.25">
      <c r="A58" s="17" t="s">
        <v>63</v>
      </c>
      <c r="B58" s="11">
        <v>41.052999999999997</v>
      </c>
      <c r="C58" s="11">
        <v>0.33800000000000002</v>
      </c>
      <c r="D58" s="18">
        <v>545.5</v>
      </c>
      <c r="E58" s="10">
        <v>48.3</v>
      </c>
      <c r="F58" s="11">
        <v>0.184</v>
      </c>
      <c r="G58" s="18">
        <v>173</v>
      </c>
      <c r="H58" s="18">
        <v>354.8</v>
      </c>
    </row>
    <row r="59" spans="1:8" x14ac:dyDescent="0.25">
      <c r="A59" s="17" t="s">
        <v>64</v>
      </c>
      <c r="B59" s="11">
        <v>31.056999999999999</v>
      </c>
      <c r="C59" s="11">
        <v>0.28100000000000003</v>
      </c>
      <c r="D59" s="18">
        <v>430.1</v>
      </c>
      <c r="E59" s="10">
        <v>74.599999999999994</v>
      </c>
      <c r="F59" s="9">
        <v>0.32100000000000001</v>
      </c>
      <c r="G59" s="18">
        <v>154</v>
      </c>
      <c r="H59" s="18">
        <v>266.8</v>
      </c>
    </row>
    <row r="60" spans="1:8" x14ac:dyDescent="0.25">
      <c r="A60" s="17" t="s">
        <v>65</v>
      </c>
      <c r="B60" s="11">
        <v>45.084000000000003</v>
      </c>
      <c r="C60" s="11">
        <v>0.28499999999999998</v>
      </c>
      <c r="D60" s="18">
        <v>456.2</v>
      </c>
      <c r="E60" s="10">
        <v>56.2</v>
      </c>
      <c r="F60" s="11">
        <v>0.307</v>
      </c>
      <c r="G60" s="18">
        <v>207</v>
      </c>
      <c r="H60" s="18">
        <v>289.7</v>
      </c>
    </row>
    <row r="61" spans="1:8" x14ac:dyDescent="0.25">
      <c r="A61" s="17" t="s">
        <v>66</v>
      </c>
      <c r="B61" s="11">
        <v>61.04</v>
      </c>
      <c r="C61" s="11">
        <v>0.34799999999999998</v>
      </c>
      <c r="D61" s="18">
        <v>588.20000000000005</v>
      </c>
      <c r="E61" s="10">
        <v>63.1</v>
      </c>
      <c r="F61" s="9">
        <v>0.223</v>
      </c>
      <c r="G61" s="18">
        <v>173</v>
      </c>
      <c r="H61" s="18">
        <v>374.4</v>
      </c>
    </row>
    <row r="62" spans="1:8" x14ac:dyDescent="0.25">
      <c r="A62" s="17" t="s">
        <v>67</v>
      </c>
      <c r="B62" s="11">
        <v>153.822</v>
      </c>
      <c r="C62" s="11">
        <v>0.193</v>
      </c>
      <c r="D62" s="18">
        <v>556.4</v>
      </c>
      <c r="E62" s="10">
        <v>45.6</v>
      </c>
      <c r="F62" s="11">
        <v>0.27200000000000002</v>
      </c>
      <c r="G62" s="18">
        <v>276</v>
      </c>
      <c r="H62" s="18">
        <v>349.8</v>
      </c>
    </row>
    <row r="63" spans="1:8" x14ac:dyDescent="0.25">
      <c r="A63" s="17" t="s">
        <v>68</v>
      </c>
      <c r="B63" s="11">
        <v>119.377</v>
      </c>
      <c r="C63" s="11">
        <v>0.222</v>
      </c>
      <c r="D63" s="18">
        <v>536.4</v>
      </c>
      <c r="E63" s="10">
        <v>54.72</v>
      </c>
      <c r="F63" s="9">
        <v>0.29299999999999998</v>
      </c>
      <c r="G63" s="18">
        <v>239</v>
      </c>
      <c r="H63" s="18">
        <v>334.3</v>
      </c>
    </row>
    <row r="64" spans="1:8" x14ac:dyDescent="0.25">
      <c r="A64" s="17" t="s">
        <v>69</v>
      </c>
      <c r="B64" s="11">
        <v>84.932000000000002</v>
      </c>
      <c r="C64" s="11">
        <v>0.19900000000000001</v>
      </c>
      <c r="D64" s="18">
        <v>510</v>
      </c>
      <c r="E64" s="10">
        <v>60.8</v>
      </c>
      <c r="F64" s="11">
        <v>0.26500000000000001</v>
      </c>
      <c r="G64" s="18">
        <v>185</v>
      </c>
      <c r="H64" s="18">
        <v>312.89999999999998</v>
      </c>
    </row>
    <row r="65" spans="1:8" x14ac:dyDescent="0.25">
      <c r="A65" s="17" t="s">
        <v>70</v>
      </c>
      <c r="B65" s="11">
        <v>50.488</v>
      </c>
      <c r="C65" s="11">
        <v>0.153</v>
      </c>
      <c r="D65" s="18">
        <v>416.3</v>
      </c>
      <c r="E65" s="10">
        <v>66.8</v>
      </c>
      <c r="F65" s="9">
        <v>0.27600000000000002</v>
      </c>
      <c r="G65" s="18">
        <v>143</v>
      </c>
      <c r="H65" s="18">
        <v>249.1</v>
      </c>
    </row>
    <row r="66" spans="1:8" x14ac:dyDescent="0.25">
      <c r="A66" s="17" t="s">
        <v>71</v>
      </c>
      <c r="B66" s="11">
        <v>64.513999999999996</v>
      </c>
      <c r="C66" s="11">
        <v>0.19</v>
      </c>
      <c r="D66" s="18">
        <v>460.4</v>
      </c>
      <c r="E66" s="10">
        <v>52.7</v>
      </c>
      <c r="F66" s="11">
        <v>0.27500000000000002</v>
      </c>
      <c r="G66" s="18">
        <v>200</v>
      </c>
      <c r="H66" s="18">
        <v>285.39999999999998</v>
      </c>
    </row>
    <row r="67" spans="1:8" x14ac:dyDescent="0.25">
      <c r="A67" s="17" t="s">
        <v>72</v>
      </c>
      <c r="B67" s="11">
        <v>112.55800000000001</v>
      </c>
      <c r="C67" s="11">
        <v>0.25</v>
      </c>
      <c r="D67" s="18">
        <v>632.4</v>
      </c>
      <c r="E67" s="10">
        <v>45.2</v>
      </c>
      <c r="F67" s="9">
        <v>0.26500000000000001</v>
      </c>
      <c r="G67" s="18">
        <v>307</v>
      </c>
      <c r="H67" s="18">
        <v>404.9</v>
      </c>
    </row>
    <row r="68" spans="1:8" x14ac:dyDescent="0.25">
      <c r="A68" s="17" t="s">
        <v>73</v>
      </c>
      <c r="B68" s="11">
        <v>102.03</v>
      </c>
      <c r="C68" s="11">
        <v>0.32700000000000001</v>
      </c>
      <c r="D68" s="18">
        <v>374.2</v>
      </c>
      <c r="E68" s="10">
        <v>40.6</v>
      </c>
      <c r="F68" s="11">
        <v>0.25800000000000001</v>
      </c>
      <c r="G68" s="18">
        <v>198</v>
      </c>
      <c r="H68" s="18">
        <v>247.1</v>
      </c>
    </row>
    <row r="69" spans="1:8" x14ac:dyDescent="0.25">
      <c r="A69" s="17" t="s">
        <v>74</v>
      </c>
      <c r="B69" s="11">
        <v>39.948</v>
      </c>
      <c r="C69" s="11">
        <v>0</v>
      </c>
      <c r="D69" s="18">
        <v>150.9</v>
      </c>
      <c r="E69" s="10">
        <v>48.98</v>
      </c>
      <c r="F69" s="9">
        <v>0.29099999999999998</v>
      </c>
      <c r="G69" s="18">
        <v>74.599999999999994</v>
      </c>
      <c r="H69" s="18">
        <v>87.3</v>
      </c>
    </row>
    <row r="70" spans="1:8" x14ac:dyDescent="0.25">
      <c r="A70" s="17" t="s">
        <v>75</v>
      </c>
      <c r="B70" s="11">
        <v>83.8</v>
      </c>
      <c r="C70" s="11">
        <v>0</v>
      </c>
      <c r="D70" s="18">
        <v>209.4</v>
      </c>
      <c r="E70" s="10">
        <v>55.02</v>
      </c>
      <c r="F70" s="11">
        <v>0.28799999999999998</v>
      </c>
      <c r="G70" s="18">
        <v>91.2</v>
      </c>
      <c r="H70" s="18">
        <v>119.8</v>
      </c>
    </row>
    <row r="71" spans="1:8" x14ac:dyDescent="0.25">
      <c r="A71" s="17" t="s">
        <v>76</v>
      </c>
      <c r="B71" s="11">
        <v>131.30000000000001</v>
      </c>
      <c r="C71" s="11">
        <v>0</v>
      </c>
      <c r="D71" s="18">
        <v>289.7</v>
      </c>
      <c r="E71" s="10">
        <v>58.4</v>
      </c>
      <c r="F71" s="9">
        <v>0.28599999999999998</v>
      </c>
      <c r="G71" s="18">
        <v>118</v>
      </c>
      <c r="H71" s="18">
        <v>165</v>
      </c>
    </row>
    <row r="72" spans="1:8" x14ac:dyDescent="0.25">
      <c r="A72" s="17" t="s">
        <v>77</v>
      </c>
      <c r="B72" s="11">
        <v>4.0030000000000001</v>
      </c>
      <c r="C72" s="11">
        <v>-0.39</v>
      </c>
      <c r="D72" s="18">
        <v>5.2</v>
      </c>
      <c r="E72" s="10">
        <v>2.2799999999999998</v>
      </c>
      <c r="F72" s="11">
        <v>0.30199999999999999</v>
      </c>
      <c r="G72" s="18">
        <v>57.3</v>
      </c>
      <c r="H72" s="18">
        <v>4.2</v>
      </c>
    </row>
    <row r="73" spans="1:8" x14ac:dyDescent="0.25">
      <c r="A73" s="17" t="s">
        <v>78</v>
      </c>
      <c r="B73" s="11">
        <v>2.016</v>
      </c>
      <c r="C73" s="11">
        <v>-0.216</v>
      </c>
      <c r="D73" s="18">
        <v>33.19</v>
      </c>
      <c r="E73" s="10">
        <v>13.13</v>
      </c>
      <c r="F73" s="9">
        <v>0.30499999999999999</v>
      </c>
      <c r="G73" s="18">
        <v>64.099999999999994</v>
      </c>
      <c r="H73" s="18">
        <v>20.399999999999999</v>
      </c>
    </row>
    <row r="74" spans="1:8" x14ac:dyDescent="0.25">
      <c r="A74" s="17" t="s">
        <v>79</v>
      </c>
      <c r="B74" s="11">
        <v>31.998999999999999</v>
      </c>
      <c r="C74" s="11">
        <v>2.1999999999999999E-2</v>
      </c>
      <c r="D74" s="18">
        <v>154.6</v>
      </c>
      <c r="E74" s="10">
        <v>50.43</v>
      </c>
      <c r="F74" s="11">
        <v>0.28799999999999998</v>
      </c>
      <c r="G74" s="18">
        <v>73.400000000000006</v>
      </c>
      <c r="H74" s="18">
        <v>90.2</v>
      </c>
    </row>
    <row r="75" spans="1:8" x14ac:dyDescent="0.25">
      <c r="A75" s="17" t="s">
        <v>80</v>
      </c>
      <c r="B75" s="11">
        <v>28.013999999999999</v>
      </c>
      <c r="C75" s="11">
        <v>3.7999999999999999E-2</v>
      </c>
      <c r="D75" s="18">
        <v>126.2</v>
      </c>
      <c r="E75" s="10">
        <v>34</v>
      </c>
      <c r="F75" s="9">
        <v>0.28899999999999998</v>
      </c>
      <c r="G75" s="18">
        <v>89.2</v>
      </c>
      <c r="H75" s="18">
        <v>77.3</v>
      </c>
    </row>
    <row r="76" spans="1:8" x14ac:dyDescent="0.25">
      <c r="A76" s="17" t="s">
        <v>81</v>
      </c>
      <c r="B76" s="11">
        <v>28.850999999999999</v>
      </c>
      <c r="C76" s="11">
        <v>3.5000000000000003E-2</v>
      </c>
      <c r="D76" s="18">
        <v>132.19999999999999</v>
      </c>
      <c r="E76" s="10">
        <v>37.450000000000003</v>
      </c>
      <c r="F76" s="9">
        <v>0.28899999999999998</v>
      </c>
      <c r="G76" s="18">
        <v>84.8</v>
      </c>
      <c r="H76" s="18"/>
    </row>
    <row r="77" spans="1:8" x14ac:dyDescent="0.25">
      <c r="A77" s="17" t="s">
        <v>82</v>
      </c>
      <c r="B77" s="11">
        <v>70.905000000000001</v>
      </c>
      <c r="C77" s="11">
        <v>6.9000000000000006E-2</v>
      </c>
      <c r="D77" s="18">
        <v>417.2</v>
      </c>
      <c r="E77" s="10">
        <v>77.099999999999994</v>
      </c>
      <c r="F77" s="11">
        <v>0.26500000000000001</v>
      </c>
      <c r="G77" s="18">
        <v>124</v>
      </c>
      <c r="H77" s="18">
        <v>239.1</v>
      </c>
    </row>
    <row r="78" spans="1:8" x14ac:dyDescent="0.25">
      <c r="A78" s="17" t="s">
        <v>83</v>
      </c>
      <c r="B78" s="11">
        <v>28.01</v>
      </c>
      <c r="C78" s="11">
        <v>4.8000000000000001E-2</v>
      </c>
      <c r="D78" s="18">
        <v>132.9</v>
      </c>
      <c r="E78" s="10">
        <v>34.99</v>
      </c>
      <c r="F78" s="9">
        <v>0.29899999999999999</v>
      </c>
      <c r="G78" s="18">
        <v>93.4</v>
      </c>
      <c r="H78" s="18">
        <v>81.7</v>
      </c>
    </row>
    <row r="79" spans="1:8" x14ac:dyDescent="0.25">
      <c r="A79" s="17" t="s">
        <v>84</v>
      </c>
      <c r="B79" s="11">
        <v>44.01</v>
      </c>
      <c r="C79" s="11">
        <v>0.224</v>
      </c>
      <c r="D79" s="18">
        <v>304.2</v>
      </c>
      <c r="E79" s="10">
        <v>73.83</v>
      </c>
      <c r="F79" s="11">
        <v>0.27400000000000002</v>
      </c>
      <c r="G79" s="18">
        <v>94</v>
      </c>
      <c r="H79" s="18"/>
    </row>
    <row r="80" spans="1:8" x14ac:dyDescent="0.25">
      <c r="A80" s="17" t="s">
        <v>85</v>
      </c>
      <c r="B80" s="11">
        <v>76.143000000000001</v>
      </c>
      <c r="C80" s="11">
        <v>0.111</v>
      </c>
      <c r="D80" s="18">
        <v>552</v>
      </c>
      <c r="E80" s="10">
        <v>79</v>
      </c>
      <c r="F80" s="9">
        <v>0.27500000000000002</v>
      </c>
      <c r="G80" s="18">
        <v>160</v>
      </c>
      <c r="H80" s="18">
        <v>319.39999999999998</v>
      </c>
    </row>
    <row r="81" spans="1:14" x14ac:dyDescent="0.25">
      <c r="A81" s="17" t="s">
        <v>86</v>
      </c>
      <c r="B81" s="11">
        <v>34.082000000000001</v>
      </c>
      <c r="C81" s="11">
        <v>9.4E-2</v>
      </c>
      <c r="D81" s="18">
        <v>373.5</v>
      </c>
      <c r="E81" s="10">
        <v>89.63</v>
      </c>
      <c r="F81" s="11">
        <v>0.28399999999999997</v>
      </c>
      <c r="G81" s="18">
        <v>98.5</v>
      </c>
      <c r="H81" s="18">
        <v>212.8</v>
      </c>
    </row>
    <row r="82" spans="1:14" x14ac:dyDescent="0.25">
      <c r="A82" s="17" t="s">
        <v>87</v>
      </c>
      <c r="B82" s="11">
        <v>64.064999999999998</v>
      </c>
      <c r="C82" s="11">
        <v>0.245</v>
      </c>
      <c r="D82" s="18">
        <v>430.8</v>
      </c>
      <c r="E82" s="10">
        <v>78.84</v>
      </c>
      <c r="F82" s="9">
        <v>0.26900000000000002</v>
      </c>
      <c r="G82" s="18">
        <v>122</v>
      </c>
      <c r="H82" s="18">
        <v>263.10000000000002</v>
      </c>
    </row>
    <row r="83" spans="1:14" x14ac:dyDescent="0.25">
      <c r="A83" s="17" t="s">
        <v>88</v>
      </c>
      <c r="B83" s="11">
        <v>80.063999999999993</v>
      </c>
      <c r="C83" s="11">
        <v>0.42399999999999999</v>
      </c>
      <c r="D83" s="18">
        <v>490.9</v>
      </c>
      <c r="E83" s="10">
        <v>82.1</v>
      </c>
      <c r="F83" s="11">
        <v>0.255</v>
      </c>
      <c r="G83" s="18">
        <v>127</v>
      </c>
      <c r="H83" s="18">
        <v>317.89999999999998</v>
      </c>
      <c r="J83" t="s">
        <v>376</v>
      </c>
      <c r="K83" t="s">
        <v>377</v>
      </c>
      <c r="L83" t="s">
        <v>378</v>
      </c>
      <c r="N83" t="s">
        <v>379</v>
      </c>
    </row>
    <row r="84" spans="1:14" x14ac:dyDescent="0.25">
      <c r="A84" s="17" t="s">
        <v>375</v>
      </c>
      <c r="B84" s="11">
        <v>92.09</v>
      </c>
      <c r="C84" s="11">
        <v>0.7278</v>
      </c>
      <c r="D84" s="18">
        <v>726.15</v>
      </c>
      <c r="E84" s="10">
        <v>66.900000000000006</v>
      </c>
      <c r="F84" s="11"/>
      <c r="G84" s="18">
        <v>255</v>
      </c>
      <c r="H84" s="18"/>
      <c r="J84">
        <v>-1.1050000000000001E-2</v>
      </c>
      <c r="K84">
        <v>1.2029000000000001</v>
      </c>
      <c r="L84">
        <v>1.3806</v>
      </c>
      <c r="M84">
        <v>1.3456999999999999</v>
      </c>
      <c r="N84">
        <v>0.7278</v>
      </c>
    </row>
    <row r="85" spans="1:14" x14ac:dyDescent="0.25">
      <c r="A85" s="17" t="s">
        <v>89</v>
      </c>
      <c r="B85" s="11">
        <v>30.006</v>
      </c>
      <c r="C85" s="11">
        <v>0.58299999999999996</v>
      </c>
      <c r="D85" s="18">
        <v>180.2</v>
      </c>
      <c r="E85" s="10">
        <v>64.8</v>
      </c>
      <c r="F85" s="9">
        <v>0.251</v>
      </c>
      <c r="G85" s="18">
        <v>58</v>
      </c>
      <c r="H85" s="18">
        <v>121.4</v>
      </c>
    </row>
    <row r="86" spans="1:14" x14ac:dyDescent="0.25">
      <c r="A86" s="17" t="s">
        <v>90</v>
      </c>
      <c r="B86" s="11">
        <v>44.012999999999998</v>
      </c>
      <c r="C86" s="11">
        <v>0.14099999999999999</v>
      </c>
      <c r="D86" s="18">
        <v>309.60000000000002</v>
      </c>
      <c r="E86" s="10">
        <v>72.45</v>
      </c>
      <c r="F86" s="11">
        <v>0.27400000000000002</v>
      </c>
      <c r="G86" s="18">
        <v>97.4</v>
      </c>
      <c r="H86" s="18">
        <v>184.7</v>
      </c>
    </row>
    <row r="87" spans="1:14" x14ac:dyDescent="0.25">
      <c r="A87" s="17" t="s">
        <v>91</v>
      </c>
      <c r="B87" s="11">
        <v>36.460999999999999</v>
      </c>
      <c r="C87" s="11">
        <v>0.13200000000000001</v>
      </c>
      <c r="D87" s="18">
        <v>324.7</v>
      </c>
      <c r="E87" s="10">
        <v>83.1</v>
      </c>
      <c r="F87" s="9">
        <v>0.249</v>
      </c>
      <c r="G87" s="18">
        <v>81</v>
      </c>
      <c r="H87" s="18">
        <v>188.2</v>
      </c>
    </row>
    <row r="88" spans="1:14" x14ac:dyDescent="0.25">
      <c r="A88" s="17" t="s">
        <v>92</v>
      </c>
      <c r="B88" s="11">
        <v>27.026</v>
      </c>
      <c r="C88" s="11">
        <v>0.41</v>
      </c>
      <c r="D88" s="18">
        <v>456.7</v>
      </c>
      <c r="E88" s="10">
        <v>53.9</v>
      </c>
      <c r="F88" s="11">
        <v>0.19700000000000001</v>
      </c>
      <c r="G88" s="18">
        <v>139</v>
      </c>
      <c r="H88" s="18">
        <v>298.89999999999998</v>
      </c>
    </row>
    <row r="89" spans="1:14" x14ac:dyDescent="0.25">
      <c r="A89" s="17" t="s">
        <v>93</v>
      </c>
      <c r="B89" s="11">
        <v>18.015000000000001</v>
      </c>
      <c r="C89" s="11">
        <v>0.34499999999999997</v>
      </c>
      <c r="D89" s="18">
        <v>647.1</v>
      </c>
      <c r="E89" s="10">
        <v>220.55</v>
      </c>
      <c r="F89" s="9">
        <v>0.22900000000000001</v>
      </c>
      <c r="G89" s="18">
        <v>55.9</v>
      </c>
      <c r="H89" s="18">
        <v>373.2</v>
      </c>
    </row>
    <row r="90" spans="1:14" x14ac:dyDescent="0.25">
      <c r="A90" s="17" t="s">
        <v>94</v>
      </c>
      <c r="B90" s="11">
        <v>17.030999999999999</v>
      </c>
      <c r="C90" s="11">
        <v>0.253</v>
      </c>
      <c r="D90" s="18">
        <v>405.7</v>
      </c>
      <c r="E90" s="10">
        <v>112.8</v>
      </c>
      <c r="F90" s="11">
        <v>0.24199999999999999</v>
      </c>
      <c r="G90" s="18">
        <v>72.5</v>
      </c>
      <c r="H90" s="18">
        <v>239.7</v>
      </c>
    </row>
    <row r="91" spans="1:14" x14ac:dyDescent="0.25">
      <c r="A91" s="17" t="s">
        <v>95</v>
      </c>
      <c r="B91" s="11">
        <v>63.012999999999998</v>
      </c>
      <c r="C91" s="11">
        <v>0.71399999999999997</v>
      </c>
      <c r="D91" s="18">
        <v>520</v>
      </c>
      <c r="E91" s="10">
        <v>68.900000000000006</v>
      </c>
      <c r="F91" s="9">
        <v>0.23100000000000001</v>
      </c>
      <c r="G91" s="18">
        <v>145</v>
      </c>
      <c r="H91" s="18">
        <v>356.2</v>
      </c>
    </row>
    <row r="92" spans="1:14" x14ac:dyDescent="0.25">
      <c r="A92" s="17" t="s">
        <v>96</v>
      </c>
      <c r="B92" s="11">
        <v>98.08</v>
      </c>
      <c r="C92" s="11"/>
      <c r="D92" s="18">
        <v>924</v>
      </c>
      <c r="E92" s="10">
        <v>64</v>
      </c>
      <c r="F92" s="11">
        <v>0.14699999999999999</v>
      </c>
      <c r="G92" s="18">
        <v>177</v>
      </c>
      <c r="H92" s="18">
        <v>610</v>
      </c>
    </row>
    <row r="94" spans="1:14" x14ac:dyDescent="0.25">
      <c r="A94" s="141" t="s">
        <v>159</v>
      </c>
      <c r="B94" s="141"/>
      <c r="C94" s="141"/>
      <c r="D94" s="141"/>
      <c r="E94" s="141"/>
      <c r="F94" s="141"/>
      <c r="G94" s="141"/>
      <c r="H94" s="141"/>
      <c r="I94" s="141"/>
      <c r="J94" s="141"/>
    </row>
    <row r="95" spans="1:14" x14ac:dyDescent="0.25">
      <c r="A95" s="150" t="s">
        <v>98</v>
      </c>
      <c r="B95" s="145" t="s">
        <v>99</v>
      </c>
      <c r="C95" s="147" t="s">
        <v>103</v>
      </c>
      <c r="D95" s="148"/>
      <c r="E95" s="149"/>
      <c r="F95" s="147" t="s">
        <v>104</v>
      </c>
      <c r="G95" s="148"/>
      <c r="H95" s="21" t="s">
        <v>164</v>
      </c>
      <c r="I95" s="21" t="s">
        <v>164</v>
      </c>
      <c r="J95" s="23" t="s">
        <v>105</v>
      </c>
    </row>
    <row r="96" spans="1:14" x14ac:dyDescent="0.25">
      <c r="A96" s="151"/>
      <c r="B96" s="146"/>
      <c r="C96" s="16" t="s">
        <v>100</v>
      </c>
      <c r="D96" s="14" t="s">
        <v>101</v>
      </c>
      <c r="E96" s="14" t="s">
        <v>102</v>
      </c>
      <c r="F96" s="14" t="s">
        <v>160</v>
      </c>
      <c r="G96" s="20" t="s">
        <v>161</v>
      </c>
      <c r="H96" s="22" t="s">
        <v>162</v>
      </c>
      <c r="I96" s="22" t="s">
        <v>106</v>
      </c>
      <c r="J96" s="22" t="s">
        <v>107</v>
      </c>
    </row>
    <row r="97" spans="1:10" x14ac:dyDescent="0.25">
      <c r="A97" s="17" t="s">
        <v>51</v>
      </c>
      <c r="B97" s="9" t="s">
        <v>117</v>
      </c>
      <c r="C97" s="12">
        <v>14.314500000000001</v>
      </c>
      <c r="D97" s="10">
        <v>2756.22</v>
      </c>
      <c r="E97" s="11">
        <v>228.06</v>
      </c>
      <c r="F97" s="24">
        <v>-26</v>
      </c>
      <c r="G97" s="24">
        <v>77</v>
      </c>
      <c r="H97" s="18">
        <f>I97+273.15</f>
        <v>329.34999999999997</v>
      </c>
      <c r="I97" s="18">
        <v>56.2</v>
      </c>
      <c r="J97" s="10">
        <v>29.1</v>
      </c>
    </row>
    <row r="98" spans="1:10" x14ac:dyDescent="0.25">
      <c r="A98" s="17" t="s">
        <v>60</v>
      </c>
      <c r="B98" s="9" t="s">
        <v>118</v>
      </c>
      <c r="C98" s="12">
        <v>15.0717</v>
      </c>
      <c r="D98" s="10">
        <v>3580.8</v>
      </c>
      <c r="E98" s="11">
        <v>224.65</v>
      </c>
      <c r="F98" s="24">
        <v>24</v>
      </c>
      <c r="G98" s="24">
        <v>142</v>
      </c>
      <c r="H98" s="18">
        <f>I98+273.15</f>
        <v>391.04999999999995</v>
      </c>
      <c r="I98" s="18">
        <v>117.9</v>
      </c>
      <c r="J98" s="10">
        <v>23.7</v>
      </c>
    </row>
    <row r="99" spans="1:10" x14ac:dyDescent="0.25">
      <c r="A99" s="17" t="s">
        <v>63</v>
      </c>
      <c r="B99" s="9" t="s">
        <v>119</v>
      </c>
      <c r="C99" s="12">
        <v>14.895</v>
      </c>
      <c r="D99" s="10">
        <v>3413.1</v>
      </c>
      <c r="E99" s="11">
        <v>250.523</v>
      </c>
      <c r="F99" s="24">
        <v>-27</v>
      </c>
      <c r="G99" s="24">
        <v>81</v>
      </c>
      <c r="H99" s="18">
        <f t="shared" ref="H99:H138" si="0">I99+273.15</f>
        <v>354.75</v>
      </c>
      <c r="I99" s="18">
        <v>81.599999999999994</v>
      </c>
      <c r="J99" s="10">
        <v>30.19</v>
      </c>
    </row>
    <row r="100" spans="1:10" x14ac:dyDescent="0.25">
      <c r="A100" s="17" t="s">
        <v>27</v>
      </c>
      <c r="B100" s="9" t="s">
        <v>120</v>
      </c>
      <c r="C100" s="12">
        <v>13.7819</v>
      </c>
      <c r="D100" s="10">
        <v>2726.81</v>
      </c>
      <c r="E100" s="11">
        <v>217.572</v>
      </c>
      <c r="F100" s="24">
        <v>6</v>
      </c>
      <c r="G100" s="24">
        <v>104</v>
      </c>
      <c r="H100" s="18">
        <f t="shared" si="0"/>
        <v>353.15</v>
      </c>
      <c r="I100" s="18">
        <v>80</v>
      </c>
      <c r="J100" s="10">
        <v>30.72</v>
      </c>
    </row>
    <row r="101" spans="1:10" x14ac:dyDescent="0.25">
      <c r="A101" s="17" t="s">
        <v>108</v>
      </c>
      <c r="B101" s="9" t="s">
        <v>121</v>
      </c>
      <c r="C101" s="12">
        <v>13.8254</v>
      </c>
      <c r="D101" s="10">
        <v>2181.79</v>
      </c>
      <c r="E101" s="11">
        <v>248.87</v>
      </c>
      <c r="F101" s="24">
        <v>-83</v>
      </c>
      <c r="G101" s="24">
        <v>7</v>
      </c>
      <c r="H101" s="18">
        <f t="shared" si="0"/>
        <v>261.25</v>
      </c>
      <c r="I101" s="18">
        <v>-11.9</v>
      </c>
      <c r="J101" s="10">
        <v>21.3</v>
      </c>
    </row>
    <row r="102" spans="1:10" x14ac:dyDescent="0.25">
      <c r="A102" s="17" t="s">
        <v>7</v>
      </c>
      <c r="B102" s="9" t="s">
        <v>121</v>
      </c>
      <c r="C102" s="12">
        <v>13.6608</v>
      </c>
      <c r="D102" s="10">
        <v>2154.6999999999998</v>
      </c>
      <c r="E102" s="11">
        <v>238.78899999999999</v>
      </c>
      <c r="F102" s="24">
        <v>-73</v>
      </c>
      <c r="G102" s="24">
        <v>19</v>
      </c>
      <c r="H102" s="18">
        <f t="shared" si="0"/>
        <v>272.64999999999998</v>
      </c>
      <c r="I102" s="18">
        <v>-0.5</v>
      </c>
      <c r="J102" s="10">
        <v>22.44</v>
      </c>
    </row>
    <row r="103" spans="1:10" x14ac:dyDescent="0.25">
      <c r="A103" s="17" t="s">
        <v>55</v>
      </c>
      <c r="B103" s="9" t="s">
        <v>122</v>
      </c>
      <c r="C103" s="12">
        <v>15.314399999999999</v>
      </c>
      <c r="D103" s="10">
        <v>3212.43</v>
      </c>
      <c r="E103" s="11">
        <v>182.739</v>
      </c>
      <c r="F103" s="24">
        <v>37</v>
      </c>
      <c r="G103" s="24">
        <v>138</v>
      </c>
      <c r="H103" s="18">
        <f t="shared" si="0"/>
        <v>390.75</v>
      </c>
      <c r="I103" s="18">
        <v>117.6</v>
      </c>
      <c r="J103" s="10">
        <v>43.29</v>
      </c>
    </row>
    <row r="104" spans="1:10" x14ac:dyDescent="0.25">
      <c r="A104" s="17" t="s">
        <v>111</v>
      </c>
      <c r="B104" s="9" t="s">
        <v>122</v>
      </c>
      <c r="C104" s="12">
        <v>15.1989</v>
      </c>
      <c r="D104" s="10">
        <v>3026.03</v>
      </c>
      <c r="E104" s="11">
        <v>186.5</v>
      </c>
      <c r="F104" s="24">
        <v>25</v>
      </c>
      <c r="G104" s="24">
        <v>120</v>
      </c>
      <c r="H104" s="18">
        <f t="shared" si="0"/>
        <v>372.65</v>
      </c>
      <c r="I104" s="18">
        <v>99.5</v>
      </c>
      <c r="J104" s="10">
        <v>40.75</v>
      </c>
    </row>
    <row r="105" spans="1:10" x14ac:dyDescent="0.25">
      <c r="A105" s="17" t="s">
        <v>112</v>
      </c>
      <c r="B105" s="9" t="s">
        <v>122</v>
      </c>
      <c r="C105" s="12">
        <v>14.604699999999999</v>
      </c>
      <c r="D105" s="10">
        <v>2740.95</v>
      </c>
      <c r="E105" s="11">
        <v>166.67</v>
      </c>
      <c r="F105" s="24">
        <v>30</v>
      </c>
      <c r="G105" s="24">
        <v>128</v>
      </c>
      <c r="H105" s="18">
        <f t="shared" si="0"/>
        <v>380.95</v>
      </c>
      <c r="I105" s="18">
        <v>107.8</v>
      </c>
      <c r="J105" s="10">
        <v>41.82</v>
      </c>
    </row>
    <row r="106" spans="1:10" x14ac:dyDescent="0.25">
      <c r="A106" s="17" t="s">
        <v>113</v>
      </c>
      <c r="B106" s="9" t="s">
        <v>122</v>
      </c>
      <c r="C106" s="12">
        <v>14.8445</v>
      </c>
      <c r="D106" s="10">
        <v>2658.29</v>
      </c>
      <c r="E106" s="11">
        <v>177.65</v>
      </c>
      <c r="F106" s="24">
        <v>10</v>
      </c>
      <c r="G106" s="24">
        <v>101</v>
      </c>
      <c r="H106" s="18">
        <f t="shared" si="0"/>
        <v>355.45</v>
      </c>
      <c r="I106" s="18">
        <v>82.3</v>
      </c>
      <c r="J106" s="10">
        <v>39.07</v>
      </c>
    </row>
    <row r="107" spans="1:10" x14ac:dyDescent="0.25">
      <c r="A107" s="17" t="s">
        <v>67</v>
      </c>
      <c r="B107" s="9" t="s">
        <v>123</v>
      </c>
      <c r="C107" s="12">
        <v>14.0572</v>
      </c>
      <c r="D107" s="10">
        <v>2914.23</v>
      </c>
      <c r="E107" s="11">
        <v>232.148</v>
      </c>
      <c r="F107" s="24">
        <v>-14</v>
      </c>
      <c r="G107" s="24">
        <v>101</v>
      </c>
      <c r="H107" s="18">
        <f t="shared" si="0"/>
        <v>349.75</v>
      </c>
      <c r="I107" s="18">
        <v>76.599999999999994</v>
      </c>
      <c r="J107" s="10">
        <v>29.82</v>
      </c>
    </row>
    <row r="108" spans="1:10" x14ac:dyDescent="0.25">
      <c r="A108" s="17" t="s">
        <v>72</v>
      </c>
      <c r="B108" s="9" t="s">
        <v>124</v>
      </c>
      <c r="C108" s="12">
        <v>13.8635</v>
      </c>
      <c r="D108" s="10">
        <v>3174.78</v>
      </c>
      <c r="E108" s="11">
        <v>211.7</v>
      </c>
      <c r="F108" s="24">
        <v>29</v>
      </c>
      <c r="G108" s="24">
        <v>159</v>
      </c>
      <c r="H108" s="18">
        <f t="shared" si="0"/>
        <v>404.84999999999997</v>
      </c>
      <c r="I108" s="18">
        <v>131.69999999999999</v>
      </c>
      <c r="J108" s="10">
        <v>35.19</v>
      </c>
    </row>
    <row r="109" spans="1:10" x14ac:dyDescent="0.25">
      <c r="A109" s="17" t="s">
        <v>114</v>
      </c>
      <c r="B109" s="9" t="s">
        <v>125</v>
      </c>
      <c r="C109" s="12">
        <v>13.7965</v>
      </c>
      <c r="D109" s="10">
        <v>2723.73</v>
      </c>
      <c r="E109" s="11">
        <v>218.26499999999999</v>
      </c>
      <c r="F109" s="24">
        <v>-17</v>
      </c>
      <c r="G109" s="24">
        <v>79</v>
      </c>
      <c r="H109" s="18">
        <f t="shared" si="0"/>
        <v>351.65</v>
      </c>
      <c r="I109" s="18">
        <v>78.5</v>
      </c>
      <c r="J109" s="10">
        <v>30.39</v>
      </c>
    </row>
    <row r="110" spans="1:10" x14ac:dyDescent="0.25">
      <c r="A110" s="17" t="s">
        <v>68</v>
      </c>
      <c r="B110" s="9" t="s">
        <v>126</v>
      </c>
      <c r="C110" s="12">
        <v>13.7324</v>
      </c>
      <c r="D110" s="10">
        <v>2548.7399999999998</v>
      </c>
      <c r="E110" s="11">
        <v>218.55199999999999</v>
      </c>
      <c r="F110" s="24">
        <v>-23</v>
      </c>
      <c r="G110" s="24">
        <v>84</v>
      </c>
      <c r="H110" s="18">
        <f t="shared" si="0"/>
        <v>334.25</v>
      </c>
      <c r="I110" s="18">
        <v>61.1</v>
      </c>
      <c r="J110" s="10">
        <v>29.24</v>
      </c>
    </row>
    <row r="111" spans="1:10" x14ac:dyDescent="0.25">
      <c r="A111" s="17" t="s">
        <v>15</v>
      </c>
      <c r="B111" s="9" t="s">
        <v>127</v>
      </c>
      <c r="C111" s="12">
        <v>13.6568</v>
      </c>
      <c r="D111" s="10">
        <v>2723.44</v>
      </c>
      <c r="E111" s="11">
        <v>220.61799999999999</v>
      </c>
      <c r="F111" s="24">
        <v>9</v>
      </c>
      <c r="G111" s="24">
        <v>105</v>
      </c>
      <c r="H111" s="18">
        <f t="shared" si="0"/>
        <v>353.84999999999997</v>
      </c>
      <c r="I111" s="18">
        <v>80.7</v>
      </c>
      <c r="J111" s="10">
        <v>29.97</v>
      </c>
    </row>
    <row r="112" spans="1:10" x14ac:dyDescent="0.25">
      <c r="A112" s="17" t="s">
        <v>14</v>
      </c>
      <c r="B112" s="9" t="s">
        <v>128</v>
      </c>
      <c r="C112" s="12">
        <v>13.9727</v>
      </c>
      <c r="D112" s="10">
        <v>2653.9</v>
      </c>
      <c r="E112" s="11">
        <v>234.51</v>
      </c>
      <c r="F112" s="24">
        <v>-35</v>
      </c>
      <c r="G112" s="24">
        <v>71</v>
      </c>
      <c r="H112" s="18">
        <f t="shared" si="0"/>
        <v>322.34999999999997</v>
      </c>
      <c r="I112" s="18">
        <v>49.2</v>
      </c>
      <c r="J112" s="10">
        <v>27.3</v>
      </c>
    </row>
    <row r="113" spans="1:10" x14ac:dyDescent="0.25">
      <c r="A113" s="17" t="s">
        <v>13</v>
      </c>
      <c r="B113" s="9" t="s">
        <v>129</v>
      </c>
      <c r="C113" s="12">
        <v>13.9748</v>
      </c>
      <c r="D113" s="10">
        <v>3442.76</v>
      </c>
      <c r="E113" s="11">
        <v>193.858</v>
      </c>
      <c r="F113" s="24">
        <v>65</v>
      </c>
      <c r="G113" s="24">
        <v>203</v>
      </c>
      <c r="H113" s="18">
        <f t="shared" si="0"/>
        <v>447.25</v>
      </c>
      <c r="I113" s="18">
        <v>174.1</v>
      </c>
      <c r="J113" s="10">
        <v>38.75</v>
      </c>
    </row>
    <row r="114" spans="1:10" x14ac:dyDescent="0.25">
      <c r="A114" s="17" t="s">
        <v>69</v>
      </c>
      <c r="B114" s="9" t="s">
        <v>130</v>
      </c>
      <c r="C114" s="12">
        <v>13.989100000000001</v>
      </c>
      <c r="D114" s="10">
        <v>2463.9299999999998</v>
      </c>
      <c r="E114" s="11">
        <v>223.24</v>
      </c>
      <c r="F114" s="24">
        <v>-38</v>
      </c>
      <c r="G114" s="24">
        <v>60</v>
      </c>
      <c r="H114" s="18">
        <f t="shared" si="0"/>
        <v>312.84999999999997</v>
      </c>
      <c r="I114" s="18">
        <v>39.700000000000003</v>
      </c>
      <c r="J114" s="10">
        <v>28.06</v>
      </c>
    </row>
    <row r="115" spans="1:10" x14ac:dyDescent="0.25">
      <c r="A115" s="17" t="s">
        <v>42</v>
      </c>
      <c r="B115" s="9" t="s">
        <v>122</v>
      </c>
      <c r="C115" s="12">
        <v>14.073499999999999</v>
      </c>
      <c r="D115" s="10">
        <v>2511.29</v>
      </c>
      <c r="E115" s="11">
        <v>231.2</v>
      </c>
      <c r="F115" s="24">
        <v>-43</v>
      </c>
      <c r="G115" s="24">
        <v>55</v>
      </c>
      <c r="H115" s="18">
        <f t="shared" si="0"/>
        <v>307.54999999999995</v>
      </c>
      <c r="I115" s="18">
        <v>34.4</v>
      </c>
      <c r="J115" s="10">
        <v>26.52</v>
      </c>
    </row>
    <row r="116" spans="1:10" x14ac:dyDescent="0.25">
      <c r="A116" s="17" t="s">
        <v>115</v>
      </c>
      <c r="B116" s="9" t="s">
        <v>131</v>
      </c>
      <c r="C116" s="12">
        <v>15.0967</v>
      </c>
      <c r="D116" s="10">
        <v>3579.78</v>
      </c>
      <c r="E116" s="11">
        <v>240.33699999999999</v>
      </c>
      <c r="F116" s="24">
        <v>20</v>
      </c>
      <c r="G116" s="24">
        <v>105</v>
      </c>
      <c r="H116" s="18">
        <f t="shared" si="0"/>
        <v>374.45</v>
      </c>
      <c r="I116" s="18">
        <v>101.3</v>
      </c>
      <c r="J116" s="10">
        <v>34.159999999999997</v>
      </c>
    </row>
    <row r="117" spans="1:10" x14ac:dyDescent="0.25">
      <c r="A117" s="17" t="s">
        <v>116</v>
      </c>
      <c r="B117" s="9" t="s">
        <v>132</v>
      </c>
      <c r="C117" s="12">
        <v>14.4575</v>
      </c>
      <c r="D117" s="10">
        <v>4680.46</v>
      </c>
      <c r="E117" s="11">
        <v>132.1</v>
      </c>
      <c r="F117" s="24">
        <v>208</v>
      </c>
      <c r="G117" s="24">
        <v>379</v>
      </c>
      <c r="H117" s="18">
        <f t="shared" si="0"/>
        <v>616.75</v>
      </c>
      <c r="I117" s="18">
        <v>343.6</v>
      </c>
      <c r="J117" s="10">
        <v>57.49</v>
      </c>
    </row>
    <row r="118" spans="1:10" x14ac:dyDescent="0.25">
      <c r="A118" s="17" t="s">
        <v>53</v>
      </c>
      <c r="B118" s="9" t="s">
        <v>133</v>
      </c>
      <c r="C118" s="12">
        <v>16.895800000000001</v>
      </c>
      <c r="D118" s="10">
        <v>3795.17</v>
      </c>
      <c r="E118" s="11">
        <v>230.91800000000001</v>
      </c>
      <c r="F118" s="24">
        <v>3</v>
      </c>
      <c r="G118" s="24">
        <v>96</v>
      </c>
      <c r="H118" s="18">
        <f t="shared" si="0"/>
        <v>351.34999999999997</v>
      </c>
      <c r="I118" s="18">
        <v>78.2</v>
      </c>
      <c r="J118" s="10">
        <v>38.56</v>
      </c>
    </row>
    <row r="119" spans="1:10" x14ac:dyDescent="0.25">
      <c r="A119" s="17" t="s">
        <v>29</v>
      </c>
      <c r="B119" s="9" t="s">
        <v>134</v>
      </c>
      <c r="C119" s="12">
        <v>13.9726</v>
      </c>
      <c r="D119" s="10">
        <v>3259.93</v>
      </c>
      <c r="E119" s="11">
        <v>212.3</v>
      </c>
      <c r="F119" s="24">
        <v>33</v>
      </c>
      <c r="G119" s="24">
        <v>163</v>
      </c>
      <c r="H119" s="18">
        <f t="shared" si="0"/>
        <v>409.34999999999997</v>
      </c>
      <c r="I119" s="18">
        <v>136.19999999999999</v>
      </c>
      <c r="J119" s="10">
        <v>35.57</v>
      </c>
    </row>
    <row r="120" spans="1:10" x14ac:dyDescent="0.25">
      <c r="A120" s="17" t="s">
        <v>59</v>
      </c>
      <c r="B120" s="9" t="s">
        <v>133</v>
      </c>
      <c r="C120" s="12">
        <v>15.7567</v>
      </c>
      <c r="D120" s="10">
        <v>4187.46</v>
      </c>
      <c r="E120" s="11">
        <v>178.65</v>
      </c>
      <c r="F120" s="24">
        <v>100</v>
      </c>
      <c r="G120" s="24">
        <v>222</v>
      </c>
      <c r="H120" s="18">
        <f t="shared" si="0"/>
        <v>470.45</v>
      </c>
      <c r="I120" s="18">
        <v>197.3</v>
      </c>
      <c r="J120" s="10">
        <v>50.73</v>
      </c>
    </row>
    <row r="121" spans="1:10" x14ac:dyDescent="0.25">
      <c r="A121" s="17" t="s">
        <v>10</v>
      </c>
      <c r="B121" s="9" t="s">
        <v>134</v>
      </c>
      <c r="C121" s="12">
        <v>13.8622</v>
      </c>
      <c r="D121" s="10">
        <v>2910.26</v>
      </c>
      <c r="E121" s="11">
        <v>216.43199999999999</v>
      </c>
      <c r="F121" s="24">
        <v>4</v>
      </c>
      <c r="G121" s="24">
        <v>123</v>
      </c>
      <c r="H121" s="18">
        <f t="shared" si="0"/>
        <v>371.54999999999995</v>
      </c>
      <c r="I121" s="18">
        <v>98.4</v>
      </c>
      <c r="J121" s="10">
        <v>31.77</v>
      </c>
    </row>
    <row r="122" spans="1:10" x14ac:dyDescent="0.25">
      <c r="A122" s="17" t="s">
        <v>9</v>
      </c>
      <c r="B122" s="9" t="s">
        <v>135</v>
      </c>
      <c r="C122" s="12">
        <v>13.8193</v>
      </c>
      <c r="D122" s="10">
        <v>2696.04</v>
      </c>
      <c r="E122" s="11">
        <v>224.31700000000001</v>
      </c>
      <c r="F122" s="24">
        <v>-19</v>
      </c>
      <c r="G122" s="24">
        <v>92</v>
      </c>
      <c r="H122" s="18">
        <f t="shared" si="0"/>
        <v>341.84999999999997</v>
      </c>
      <c r="I122" s="18">
        <v>68.7</v>
      </c>
      <c r="J122" s="10">
        <v>28.85</v>
      </c>
    </row>
    <row r="123" spans="1:10" x14ac:dyDescent="0.25">
      <c r="A123" s="17" t="s">
        <v>52</v>
      </c>
      <c r="B123" s="9" t="s">
        <v>136</v>
      </c>
      <c r="C123" s="12">
        <v>16.578499999999998</v>
      </c>
      <c r="D123" s="10">
        <v>3638.27</v>
      </c>
      <c r="E123" s="11">
        <v>239.5</v>
      </c>
      <c r="F123" s="24">
        <v>-11</v>
      </c>
      <c r="G123" s="24">
        <v>83</v>
      </c>
      <c r="H123" s="18">
        <f t="shared" si="0"/>
        <v>307.84999999999997</v>
      </c>
      <c r="I123" s="18">
        <v>34.700000000000003</v>
      </c>
      <c r="J123" s="10">
        <v>35.21</v>
      </c>
    </row>
    <row r="124" spans="1:10" x14ac:dyDescent="0.25">
      <c r="A124" s="17" t="s">
        <v>39</v>
      </c>
      <c r="B124" s="9" t="s">
        <v>137</v>
      </c>
      <c r="C124" s="12">
        <v>14.2456</v>
      </c>
      <c r="D124" s="10">
        <v>2662.78</v>
      </c>
      <c r="E124" s="11">
        <v>219.69</v>
      </c>
      <c r="F124" s="24">
        <v>-23</v>
      </c>
      <c r="G124" s="24">
        <v>78</v>
      </c>
      <c r="H124" s="18">
        <f t="shared" si="0"/>
        <v>330.04999999999995</v>
      </c>
      <c r="I124" s="18">
        <v>56.9</v>
      </c>
      <c r="J124" s="10">
        <v>30.32</v>
      </c>
    </row>
    <row r="125" spans="1:10" x14ac:dyDescent="0.25">
      <c r="A125" s="17" t="s">
        <v>41</v>
      </c>
      <c r="B125" s="9" t="s">
        <v>138</v>
      </c>
      <c r="C125" s="12">
        <v>14.1334</v>
      </c>
      <c r="D125" s="10">
        <v>2838.24</v>
      </c>
      <c r="E125" s="11">
        <v>218.69</v>
      </c>
      <c r="F125" s="24">
        <v>-8</v>
      </c>
      <c r="G125" s="24">
        <v>103</v>
      </c>
      <c r="H125" s="18">
        <f t="shared" si="0"/>
        <v>352.75</v>
      </c>
      <c r="I125" s="18">
        <v>79.599999999999994</v>
      </c>
      <c r="J125" s="10">
        <v>31.3</v>
      </c>
    </row>
    <row r="126" spans="1:10" x14ac:dyDescent="0.25">
      <c r="A126" s="17" t="s">
        <v>66</v>
      </c>
      <c r="B126" s="9" t="s">
        <v>139</v>
      </c>
      <c r="C126" s="12">
        <v>14.751300000000001</v>
      </c>
      <c r="D126" s="10">
        <v>3331.7</v>
      </c>
      <c r="E126" s="11">
        <v>227.6</v>
      </c>
      <c r="F126" s="24">
        <v>56</v>
      </c>
      <c r="G126" s="24">
        <v>146</v>
      </c>
      <c r="H126" s="18">
        <f t="shared" si="0"/>
        <v>374.34999999999997</v>
      </c>
      <c r="I126" s="18">
        <v>101.2</v>
      </c>
      <c r="J126" s="10">
        <v>33.99</v>
      </c>
    </row>
    <row r="127" spans="1:10" x14ac:dyDescent="0.25">
      <c r="A127" s="17" t="s">
        <v>12</v>
      </c>
      <c r="B127" s="9" t="s">
        <v>140</v>
      </c>
      <c r="C127" s="12">
        <v>13.9854</v>
      </c>
      <c r="D127" s="10">
        <v>3311.19</v>
      </c>
      <c r="E127" s="11">
        <v>202.69399999999999</v>
      </c>
      <c r="F127" s="24">
        <v>46</v>
      </c>
      <c r="G127" s="24">
        <v>178</v>
      </c>
      <c r="H127" s="18">
        <f t="shared" si="0"/>
        <v>423.95</v>
      </c>
      <c r="I127" s="18">
        <v>150.80000000000001</v>
      </c>
      <c r="J127" s="10">
        <v>36.909999999999997</v>
      </c>
    </row>
    <row r="128" spans="1:10" x14ac:dyDescent="0.25">
      <c r="A128" s="17" t="s">
        <v>109</v>
      </c>
      <c r="B128" s="9" t="s">
        <v>141</v>
      </c>
      <c r="C128" s="12">
        <v>13.670299999999999</v>
      </c>
      <c r="D128" s="10">
        <v>2896.31</v>
      </c>
      <c r="E128" s="11">
        <v>220.767</v>
      </c>
      <c r="F128" s="24">
        <v>2</v>
      </c>
      <c r="G128" s="24">
        <v>125</v>
      </c>
      <c r="H128" s="18">
        <f t="shared" si="0"/>
        <v>372.34999999999997</v>
      </c>
      <c r="I128" s="18">
        <v>99.2</v>
      </c>
      <c r="J128" s="10">
        <v>30.79</v>
      </c>
    </row>
    <row r="129" spans="1:10" x14ac:dyDescent="0.25">
      <c r="A129" s="17" t="s">
        <v>11</v>
      </c>
      <c r="B129" s="9" t="s">
        <v>141</v>
      </c>
      <c r="C129" s="12">
        <v>13.9346</v>
      </c>
      <c r="D129" s="10">
        <v>3123.13</v>
      </c>
      <c r="E129" s="11">
        <v>209.63499999999999</v>
      </c>
      <c r="F129" s="24">
        <v>26</v>
      </c>
      <c r="G129" s="24">
        <v>152</v>
      </c>
      <c r="H129" s="18">
        <f t="shared" si="0"/>
        <v>398.75</v>
      </c>
      <c r="I129" s="18">
        <v>125.6</v>
      </c>
      <c r="J129" s="10">
        <v>34.409999999999997</v>
      </c>
    </row>
    <row r="130" spans="1:10" x14ac:dyDescent="0.25">
      <c r="A130" s="17" t="s">
        <v>8</v>
      </c>
      <c r="B130" s="9" t="s">
        <v>142</v>
      </c>
      <c r="C130" s="12">
        <v>13.7667</v>
      </c>
      <c r="D130" s="10">
        <v>2451.88</v>
      </c>
      <c r="E130" s="11">
        <v>232.01400000000001</v>
      </c>
      <c r="F130" s="24">
        <v>-45</v>
      </c>
      <c r="G130" s="24">
        <v>58</v>
      </c>
      <c r="H130" s="18">
        <f t="shared" si="0"/>
        <v>309.14999999999998</v>
      </c>
      <c r="I130" s="18">
        <v>36</v>
      </c>
      <c r="J130" s="10">
        <v>25.79</v>
      </c>
    </row>
    <row r="131" spans="1:10" x14ac:dyDescent="0.25">
      <c r="A131" s="17" t="s">
        <v>58</v>
      </c>
      <c r="B131" s="9" t="s">
        <v>143</v>
      </c>
      <c r="C131" s="12">
        <v>14.438700000000001</v>
      </c>
      <c r="D131" s="10">
        <v>3507.8</v>
      </c>
      <c r="E131" s="11">
        <v>175.4</v>
      </c>
      <c r="F131" s="24">
        <v>80</v>
      </c>
      <c r="G131" s="24">
        <v>208</v>
      </c>
      <c r="H131" s="18">
        <f t="shared" si="0"/>
        <v>454.95</v>
      </c>
      <c r="I131" s="18">
        <v>181.8</v>
      </c>
      <c r="J131" s="10">
        <v>46.18</v>
      </c>
    </row>
    <row r="132" spans="1:10" x14ac:dyDescent="0.25">
      <c r="A132" s="17" t="s">
        <v>54</v>
      </c>
      <c r="B132" s="9" t="s">
        <v>144</v>
      </c>
      <c r="C132" s="12">
        <v>16.115400000000001</v>
      </c>
      <c r="D132" s="10">
        <v>3483.67</v>
      </c>
      <c r="E132" s="11">
        <v>205.80699999999999</v>
      </c>
      <c r="F132" s="24">
        <v>20</v>
      </c>
      <c r="G132" s="24">
        <v>116</v>
      </c>
      <c r="H132" s="18">
        <f t="shared" si="0"/>
        <v>370.34999999999997</v>
      </c>
      <c r="I132" s="18">
        <v>97.2</v>
      </c>
      <c r="J132" s="10">
        <v>41.44</v>
      </c>
    </row>
    <row r="133" spans="1:10" x14ac:dyDescent="0.25">
      <c r="A133" s="17" t="s">
        <v>57</v>
      </c>
      <c r="B133" s="9" t="s">
        <v>144</v>
      </c>
      <c r="C133" s="12">
        <v>16.679600000000001</v>
      </c>
      <c r="D133" s="10">
        <v>3640.2</v>
      </c>
      <c r="E133" s="11">
        <v>219.61</v>
      </c>
      <c r="F133" s="24">
        <v>8</v>
      </c>
      <c r="G133" s="24">
        <v>100</v>
      </c>
      <c r="H133" s="18">
        <f t="shared" si="0"/>
        <v>355.34999999999997</v>
      </c>
      <c r="I133" s="18">
        <v>82.2</v>
      </c>
      <c r="J133" s="10">
        <v>39.85</v>
      </c>
    </row>
    <row r="134" spans="1:10" x14ac:dyDescent="0.25">
      <c r="A134" s="17" t="s">
        <v>28</v>
      </c>
      <c r="B134" s="9" t="s">
        <v>145</v>
      </c>
      <c r="C134" s="12">
        <v>13.932</v>
      </c>
      <c r="D134" s="10">
        <v>3056.96</v>
      </c>
      <c r="E134" s="11">
        <v>217.625</v>
      </c>
      <c r="F134" s="24">
        <v>13</v>
      </c>
      <c r="G134" s="24">
        <v>136</v>
      </c>
      <c r="H134" s="18">
        <f t="shared" si="0"/>
        <v>373.75</v>
      </c>
      <c r="I134" s="18">
        <v>100.6</v>
      </c>
      <c r="J134" s="10">
        <v>33.18</v>
      </c>
    </row>
    <row r="135" spans="1:10" x14ac:dyDescent="0.25">
      <c r="A135" s="17" t="s">
        <v>93</v>
      </c>
      <c r="B135" s="9" t="s">
        <v>146</v>
      </c>
      <c r="C135" s="12">
        <v>16.3872</v>
      </c>
      <c r="D135" s="10">
        <v>3885.7</v>
      </c>
      <c r="E135" s="11">
        <v>230.17</v>
      </c>
      <c r="F135" s="24">
        <v>0</v>
      </c>
      <c r="G135" s="24">
        <v>200</v>
      </c>
      <c r="H135" s="18">
        <f t="shared" si="0"/>
        <v>373.15</v>
      </c>
      <c r="I135" s="18">
        <v>100</v>
      </c>
      <c r="J135" s="10">
        <v>40.659999999999997</v>
      </c>
    </row>
    <row r="136" spans="1:10" x14ac:dyDescent="0.25">
      <c r="A136" s="17" t="s">
        <v>31</v>
      </c>
      <c r="B136" s="9" t="s">
        <v>134</v>
      </c>
      <c r="C136" s="12">
        <v>14.041499999999999</v>
      </c>
      <c r="D136" s="10">
        <v>3358.79</v>
      </c>
      <c r="E136" s="11">
        <v>212.041</v>
      </c>
      <c r="F136" s="24">
        <v>40</v>
      </c>
      <c r="G136" s="24">
        <v>172</v>
      </c>
      <c r="H136" s="18">
        <f t="shared" si="0"/>
        <v>417.54999999999995</v>
      </c>
      <c r="I136" s="18">
        <v>144.4</v>
      </c>
      <c r="J136" s="10">
        <v>36.24</v>
      </c>
    </row>
    <row r="137" spans="1:10" x14ac:dyDescent="0.25">
      <c r="A137" s="17" t="s">
        <v>32</v>
      </c>
      <c r="B137" s="9" t="s">
        <v>134</v>
      </c>
      <c r="C137" s="12">
        <v>14.1387</v>
      </c>
      <c r="D137" s="10">
        <v>3381.81</v>
      </c>
      <c r="E137" s="11">
        <v>216.12</v>
      </c>
      <c r="F137" s="24">
        <v>35</v>
      </c>
      <c r="G137" s="24">
        <v>166</v>
      </c>
      <c r="H137" s="18">
        <f t="shared" si="0"/>
        <v>412.25</v>
      </c>
      <c r="I137" s="18">
        <v>139.1</v>
      </c>
      <c r="J137" s="10">
        <v>35.659999999999997</v>
      </c>
    </row>
    <row r="138" spans="1:10" x14ac:dyDescent="0.25">
      <c r="A138" s="17" t="s">
        <v>33</v>
      </c>
      <c r="B138" s="9" t="s">
        <v>134</v>
      </c>
      <c r="C138" s="12">
        <v>14.0579</v>
      </c>
      <c r="D138" s="10">
        <v>3331.45</v>
      </c>
      <c r="E138" s="11">
        <v>214.62700000000001</v>
      </c>
      <c r="F138" s="24">
        <v>35</v>
      </c>
      <c r="G138" s="24">
        <v>166</v>
      </c>
      <c r="H138" s="18">
        <f t="shared" si="0"/>
        <v>411.45</v>
      </c>
      <c r="I138" s="18">
        <v>138.30000000000001</v>
      </c>
      <c r="J138" s="10">
        <v>35.67</v>
      </c>
    </row>
    <row r="150" spans="1:1" x14ac:dyDescent="0.25">
      <c r="A150" s="17" t="s">
        <v>24</v>
      </c>
    </row>
    <row r="151" spans="1:1" x14ac:dyDescent="0.25">
      <c r="A151" s="17" t="s">
        <v>115</v>
      </c>
    </row>
    <row r="152" spans="1:1" x14ac:dyDescent="0.25">
      <c r="A152" s="17" t="s">
        <v>55</v>
      </c>
    </row>
    <row r="153" spans="1:1" x14ac:dyDescent="0.25">
      <c r="A153" s="17" t="s">
        <v>20</v>
      </c>
    </row>
    <row r="154" spans="1:1" x14ac:dyDescent="0.25">
      <c r="A154" s="17" t="s">
        <v>114</v>
      </c>
    </row>
    <row r="155" spans="1:1" x14ac:dyDescent="0.25">
      <c r="A155" s="17" t="s">
        <v>56</v>
      </c>
    </row>
    <row r="156" spans="1:1" x14ac:dyDescent="0.25">
      <c r="A156" s="17" t="s">
        <v>23</v>
      </c>
    </row>
    <row r="157" spans="1:1" x14ac:dyDescent="0.25">
      <c r="A157" s="17" t="s">
        <v>54</v>
      </c>
    </row>
    <row r="158" spans="1:1" x14ac:dyDescent="0.25">
      <c r="A158" s="17" t="s">
        <v>111</v>
      </c>
    </row>
    <row r="159" spans="1:1" x14ac:dyDescent="0.25">
      <c r="A159" s="17" t="s">
        <v>57</v>
      </c>
    </row>
    <row r="160" spans="1:1" x14ac:dyDescent="0.25">
      <c r="A160" s="17" t="s">
        <v>38</v>
      </c>
    </row>
    <row r="161" spans="1:1" x14ac:dyDescent="0.25">
      <c r="A161" s="17" t="s">
        <v>60</v>
      </c>
    </row>
    <row r="162" spans="1:1" x14ac:dyDescent="0.25">
      <c r="A162" s="17" t="s">
        <v>51</v>
      </c>
    </row>
    <row r="163" spans="1:1" x14ac:dyDescent="0.25">
      <c r="A163" s="17" t="s">
        <v>63</v>
      </c>
    </row>
    <row r="164" spans="1:1" x14ac:dyDescent="0.25">
      <c r="A164" s="17" t="s">
        <v>26</v>
      </c>
    </row>
    <row r="165" spans="1:1" x14ac:dyDescent="0.25">
      <c r="A165" s="17" t="s">
        <v>81</v>
      </c>
    </row>
    <row r="166" spans="1:1" x14ac:dyDescent="0.25">
      <c r="A166" s="17" t="s">
        <v>94</v>
      </c>
    </row>
    <row r="167" spans="1:1" x14ac:dyDescent="0.25">
      <c r="A167" s="17" t="s">
        <v>74</v>
      </c>
    </row>
    <row r="168" spans="1:1" x14ac:dyDescent="0.25">
      <c r="A168" s="17" t="s">
        <v>27</v>
      </c>
    </row>
    <row r="169" spans="1:1" x14ac:dyDescent="0.25">
      <c r="A169" s="17" t="s">
        <v>62</v>
      </c>
    </row>
    <row r="170" spans="1:1" x14ac:dyDescent="0.25">
      <c r="A170" s="17" t="s">
        <v>36</v>
      </c>
    </row>
    <row r="171" spans="1:1" x14ac:dyDescent="0.25">
      <c r="A171" s="17" t="s">
        <v>84</v>
      </c>
    </row>
    <row r="172" spans="1:1" x14ac:dyDescent="0.25">
      <c r="A172" s="17" t="s">
        <v>85</v>
      </c>
    </row>
    <row r="173" spans="1:1" x14ac:dyDescent="0.25">
      <c r="A173" s="17" t="s">
        <v>83</v>
      </c>
    </row>
    <row r="174" spans="1:1" x14ac:dyDescent="0.25">
      <c r="A174" s="17" t="s">
        <v>67</v>
      </c>
    </row>
    <row r="175" spans="1:1" x14ac:dyDescent="0.25">
      <c r="A175" s="17" t="s">
        <v>82</v>
      </c>
    </row>
    <row r="176" spans="1:1" x14ac:dyDescent="0.25">
      <c r="A176" s="17" t="s">
        <v>72</v>
      </c>
    </row>
    <row r="177" spans="1:1" x14ac:dyDescent="0.25">
      <c r="A177" s="17" t="s">
        <v>68</v>
      </c>
    </row>
    <row r="178" spans="1:1" x14ac:dyDescent="0.25">
      <c r="A178" s="17" t="s">
        <v>21</v>
      </c>
    </row>
    <row r="179" spans="1:1" x14ac:dyDescent="0.25">
      <c r="A179" s="17" t="s">
        <v>30</v>
      </c>
    </row>
    <row r="180" spans="1:1" x14ac:dyDescent="0.25">
      <c r="A180" s="17" t="s">
        <v>15</v>
      </c>
    </row>
    <row r="181" spans="1:1" x14ac:dyDescent="0.25">
      <c r="A181" s="17" t="s">
        <v>25</v>
      </c>
    </row>
    <row r="182" spans="1:1" x14ac:dyDescent="0.25">
      <c r="A182" s="17" t="s">
        <v>14</v>
      </c>
    </row>
    <row r="183" spans="1:1" x14ac:dyDescent="0.25">
      <c r="A183" s="17" t="s">
        <v>69</v>
      </c>
    </row>
    <row r="184" spans="1:1" x14ac:dyDescent="0.25">
      <c r="A184" s="17" t="s">
        <v>42</v>
      </c>
    </row>
    <row r="185" spans="1:1" x14ac:dyDescent="0.25">
      <c r="A185" s="17" t="s">
        <v>5</v>
      </c>
    </row>
    <row r="186" spans="1:1" x14ac:dyDescent="0.25">
      <c r="A186" s="17" t="s">
        <v>53</v>
      </c>
    </row>
    <row r="187" spans="1:1" x14ac:dyDescent="0.25">
      <c r="A187" s="17" t="s">
        <v>40</v>
      </c>
    </row>
    <row r="188" spans="1:1" x14ac:dyDescent="0.25">
      <c r="A188" s="17" t="s">
        <v>71</v>
      </c>
    </row>
    <row r="189" spans="1:1" x14ac:dyDescent="0.25">
      <c r="A189" s="17" t="s">
        <v>65</v>
      </c>
    </row>
    <row r="190" spans="1:1" x14ac:dyDescent="0.25">
      <c r="A190" s="17" t="s">
        <v>29</v>
      </c>
    </row>
    <row r="191" spans="1:1" x14ac:dyDescent="0.25">
      <c r="A191" s="17" t="s">
        <v>18</v>
      </c>
    </row>
    <row r="192" spans="1:1" x14ac:dyDescent="0.25">
      <c r="A192" s="17" t="s">
        <v>59</v>
      </c>
    </row>
    <row r="193" spans="1:1" x14ac:dyDescent="0.25">
      <c r="A193" s="17" t="s">
        <v>37</v>
      </c>
    </row>
    <row r="194" spans="1:1" x14ac:dyDescent="0.25">
      <c r="A194" s="17" t="s">
        <v>375</v>
      </c>
    </row>
    <row r="195" spans="1:1" x14ac:dyDescent="0.25">
      <c r="A195" s="17" t="s">
        <v>77</v>
      </c>
    </row>
    <row r="196" spans="1:1" x14ac:dyDescent="0.25">
      <c r="A196" s="17" t="s">
        <v>78</v>
      </c>
    </row>
    <row r="197" spans="1:1" x14ac:dyDescent="0.25">
      <c r="A197" s="17" t="s">
        <v>91</v>
      </c>
    </row>
    <row r="198" spans="1:1" x14ac:dyDescent="0.25">
      <c r="A198" s="17" t="s">
        <v>92</v>
      </c>
    </row>
    <row r="199" spans="1:1" x14ac:dyDescent="0.25">
      <c r="A199" s="17" t="s">
        <v>86</v>
      </c>
    </row>
    <row r="200" spans="1:1" x14ac:dyDescent="0.25">
      <c r="A200" s="17" t="s">
        <v>108</v>
      </c>
    </row>
    <row r="201" spans="1:1" x14ac:dyDescent="0.25">
      <c r="A201" s="17" t="s">
        <v>112</v>
      </c>
    </row>
    <row r="202" spans="1:1" x14ac:dyDescent="0.25">
      <c r="A202" s="17" t="s">
        <v>110</v>
      </c>
    </row>
    <row r="203" spans="1:1" x14ac:dyDescent="0.25">
      <c r="A203" s="17" t="s">
        <v>109</v>
      </c>
    </row>
    <row r="204" spans="1:1" x14ac:dyDescent="0.25">
      <c r="A204" s="17" t="s">
        <v>75</v>
      </c>
    </row>
    <row r="205" spans="1:1" x14ac:dyDescent="0.25">
      <c r="A205" s="17" t="s">
        <v>4</v>
      </c>
    </row>
    <row r="206" spans="1:1" x14ac:dyDescent="0.25">
      <c r="A206" s="17" t="s">
        <v>52</v>
      </c>
    </row>
    <row r="207" spans="1:1" x14ac:dyDescent="0.25">
      <c r="A207" s="17" t="s">
        <v>39</v>
      </c>
    </row>
    <row r="208" spans="1:1" x14ac:dyDescent="0.25">
      <c r="A208" s="17" t="s">
        <v>70</v>
      </c>
    </row>
    <row r="209" spans="1:1" x14ac:dyDescent="0.25">
      <c r="A209" s="17" t="s">
        <v>41</v>
      </c>
    </row>
    <row r="210" spans="1:1" x14ac:dyDescent="0.25">
      <c r="A210" s="17" t="s">
        <v>3</v>
      </c>
    </row>
    <row r="211" spans="1:1" x14ac:dyDescent="0.25">
      <c r="A211" s="17" t="s">
        <v>64</v>
      </c>
    </row>
    <row r="212" spans="1:1" x14ac:dyDescent="0.25">
      <c r="A212" s="17" t="s">
        <v>17</v>
      </c>
    </row>
    <row r="213" spans="1:1" x14ac:dyDescent="0.25">
      <c r="A213" s="17" t="s">
        <v>16</v>
      </c>
    </row>
    <row r="214" spans="1:1" x14ac:dyDescent="0.25">
      <c r="A214" s="17" t="s">
        <v>32</v>
      </c>
    </row>
    <row r="215" spans="1:1" x14ac:dyDescent="0.25">
      <c r="A215" s="17" t="s">
        <v>35</v>
      </c>
    </row>
    <row r="216" spans="1:1" x14ac:dyDescent="0.25">
      <c r="A216" s="17" t="s">
        <v>7</v>
      </c>
    </row>
    <row r="217" spans="1:1" x14ac:dyDescent="0.25">
      <c r="A217" s="17" t="s">
        <v>61</v>
      </c>
    </row>
    <row r="218" spans="1:1" x14ac:dyDescent="0.25">
      <c r="A218" s="17" t="s">
        <v>13</v>
      </c>
    </row>
    <row r="219" spans="1:1" x14ac:dyDescent="0.25">
      <c r="A219" s="17" t="s">
        <v>116</v>
      </c>
    </row>
    <row r="220" spans="1:1" x14ac:dyDescent="0.25">
      <c r="A220" s="17" t="s">
        <v>10</v>
      </c>
    </row>
    <row r="221" spans="1:1" x14ac:dyDescent="0.25">
      <c r="A221" s="17" t="s">
        <v>9</v>
      </c>
    </row>
    <row r="222" spans="1:1" x14ac:dyDescent="0.25">
      <c r="A222" s="17" t="s">
        <v>95</v>
      </c>
    </row>
    <row r="223" spans="1:1" x14ac:dyDescent="0.25">
      <c r="A223" s="17" t="s">
        <v>89</v>
      </c>
    </row>
    <row r="224" spans="1:1" x14ac:dyDescent="0.25">
      <c r="A224" s="17" t="s">
        <v>80</v>
      </c>
    </row>
    <row r="225" spans="1:1" x14ac:dyDescent="0.25">
      <c r="A225" s="17" t="s">
        <v>66</v>
      </c>
    </row>
    <row r="226" spans="1:1" x14ac:dyDescent="0.25">
      <c r="A226" s="17" t="s">
        <v>90</v>
      </c>
    </row>
    <row r="227" spans="1:1" x14ac:dyDescent="0.25">
      <c r="A227" s="17" t="s">
        <v>12</v>
      </c>
    </row>
    <row r="228" spans="1:1" x14ac:dyDescent="0.25">
      <c r="A228" s="17" t="s">
        <v>11</v>
      </c>
    </row>
    <row r="229" spans="1:1" x14ac:dyDescent="0.25">
      <c r="A229" s="17" t="s">
        <v>8</v>
      </c>
    </row>
    <row r="230" spans="1:1" x14ac:dyDescent="0.25">
      <c r="A230" s="17" t="s">
        <v>79</v>
      </c>
    </row>
    <row r="231" spans="1:1" x14ac:dyDescent="0.25">
      <c r="A231" s="17" t="s">
        <v>31</v>
      </c>
    </row>
    <row r="232" spans="1:1" x14ac:dyDescent="0.25">
      <c r="A232" s="17" t="s">
        <v>58</v>
      </c>
    </row>
    <row r="233" spans="1:1" x14ac:dyDescent="0.25">
      <c r="A233" s="17" t="s">
        <v>6</v>
      </c>
    </row>
    <row r="234" spans="1:1" x14ac:dyDescent="0.25">
      <c r="A234" s="17" t="s">
        <v>19</v>
      </c>
    </row>
    <row r="235" spans="1:1" x14ac:dyDescent="0.25">
      <c r="A235" s="17" t="s">
        <v>33</v>
      </c>
    </row>
    <row r="236" spans="1:1" x14ac:dyDescent="0.25">
      <c r="A236" s="17" t="s">
        <v>34</v>
      </c>
    </row>
    <row r="237" spans="1:1" x14ac:dyDescent="0.25">
      <c r="A237" s="17" t="s">
        <v>87</v>
      </c>
    </row>
    <row r="238" spans="1:1" x14ac:dyDescent="0.25">
      <c r="A238" s="17" t="s">
        <v>96</v>
      </c>
    </row>
    <row r="239" spans="1:1" x14ac:dyDescent="0.25">
      <c r="A239" s="17" t="s">
        <v>113</v>
      </c>
    </row>
    <row r="240" spans="1:1" x14ac:dyDescent="0.25">
      <c r="A240" s="17" t="s">
        <v>73</v>
      </c>
    </row>
    <row r="241" spans="1:1" x14ac:dyDescent="0.25">
      <c r="A241" s="17" t="s">
        <v>28</v>
      </c>
    </row>
    <row r="242" spans="1:1" x14ac:dyDescent="0.25">
      <c r="A242" s="17" t="s">
        <v>22</v>
      </c>
    </row>
    <row r="243" spans="1:1" x14ac:dyDescent="0.25">
      <c r="A243" s="17" t="s">
        <v>93</v>
      </c>
    </row>
    <row r="244" spans="1:1" x14ac:dyDescent="0.25">
      <c r="A244" s="17" t="s">
        <v>76</v>
      </c>
    </row>
    <row r="246" spans="1:1" x14ac:dyDescent="0.25">
      <c r="A246" s="17" t="s">
        <v>391</v>
      </c>
    </row>
    <row r="247" spans="1:1" x14ac:dyDescent="0.25">
      <c r="A247" s="17" t="s">
        <v>385</v>
      </c>
    </row>
    <row r="248" spans="1:1" x14ac:dyDescent="0.25">
      <c r="A248" s="17" t="s">
        <v>386</v>
      </c>
    </row>
    <row r="249" spans="1:1" x14ac:dyDescent="0.25">
      <c r="A249" s="17" t="s">
        <v>387</v>
      </c>
    </row>
    <row r="250" spans="1:1" x14ac:dyDescent="0.25">
      <c r="A250" s="17" t="s">
        <v>388</v>
      </c>
    </row>
    <row r="251" spans="1:1" x14ac:dyDescent="0.25">
      <c r="A251" s="17" t="s">
        <v>389</v>
      </c>
    </row>
    <row r="252" spans="1:1" x14ac:dyDescent="0.25">
      <c r="A252" s="17" t="s">
        <v>390</v>
      </c>
    </row>
  </sheetData>
  <sortState ref="A150:A281">
    <sortCondition ref="A150"/>
  </sortState>
  <mergeCells count="6">
    <mergeCell ref="A1:H1"/>
    <mergeCell ref="A95:A96"/>
    <mergeCell ref="B95:B96"/>
    <mergeCell ref="C95:E95"/>
    <mergeCell ref="F95:G95"/>
    <mergeCell ref="A94:J9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Dados do Processo</vt:lpstr>
      <vt:lpstr>Passo a passo</vt:lpstr>
      <vt:lpstr>Z(0)-Z(1) - Lee Kesler</vt:lpstr>
      <vt:lpstr>Prop. &amp; Parâmetros (Antoine)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Toninho</dc:creator>
  <cp:lastModifiedBy>user</cp:lastModifiedBy>
  <dcterms:created xsi:type="dcterms:W3CDTF">2019-02-17T01:53:36Z</dcterms:created>
  <dcterms:modified xsi:type="dcterms:W3CDTF">2022-03-08T22:55:25Z</dcterms:modified>
</cp:coreProperties>
</file>