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-120" yWindow="-120" windowWidth="20640" windowHeight="11160"/>
  </bookViews>
  <sheets>
    <sheet name="Dados" sheetId="1" r:id="rId1"/>
    <sheet name="Cálculo" sheetId="2" r:id="rId2"/>
    <sheet name="Materiais" sheetId="3" r:id="rId3"/>
  </sheets>
  <functionGroups builtInGroupCount="17"/>
  <calcPr calcId="145621" iterateDelta="1E-1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U8" i="1" l="1"/>
  <c r="O9" i="1"/>
  <c r="N3" i="1" l="1"/>
  <c r="A2" i="2" l="1"/>
  <c r="A9" i="1"/>
  <c r="J6" i="3"/>
  <c r="C7" i="3" l="1"/>
  <c r="A13" i="3"/>
  <c r="B7" i="3"/>
  <c r="D6" i="3" l="1"/>
  <c r="R6" i="1" l="1"/>
  <c r="Q6" i="1"/>
  <c r="R3" i="1"/>
  <c r="Q3" i="1"/>
  <c r="M6" i="1"/>
  <c r="M3" i="1"/>
  <c r="F6" i="1"/>
  <c r="G6" i="1"/>
  <c r="H6" i="1"/>
  <c r="E6" i="1"/>
  <c r="H3" i="1"/>
  <c r="G3" i="1"/>
  <c r="F3" i="1"/>
  <c r="E3" i="1"/>
  <c r="J3" i="1"/>
  <c r="J6" i="1"/>
  <c r="S3" i="1" l="1"/>
  <c r="I3" i="1"/>
  <c r="Q11" i="1"/>
  <c r="R11" i="1" s="1"/>
  <c r="Q10" i="1"/>
  <c r="R10" i="1" s="1"/>
  <c r="I6" i="1"/>
  <c r="S6" i="1"/>
  <c r="O6" i="1"/>
  <c r="O3" i="1"/>
  <c r="P3" i="1" s="1"/>
  <c r="F11" i="1" s="1"/>
  <c r="K6" i="1" l="1"/>
  <c r="P6" i="1" s="1"/>
  <c r="L3" i="1"/>
  <c r="L6" i="1" l="1"/>
  <c r="F9" i="1"/>
  <c r="H9" i="1"/>
  <c r="J9" i="1" s="1"/>
  <c r="D9" i="1"/>
  <c r="E9" i="1" l="1"/>
  <c r="K9" i="1" s="1"/>
</calcChain>
</file>

<file path=xl/sharedStrings.xml><?xml version="1.0" encoding="utf-8"?>
<sst xmlns="http://schemas.openxmlformats.org/spreadsheetml/2006/main" count="171" uniqueCount="96">
  <si>
    <t>LMTD</t>
  </si>
  <si>
    <t>Tubulação</t>
  </si>
  <si>
    <t>Fluído quente (tubo interno)</t>
  </si>
  <si>
    <t>Fluído frio (tubo externo)</t>
  </si>
  <si>
    <t>A(troca term.)[m²]</t>
  </si>
  <si>
    <t>Tentrada[°C]</t>
  </si>
  <si>
    <t>Tsaída [°C]</t>
  </si>
  <si>
    <t>Tentrada [°C]</t>
  </si>
  <si>
    <t>Cp0</t>
  </si>
  <si>
    <t>Cp1</t>
  </si>
  <si>
    <t>Cp2</t>
  </si>
  <si>
    <t>Cp3</t>
  </si>
  <si>
    <t>MW [g/mol]</t>
  </si>
  <si>
    <t>W [LPM]</t>
  </si>
  <si>
    <t>LMTD [°C]</t>
  </si>
  <si>
    <t>L [m]</t>
  </si>
  <si>
    <t>Dint [mm]</t>
  </si>
  <si>
    <t>Dext [mm]</t>
  </si>
  <si>
    <t>r(incrustração)</t>
  </si>
  <si>
    <t>Re (anel)</t>
  </si>
  <si>
    <t>Re (tubo)</t>
  </si>
  <si>
    <t>Prandtl</t>
  </si>
  <si>
    <t>ρ [kg/m³]</t>
  </si>
  <si>
    <t>µ [Pa.s]</t>
  </si>
  <si>
    <t>Material</t>
  </si>
  <si>
    <t>Água destilada</t>
  </si>
  <si>
    <t>µ0</t>
  </si>
  <si>
    <t>µ1</t>
  </si>
  <si>
    <t>µ2</t>
  </si>
  <si>
    <t>µ3</t>
  </si>
  <si>
    <t>µ4</t>
  </si>
  <si>
    <t>µ5</t>
  </si>
  <si>
    <t>µ6</t>
  </si>
  <si>
    <t>ρ0</t>
  </si>
  <si>
    <t>ρ1</t>
  </si>
  <si>
    <t>ρ2</t>
  </si>
  <si>
    <t>ρ3</t>
  </si>
  <si>
    <t>ρ4</t>
  </si>
  <si>
    <t>ρ5</t>
  </si>
  <si>
    <t>Glicerina</t>
  </si>
  <si>
    <t>k0</t>
  </si>
  <si>
    <t>k1</t>
  </si>
  <si>
    <t>Cp4</t>
  </si>
  <si>
    <t>Cp5</t>
  </si>
  <si>
    <t>Inversor [Hz]</t>
  </si>
  <si>
    <t>UserForm3</t>
  </si>
  <si>
    <t>Ꜫ [m]</t>
  </si>
  <si>
    <t>UserForm4</t>
  </si>
  <si>
    <t>Nome do Parâmetro</t>
  </si>
  <si>
    <t>Temperatura Esp.:</t>
  </si>
  <si>
    <t>Reutilizar Config</t>
  </si>
  <si>
    <t>Grau</t>
  </si>
  <si>
    <t>Grau Atual</t>
  </si>
  <si>
    <t>Resultado:</t>
  </si>
  <si>
    <t>Lim. Inf:</t>
  </si>
  <si>
    <t>Lim. Sup:</t>
  </si>
  <si>
    <t>Índice:</t>
  </si>
  <si>
    <t>Confirmação</t>
  </si>
  <si>
    <t>Interpolação</t>
  </si>
  <si>
    <t>UserForm1</t>
  </si>
  <si>
    <t>Material do User1:</t>
  </si>
  <si>
    <t>Cp0 [KJ/(Kmol.K)]</t>
  </si>
  <si>
    <t>Teste:</t>
  </si>
  <si>
    <t>Cp0 [KJ/(Kmol°K)]</t>
  </si>
  <si>
    <r>
      <t>Nu</t>
    </r>
    <r>
      <rPr>
        <sz val="8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[Nusselts]</t>
    </r>
  </si>
  <si>
    <t>k0 [W/(m.K)]</t>
  </si>
  <si>
    <t>k1 [W/(m.K)]</t>
  </si>
  <si>
    <t>Q [kW]</t>
  </si>
  <si>
    <t>Ud [kW/(m².K)]</t>
  </si>
  <si>
    <t>hi [kW/(m².K)]</t>
  </si>
  <si>
    <t>hio [kW/(m.K)]</t>
  </si>
  <si>
    <r>
      <t>r</t>
    </r>
    <r>
      <rPr>
        <sz val="9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[m².°C/W]</t>
    </r>
  </si>
  <si>
    <r>
      <t>r</t>
    </r>
    <r>
      <rPr>
        <sz val="9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[m².°C/W]</t>
    </r>
  </si>
  <si>
    <t>fdarcy (interno)</t>
  </si>
  <si>
    <t>fdarcy (externo)</t>
  </si>
  <si>
    <r>
      <t>0</t>
    </r>
    <r>
      <rPr>
        <sz val="11"/>
        <color theme="1"/>
        <rFont val="Calibri"/>
        <family val="2"/>
      </rPr>
      <t>→f(Ꜫ;D;Re;fdarcy</t>
    </r>
    <r>
      <rPr>
        <sz val="9"/>
        <color theme="1"/>
        <rFont val="Calibri"/>
        <family val="2"/>
      </rPr>
      <t>i</t>
    </r>
    <r>
      <rPr>
        <sz val="11"/>
        <color theme="1"/>
        <rFont val="Calibri"/>
        <family val="2"/>
      </rPr>
      <t>)</t>
    </r>
  </si>
  <si>
    <r>
      <t>0</t>
    </r>
    <r>
      <rPr>
        <sz val="11"/>
        <color theme="1"/>
        <rFont val="Calibri"/>
        <family val="2"/>
      </rPr>
      <t>→f(Ꜫ;D;Re;fdarcy</t>
    </r>
    <r>
      <rPr>
        <sz val="9"/>
        <color theme="1"/>
        <rFont val="Calibri"/>
        <family val="2"/>
      </rPr>
      <t>e</t>
    </r>
    <r>
      <rPr>
        <sz val="11"/>
        <color theme="1"/>
        <rFont val="Calibri"/>
        <family val="2"/>
      </rPr>
      <t>)</t>
    </r>
  </si>
  <si>
    <t>Permanecer Vazio</t>
  </si>
  <si>
    <t>K [kJ/(hm°C)]</t>
  </si>
  <si>
    <t>Cp0 [kJ/(Kmol°K)]</t>
  </si>
  <si>
    <r>
      <rPr>
        <b/>
        <sz val="12"/>
        <color theme="1"/>
        <rFont val="Calibri"/>
        <family val="2"/>
        <scheme val="minor"/>
      </rPr>
      <t>∫</t>
    </r>
    <r>
      <rPr>
        <sz val="11"/>
        <color theme="1"/>
        <rFont val="Calibri"/>
        <family val="2"/>
        <scheme val="minor"/>
      </rPr>
      <t>Cp.dt [kJ/kg]</t>
    </r>
  </si>
  <si>
    <t>Tubos</t>
  </si>
  <si>
    <t>Schedule int.:</t>
  </si>
  <si>
    <t>Schedule ext.:</t>
  </si>
  <si>
    <t>Evaluate (externo)</t>
  </si>
  <si>
    <t>Evaluate (interno)</t>
  </si>
  <si>
    <t>76,35</t>
  </si>
  <si>
    <t>38,3</t>
  </si>
  <si>
    <t>Quente</t>
  </si>
  <si>
    <t>OBS.: Precisa refazer a viscosidade da glicerina em Kelvin</t>
  </si>
  <si>
    <t>Parâmetros Fixos</t>
  </si>
  <si>
    <t>Concentração(%)</t>
  </si>
  <si>
    <t/>
  </si>
  <si>
    <t>N</t>
  </si>
  <si>
    <t>SIM</t>
  </si>
  <si>
    <t>Estudar Bell Delaware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</si>
</sst>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"/>
    <numFmt numFmtId="165" formatCode="0.0000E+00"/>
    <numFmt numFmtId="166" formatCode="0.00000000000E+00"/>
    <numFmt numFmtId="167" formatCode="0.00000000000000E+00"/>
    <numFmt numFmtId="168" formatCode="0.00000000000"/>
    <numFmt numFmtId="169" formatCode="0.000000000000000"/>
    <numFmt numFmtId="170" formatCode="0.0000000000000E+00"/>
    <numFmt numFmtId="171" formatCode="0.00000000000000000"/>
    <numFmt numFmtId="172" formatCode="0.00000"/>
    <numFmt numFmtId="173" formatCode="0.0000000000000000"/>
    <numFmt numFmtId="174" formatCode="0.000000000"/>
    <numFmt numFmtId="175" formatCode="#,##0.0000000"/>
    <numFmt numFmtId="176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202124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/>
    <xf numFmtId="0" fontId="0" fillId="0" borderId="3" xfId="0" applyBorder="1"/>
    <xf numFmtId="0" fontId="0" fillId="2" borderId="2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5" xfId="0" applyBorder="1"/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3" borderId="1" xfId="0" applyFill="1" applyBorder="1"/>
    <xf numFmtId="0" fontId="4" fillId="2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7" fontId="0" fillId="0" borderId="1" xfId="0" applyNumberFormat="1" applyBorder="1"/>
    <xf numFmtId="168" fontId="0" fillId="0" borderId="1" xfId="0" applyNumberFormat="1" applyBorder="1"/>
    <xf numFmtId="169" fontId="0" fillId="0" borderId="1" xfId="0" applyNumberFormat="1" applyBorder="1"/>
    <xf numFmtId="167" fontId="0" fillId="0" borderId="0" xfId="0" applyNumberFormat="1"/>
    <xf numFmtId="0" fontId="5" fillId="0" borderId="0" xfId="0" applyFont="1" applyAlignment="1">
      <alignment horizontal="center" vertical="center" readingOrder="1"/>
    </xf>
    <xf numFmtId="0" fontId="0" fillId="2" borderId="1" xfId="0" applyFill="1" applyBorder="1"/>
    <xf numFmtId="11" fontId="0" fillId="0" borderId="5" xfId="0" applyNumberFormat="1" applyBorder="1"/>
    <xf numFmtId="170" fontId="0" fillId="0" borderId="1" xfId="0" applyNumberFormat="1" applyBorder="1"/>
    <xf numFmtId="171" fontId="0" fillId="0" borderId="1" xfId="0" applyNumberFormat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0" fillId="5" borderId="1" xfId="0" applyNumberFormat="1" applyFill="1" applyBorder="1"/>
    <xf numFmtId="0" fontId="0" fillId="5" borderId="3" xfId="0" applyFill="1" applyBorder="1"/>
    <xf numFmtId="11" fontId="0" fillId="5" borderId="1" xfId="0" applyNumberFormat="1" applyFill="1" applyBorder="1"/>
    <xf numFmtId="166" fontId="0" fillId="5" borderId="1" xfId="0" applyNumberFormat="1" applyFill="1" applyBorder="1"/>
    <xf numFmtId="172" fontId="0" fillId="0" borderId="1" xfId="0" applyNumberFormat="1" applyBorder="1" applyAlignment="1">
      <alignment horizontal="center"/>
    </xf>
    <xf numFmtId="0" fontId="0" fillId="2" borderId="4" xfId="0" applyFill="1" applyBorder="1"/>
    <xf numFmtId="0" fontId="0" fillId="3" borderId="4" xfId="0" applyFill="1" applyBorder="1"/>
    <xf numFmtId="0" fontId="0" fillId="6" borderId="1" xfId="0" applyFill="1" applyBorder="1"/>
    <xf numFmtId="0" fontId="0" fillId="6" borderId="0" xfId="0" applyFill="1"/>
    <xf numFmtId="168" fontId="0" fillId="6" borderId="1" xfId="0" applyNumberFormat="1" applyFill="1" applyBorder="1"/>
    <xf numFmtId="169" fontId="0" fillId="6" borderId="1" xfId="0" applyNumberFormat="1" applyFill="1" applyBorder="1"/>
    <xf numFmtId="167" fontId="0" fillId="6" borderId="1" xfId="0" applyNumberFormat="1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/>
    <xf numFmtId="170" fontId="0" fillId="0" borderId="0" xfId="0" applyNumberFormat="1"/>
    <xf numFmtId="169" fontId="0" fillId="0" borderId="0" xfId="0" applyNumberFormat="1"/>
    <xf numFmtId="173" fontId="0" fillId="0" borderId="0" xfId="0" applyNumberFormat="1"/>
    <xf numFmtId="174" fontId="0" fillId="0" borderId="0" xfId="0" applyNumberFormat="1"/>
    <xf numFmtId="165" fontId="6" fillId="0" borderId="9" xfId="0" applyNumberFormat="1" applyFont="1" applyBorder="1" applyAlignment="1">
      <alignment horizontal="center" vertical="center" wrapText="1"/>
    </xf>
    <xf numFmtId="166" fontId="0" fillId="5" borderId="1" xfId="0" applyNumberFormat="1" applyFill="1" applyBorder="1" applyAlignment="1">
      <alignment horizontal="center"/>
    </xf>
    <xf numFmtId="167" fontId="0" fillId="5" borderId="1" xfId="0" applyNumberFormat="1" applyFill="1" applyBorder="1"/>
    <xf numFmtId="170" fontId="0" fillId="5" borderId="1" xfId="0" applyNumberFormat="1" applyFill="1" applyBorder="1"/>
    <xf numFmtId="172" fontId="0" fillId="0" borderId="0" xfId="0" applyNumberFormat="1"/>
    <xf numFmtId="167" fontId="0" fillId="6" borderId="0" xfId="0" applyNumberFormat="1" applyFill="1"/>
    <xf numFmtId="171" fontId="0" fillId="6" borderId="1" xfId="0" applyNumberFormat="1" applyFill="1" applyBorder="1"/>
    <xf numFmtId="0" fontId="0" fillId="0" borderId="1" xfId="0" applyNumberFormat="1" applyBorder="1"/>
    <xf numFmtId="175" fontId="0" fillId="3" borderId="1" xfId="0" applyNumberFormat="1" applyFill="1" applyBorder="1"/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/>
    <xf numFmtId="4" fontId="0" fillId="0" borderId="1" xfId="0" applyNumberFormat="1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9526</xdr:colOff>
      <xdr:row>16</xdr:row>
      <xdr:rowOff>0</xdr:rowOff>
    </xdr:from>
    <xdr:to>
      <xdr:col>4</xdr:col>
      <xdr:colOff>628651</xdr:colOff>
      <xdr:row>20</xdr:row>
      <xdr:rowOff>19050</xdr:rowOff>
    </xdr:to>
    <xdr:sp macro="[0]!fDarcy" textlink="">
      <xdr:nvSpPr>
        <xdr:cNvPr id="3" name="Elips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895601" y="3095625"/>
          <a:ext cx="1485900" cy="7810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</a:rPr>
            <a:t>Achar</a:t>
          </a:r>
          <a:r>
            <a:rPr lang="pt-BR" sz="1200" b="1" baseline="0">
              <a:solidFill>
                <a:schemeClr val="accent3">
                  <a:lumMod val="50000"/>
                </a:schemeClr>
              </a:solidFill>
            </a:rPr>
            <a:t> fator de Darcy</a:t>
          </a:r>
          <a:endParaRPr lang="pt-BR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19049</xdr:colOff>
      <xdr:row>10</xdr:row>
      <xdr:rowOff>133350</xdr:rowOff>
    </xdr:from>
    <xdr:to>
      <xdr:col>4</xdr:col>
      <xdr:colOff>609599</xdr:colOff>
      <xdr:row>14</xdr:row>
      <xdr:rowOff>152400</xdr:rowOff>
    </xdr:to>
    <xdr:sp macro="[0]!Materiaals" textlink="">
      <xdr:nvSpPr>
        <xdr:cNvPr id="4" name="Elips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905124" y="2085975"/>
          <a:ext cx="1457325" cy="7810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</a:rPr>
            <a:t>Selecionar</a:t>
          </a:r>
          <a:endParaRPr lang="pt-BR" sz="1200" b="1" baseline="0">
            <a:solidFill>
              <a:schemeClr val="accent3">
                <a:lumMod val="50000"/>
              </a:schemeClr>
            </a:solidFill>
          </a:endParaRPr>
        </a:p>
        <a:p>
          <a:pPr algn="ctr"/>
          <a:r>
            <a:rPr lang="pt-BR" sz="1200" b="1" baseline="0">
              <a:solidFill>
                <a:schemeClr val="accent3">
                  <a:lumMod val="50000"/>
                </a:schemeClr>
              </a:solidFill>
            </a:rPr>
            <a:t>Material</a:t>
          </a:r>
          <a:endParaRPr lang="pt-BR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10</xdr:row>
      <xdr:rowOff>161925</xdr:rowOff>
    </xdr:from>
    <xdr:to>
      <xdr:col>2</xdr:col>
      <xdr:colOff>628650</xdr:colOff>
      <xdr:row>14</xdr:row>
      <xdr:rowOff>180975</xdr:rowOff>
    </xdr:to>
    <xdr:sp macro="[0]!Testaooo2" textlink="">
      <xdr:nvSpPr>
        <xdr:cNvPr id="5" name="Elips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190625" y="2114550"/>
          <a:ext cx="1466850" cy="7810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</a:rPr>
            <a:t>Coletar</a:t>
          </a:r>
          <a:br>
            <a:rPr lang="pt-BR" sz="1200" b="1">
              <a:solidFill>
                <a:schemeClr val="accent3">
                  <a:lumMod val="50000"/>
                </a:schemeClr>
              </a:solidFill>
            </a:rPr>
          </a:br>
          <a:r>
            <a:rPr lang="el-GR" sz="1200" b="1">
              <a:solidFill>
                <a:schemeClr val="accent3">
                  <a:lumMod val="50000"/>
                </a:schemeClr>
              </a:solidFill>
            </a:rPr>
            <a:t>ρµ</a:t>
          </a:r>
          <a:r>
            <a:rPr lang="pt-BR" sz="1200" b="1">
              <a:solidFill>
                <a:schemeClr val="accent3">
                  <a:lumMod val="50000"/>
                </a:schemeClr>
              </a:solidFill>
            </a:rPr>
            <a:t>kCp→f(T)</a:t>
          </a:r>
        </a:p>
      </xdr:txBody>
    </xdr:sp>
    <xdr:clientData/>
  </xdr:twoCellAnchor>
  <xdr:twoCellAnchor>
    <xdr:from>
      <xdr:col>1</xdr:col>
      <xdr:colOff>1</xdr:colOff>
      <xdr:row>16</xdr:row>
      <xdr:rowOff>0</xdr:rowOff>
    </xdr:from>
    <xdr:to>
      <xdr:col>2</xdr:col>
      <xdr:colOff>647701</xdr:colOff>
      <xdr:row>20</xdr:row>
      <xdr:rowOff>19050</xdr:rowOff>
    </xdr:to>
    <xdr:sp macro="[0]!Termo" textlink="">
      <xdr:nvSpPr>
        <xdr:cNvPr id="6" name="Elipse 5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171576" y="3095625"/>
          <a:ext cx="1504950" cy="7810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accent3">
                  <a:lumMod val="50000"/>
                </a:schemeClr>
              </a:solidFill>
            </a:rPr>
            <a:t>Verificar</a:t>
          </a:r>
          <a:r>
            <a:rPr lang="pt-BR" sz="1050" b="1" baseline="0">
              <a:solidFill>
                <a:schemeClr val="accent3">
                  <a:lumMod val="50000"/>
                </a:schemeClr>
              </a:solidFill>
            </a:rPr>
            <a:t> Termodinâmica</a:t>
          </a:r>
          <a:endParaRPr lang="pt-BR" sz="105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257177</xdr:colOff>
      <xdr:row>21</xdr:row>
      <xdr:rowOff>76200</xdr:rowOff>
    </xdr:from>
    <xdr:to>
      <xdr:col>0</xdr:col>
      <xdr:colOff>1047750</xdr:colOff>
      <xdr:row>23</xdr:row>
      <xdr:rowOff>104774</xdr:rowOff>
    </xdr:to>
    <xdr:sp macro="[0]!Truco" textlink="">
      <xdr:nvSpPr>
        <xdr:cNvPr id="7" name="Elipse 6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57177" y="4124325"/>
          <a:ext cx="790573" cy="409574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accent3">
                  <a:lumMod val="50000"/>
                </a:schemeClr>
              </a:solidFill>
            </a:rPr>
            <a:t>Truco</a:t>
          </a:r>
        </a:p>
      </xdr:txBody>
    </xdr:sp>
    <xdr:clientData/>
  </xdr:twoCellAnchor>
  <xdr:twoCellAnchor>
    <xdr:from>
      <xdr:col>3</xdr:col>
      <xdr:colOff>19051</xdr:colOff>
      <xdr:row>21</xdr:row>
      <xdr:rowOff>19050</xdr:rowOff>
    </xdr:from>
    <xdr:to>
      <xdr:col>4</xdr:col>
      <xdr:colOff>638176</xdr:colOff>
      <xdr:row>25</xdr:row>
      <xdr:rowOff>38100</xdr:rowOff>
    </xdr:to>
    <xdr:sp macro="[0]!Ensaios" textlink="">
      <xdr:nvSpPr>
        <xdr:cNvPr id="8" name="Elipse 7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905126" y="4067175"/>
          <a:ext cx="1485900" cy="781050"/>
        </a:xfrm>
        <a:prstGeom prst="ellipse">
          <a:avLst/>
        </a:prstGeom>
        <a:solidFill>
          <a:srgbClr val="92D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3">
                  <a:lumMod val="50000"/>
                </a:schemeClr>
              </a:solidFill>
            </a:rPr>
            <a:t>Registro de Ensaios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Q34"/>
  <sheetViews>
    <sheetView tabSelected="1" topLeftCell="A4" workbookViewId="0">
      <selection activeCell="G17" sqref="G17"/>
    </sheetView>
  </sheetViews>
  <sheetFormatPr defaultRowHeight="15" x14ac:dyDescent="0.25"/>
  <cols>
    <col min="1" max="1" width="17.5703125" bestFit="1" customWidth="1"/>
    <col min="2" max="3" width="12.85546875" customWidth="1"/>
    <col min="4" max="4" width="13" customWidth="1"/>
    <col min="5" max="5" width="16.85546875" bestFit="1" customWidth="1"/>
    <col min="6" max="6" width="19.140625" bestFit="1" customWidth="1"/>
    <col min="7" max="7" width="18.5703125" customWidth="1"/>
    <col min="8" max="8" width="18.42578125" customWidth="1"/>
    <col min="9" max="9" width="16.42578125" bestFit="1" customWidth="1"/>
    <col min="10" max="10" width="14.85546875" bestFit="1" customWidth="1"/>
    <col min="11" max="11" width="17.85546875" bestFit="1" customWidth="1"/>
    <col min="12" max="12" width="22.42578125" customWidth="1"/>
    <col min="13" max="13" width="14" bestFit="1" customWidth="1"/>
    <col min="14" max="14" width="20.85546875" bestFit="1" customWidth="1"/>
    <col min="15" max="15" width="19.28515625" customWidth="1"/>
    <col min="16" max="16" width="21.42578125" customWidth="1"/>
    <col min="17" max="18" width="20.5703125" bestFit="1" customWidth="1"/>
    <col min="19" max="19" width="21.7109375" bestFit="1" customWidth="1"/>
    <col min="20" max="43" width="23.140625" customWidth="1"/>
  </cols>
  <sheetData>
    <row r="1" spans="1:43" x14ac:dyDescent="0.25">
      <c r="A1" s="57" t="s">
        <v>3</v>
      </c>
      <c r="B1" s="58"/>
      <c r="C1" s="58"/>
      <c r="D1" s="58"/>
      <c r="E1" s="58"/>
      <c r="F1" s="58"/>
      <c r="G1" s="58"/>
      <c r="H1" s="58"/>
      <c r="I1" s="58"/>
    </row>
    <row r="2" spans="1:43" ht="15.75" x14ac:dyDescent="0.25">
      <c r="A2" s="5" t="s">
        <v>5</v>
      </c>
      <c r="B2" s="8" t="s">
        <v>6</v>
      </c>
      <c r="C2" s="2" t="s">
        <v>16</v>
      </c>
      <c r="D2" s="2" t="s">
        <v>17</v>
      </c>
      <c r="E2" s="2" t="s">
        <v>79</v>
      </c>
      <c r="F2" s="2" t="s">
        <v>9</v>
      </c>
      <c r="G2" s="2" t="s">
        <v>10</v>
      </c>
      <c r="H2" s="2" t="s">
        <v>11</v>
      </c>
      <c r="I2" s="2" t="s">
        <v>80</v>
      </c>
      <c r="J2" s="2" t="s">
        <v>12</v>
      </c>
      <c r="K2" s="2" t="s">
        <v>13</v>
      </c>
      <c r="L2" s="2" t="s">
        <v>67</v>
      </c>
      <c r="M2" s="2" t="s">
        <v>72</v>
      </c>
      <c r="N2" s="12" t="s">
        <v>23</v>
      </c>
      <c r="O2" s="12" t="s">
        <v>22</v>
      </c>
      <c r="P2" s="2" t="s">
        <v>19</v>
      </c>
      <c r="Q2" s="38" t="s">
        <v>65</v>
      </c>
      <c r="R2" s="2" t="s">
        <v>66</v>
      </c>
      <c r="S2" s="2" t="s">
        <v>21</v>
      </c>
      <c r="T2" s="2" t="s">
        <v>24</v>
      </c>
      <c r="U2" s="2" t="s">
        <v>8</v>
      </c>
      <c r="V2" s="2" t="s">
        <v>9</v>
      </c>
      <c r="W2" s="2" t="s">
        <v>10</v>
      </c>
      <c r="X2" s="2" t="s">
        <v>11</v>
      </c>
      <c r="Y2" s="2" t="s">
        <v>42</v>
      </c>
      <c r="Z2" s="2" t="s">
        <v>43</v>
      </c>
      <c r="AA2" s="2" t="s">
        <v>12</v>
      </c>
      <c r="AB2" s="2" t="s">
        <v>18</v>
      </c>
      <c r="AC2" s="2" t="s">
        <v>40</v>
      </c>
      <c r="AD2" s="2" t="s">
        <v>41</v>
      </c>
      <c r="AE2" s="2" t="s">
        <v>26</v>
      </c>
      <c r="AF2" s="2" t="s">
        <v>27</v>
      </c>
      <c r="AG2" s="2" t="s">
        <v>28</v>
      </c>
      <c r="AH2" s="2" t="s">
        <v>29</v>
      </c>
      <c r="AI2" s="2" t="s">
        <v>30</v>
      </c>
      <c r="AJ2" s="2" t="s">
        <v>31</v>
      </c>
      <c r="AK2" s="2" t="s">
        <v>32</v>
      </c>
      <c r="AL2" s="2" t="s">
        <v>33</v>
      </c>
      <c r="AM2" s="2" t="s">
        <v>34</v>
      </c>
      <c r="AN2" s="2" t="s">
        <v>35</v>
      </c>
      <c r="AO2" s="2" t="s">
        <v>36</v>
      </c>
      <c r="AP2" s="2" t="s">
        <v>37</v>
      </c>
      <c r="AQ2" s="2" t="s">
        <v>38</v>
      </c>
    </row>
    <row r="3" spans="1:43" ht="15.75" thickBot="1" x14ac:dyDescent="0.3">
      <c r="A3" s="4">
        <v>24.9</v>
      </c>
      <c r="B3" s="7">
        <v>25.6</v>
      </c>
      <c r="C3" s="1">
        <v>70.70136910474568</v>
      </c>
      <c r="D3" s="52" t="s">
        <v>86</v>
      </c>
      <c r="E3" s="24">
        <f>U3</f>
        <v>92.052999999999997</v>
      </c>
      <c r="F3" s="24">
        <f t="shared" ref="F3:H3" si="0">V3</f>
        <v>-3.9953000000000002E-2</v>
      </c>
      <c r="G3" s="24">
        <f t="shared" si="0"/>
        <v>-2.1102999999999999E-4</v>
      </c>
      <c r="H3" s="24">
        <f t="shared" si="0"/>
        <v>5.3468999999999998E-7</v>
      </c>
      <c r="I3" s="28">
        <f>ABS((U3*((B3+273.15)-(A3+273.15))+V3*((B3+273.15)^2-(A3+273.15)^2)/2+W3*((B3+273.15)^3-(A3+273.15)^3)/3+X3*((B3+273.15)^4-(A3+273.15)^4)/4+Y3*((B3+273.15)^5-(A3+273.15)^5)/5+Z3*((B3+273.15)^6-(A3+273.15)^6)/6)/J3)</f>
        <v>2.9354570432883751</v>
      </c>
      <c r="J3" s="25">
        <f>AA3</f>
        <v>18.015280000000001</v>
      </c>
      <c r="K3" s="9">
        <v>25</v>
      </c>
      <c r="L3" s="47">
        <f>(K3*(1/1000)*60*O3*I3)/3600</f>
        <v>1.2194152191044756</v>
      </c>
      <c r="M3" s="24">
        <f>AB3</f>
        <v>8.7999999999999998E-5</v>
      </c>
      <c r="N3" s="47">
        <f>((AE3+AF3*(A3+273.15)+AG3*(A3+273.15)^2+AH3*(A3+273.15)^3+AI3*(A3+273.15)^4+AJ3*(A3+273.15)^5+AK3*(A3+273.15)^6)+(AE3+AF3*(B3+273.15)+AG3*(B3+273.15)^2+AH3*(B3+273.15)^3+AI3*(B3+273.15)^4+AJ3*(B3+273.15)^5+AK3*(B3+273.15)^6))/2</f>
        <v>8.8556307392195777E-4</v>
      </c>
      <c r="O3" s="29">
        <f>((AL3+AM3*A3+AN3*A3^2+AO3*A3^3+AP3*A3^4+AQ3*A3^5)+(AL3+AM3*B3+AN3*B3^2+AO3*B3^3+AP3*B3^4+AQ3*B3^5))/2</f>
        <v>996.98155438592016</v>
      </c>
      <c r="P3" s="24">
        <f>(O3*(C3/1000)*(4*(K3/(1000*60))/(PI()*(C3/1000)^2)))/N3</f>
        <v>8447.7037886777071</v>
      </c>
      <c r="Q3" s="47">
        <f>AC3</f>
        <v>0.13322118140120701</v>
      </c>
      <c r="R3" s="47">
        <f>AD3</f>
        <v>1.5713230211170999E-3</v>
      </c>
      <c r="S3" s="26">
        <f>(N3)*(((U3+V3*(A3+273.15)+W3*(A3+273.15)^2+X3*(A3+273.15)^3+Y3*(A3+273.15)^4+Z3*(A3+273.15)^5)/0.002)+((U3+V3*(B3+273.15)+W3*(B3+273.15)^2+X3*(B3+273.15)^3+Y3*(B3+273.15)^4+Z3*(B3+273.15)^5)/0.002))/(J3*((Q3+R3*(A3+273.15))+(Q3+R3*(B3+273.15)))/2)</f>
        <v>6.1677366612905438</v>
      </c>
      <c r="T3" s="33" t="s">
        <v>25</v>
      </c>
      <c r="U3" s="36">
        <v>92.052999999999997</v>
      </c>
      <c r="V3" s="51">
        <v>-3.9953000000000002E-2</v>
      </c>
      <c r="W3" s="33">
        <v>-2.1102999999999999E-4</v>
      </c>
      <c r="X3" s="37">
        <v>5.3468999999999998E-7</v>
      </c>
      <c r="Y3" s="37">
        <v>0</v>
      </c>
      <c r="Z3" s="50">
        <v>0</v>
      </c>
      <c r="AA3" s="34">
        <v>18.015280000000001</v>
      </c>
      <c r="AB3" s="34">
        <v>8.7999999999999998E-5</v>
      </c>
      <c r="AC3" s="34">
        <v>0.13322118140120701</v>
      </c>
      <c r="AD3" s="34">
        <v>1.5713230211170999E-3</v>
      </c>
      <c r="AE3" s="34">
        <v>16.920911056294699</v>
      </c>
      <c r="AF3" s="34">
        <v>-0.31511169526584099</v>
      </c>
      <c r="AG3" s="34">
        <v>2.44944395180422E-3</v>
      </c>
      <c r="AH3" s="34">
        <v>-1.0167966455773499E-5</v>
      </c>
      <c r="AI3" s="34">
        <v>2.3765247763429899E-8</v>
      </c>
      <c r="AJ3" s="34">
        <v>-2.9645541740820197E-11</v>
      </c>
      <c r="AK3" s="34">
        <v>1.5416666704943999E-14</v>
      </c>
      <c r="AL3" s="33">
        <v>999.84036444759101</v>
      </c>
      <c r="AM3" s="33">
        <v>6.5868873673025505E-2</v>
      </c>
      <c r="AN3" s="33">
        <v>-8.6400688269350195E-3</v>
      </c>
      <c r="AO3" s="33">
        <v>7.26924627372227E-5</v>
      </c>
      <c r="AP3" s="33">
        <v>-4.8657031381793601E-7</v>
      </c>
      <c r="AQ3" s="33">
        <v>1.4337963247235099E-9</v>
      </c>
    </row>
    <row r="4" spans="1:43" x14ac:dyDescent="0.25">
      <c r="A4" s="57" t="s">
        <v>2</v>
      </c>
      <c r="B4" s="58"/>
      <c r="C4" s="58"/>
      <c r="D4" s="58"/>
      <c r="E4" s="58"/>
      <c r="F4" s="58"/>
      <c r="G4" s="58"/>
      <c r="H4" s="58"/>
      <c r="I4" s="58"/>
    </row>
    <row r="5" spans="1:43" ht="15.75" x14ac:dyDescent="0.25">
      <c r="A5" s="5" t="s">
        <v>7</v>
      </c>
      <c r="B5" s="8" t="s">
        <v>6</v>
      </c>
      <c r="C5" s="2" t="s">
        <v>16</v>
      </c>
      <c r="D5" s="2" t="s">
        <v>17</v>
      </c>
      <c r="E5" s="2" t="s">
        <v>79</v>
      </c>
      <c r="F5" s="2" t="s">
        <v>9</v>
      </c>
      <c r="G5" s="2" t="s">
        <v>10</v>
      </c>
      <c r="H5" s="2" t="s">
        <v>11</v>
      </c>
      <c r="I5" s="2" t="s">
        <v>80</v>
      </c>
      <c r="J5" s="2" t="s">
        <v>12</v>
      </c>
      <c r="K5" s="2" t="s">
        <v>13</v>
      </c>
      <c r="L5" s="2" t="s">
        <v>67</v>
      </c>
      <c r="M5" s="38" t="s">
        <v>71</v>
      </c>
      <c r="N5" s="12" t="s">
        <v>23</v>
      </c>
      <c r="O5" s="12" t="s">
        <v>22</v>
      </c>
      <c r="P5" s="2" t="s">
        <v>20</v>
      </c>
      <c r="Q5" s="38" t="s">
        <v>65</v>
      </c>
      <c r="R5" s="2" t="s">
        <v>66</v>
      </c>
      <c r="S5" s="2" t="s">
        <v>21</v>
      </c>
      <c r="T5" s="2" t="s">
        <v>24</v>
      </c>
      <c r="U5" s="2" t="s">
        <v>61</v>
      </c>
      <c r="V5" s="2" t="s">
        <v>9</v>
      </c>
      <c r="W5" s="2" t="s">
        <v>10</v>
      </c>
      <c r="X5" s="2" t="s">
        <v>11</v>
      </c>
      <c r="Y5" s="2" t="s">
        <v>42</v>
      </c>
      <c r="Z5" s="2" t="s">
        <v>43</v>
      </c>
      <c r="AA5" s="2" t="s">
        <v>12</v>
      </c>
      <c r="AB5" s="2" t="s">
        <v>18</v>
      </c>
      <c r="AC5" s="2" t="s">
        <v>40</v>
      </c>
      <c r="AD5" s="2" t="s">
        <v>41</v>
      </c>
      <c r="AE5" s="2" t="s">
        <v>26</v>
      </c>
      <c r="AF5" s="2" t="s">
        <v>27</v>
      </c>
      <c r="AG5" s="2" t="s">
        <v>28</v>
      </c>
      <c r="AH5" s="2" t="s">
        <v>29</v>
      </c>
      <c r="AI5" s="2" t="s">
        <v>30</v>
      </c>
      <c r="AJ5" s="2" t="s">
        <v>31</v>
      </c>
      <c r="AK5" s="2" t="s">
        <v>32</v>
      </c>
      <c r="AL5" s="2" t="s">
        <v>33</v>
      </c>
      <c r="AM5" s="2" t="s">
        <v>34</v>
      </c>
      <c r="AN5" s="2" t="s">
        <v>35</v>
      </c>
      <c r="AO5" s="2" t="s">
        <v>36</v>
      </c>
      <c r="AP5" s="2" t="s">
        <v>37</v>
      </c>
      <c r="AQ5" s="2" t="s">
        <v>38</v>
      </c>
    </row>
    <row r="6" spans="1:43" ht="15.75" thickBot="1" x14ac:dyDescent="0.3">
      <c r="A6" s="4">
        <v>32</v>
      </c>
      <c r="B6" s="7">
        <v>30.8</v>
      </c>
      <c r="C6" s="56">
        <v>35.337275306782928</v>
      </c>
      <c r="D6" s="52" t="s">
        <v>87</v>
      </c>
      <c r="E6" s="24">
        <f>U6</f>
        <v>182372.20920721299</v>
      </c>
      <c r="F6" s="24">
        <f t="shared" ref="F6:H6" si="1">V6</f>
        <v>-2651.0472382656899</v>
      </c>
      <c r="G6" s="24">
        <f t="shared" si="1"/>
        <v>15.392760495551601</v>
      </c>
      <c r="H6" s="24">
        <f t="shared" si="1"/>
        <v>-4.4580061234453301E-2</v>
      </c>
      <c r="I6" s="28">
        <f>ABS((U6*((B6+273.15)-(A6+273.15))+V6*((B6+273.15)^2-(A6+273.15)^2)/2+W6*((B6+273.15)^3-(A6+273.15)^3)/3+X6*((B6+273.15)^4-(A6+273.15)^4)/4+Y6*((B6+273.15)^5-(A6+273.15)^5)/5+Z6*((B6+273.15)^6-(A6+273.15)^6)/6)/J6)</f>
        <v>2.9264708487383051</v>
      </c>
      <c r="J6" s="25">
        <f>AA6</f>
        <v>92.093819999999994</v>
      </c>
      <c r="K6" s="46">
        <f>(7.1999285714286*L9-1.119880952381)*60/(O6)</f>
        <v>11.142773360030695</v>
      </c>
      <c r="L6" s="48">
        <f>(K6*(1/1000)*60*O6*I6)/3600</f>
        <v>0.68222004186937313</v>
      </c>
      <c r="M6" s="24">
        <f>AB6</f>
        <v>1.8000000000000001E-4</v>
      </c>
      <c r="N6" s="47">
        <f>((AE6+AF6*(A6)+AG6*(A6)^2+AH6*(A6)^3+AI6*(A6)^4+AJ6*(A6)^5+AK6*(A6)^6)+(AE6+AF6*(B6)+AG6*(B6)^2+AH6*(B6)^3+AI6*(B6)^4+AJ6*(B6)^5+AK6*(B6)^6))/2</f>
        <v>0.5187974598845202</v>
      </c>
      <c r="O6" s="29">
        <f>((AL6+AM6*A6+AN6*A6^2+AO6*A6^3+AP6*A6^4+AQ6*A6^5)+(AL6+AM6*B6+AN6*B6^2+AO6*B6^3+AP6*B6^4+AQ6*B6^5))/2</f>
        <v>1255.2731067935554</v>
      </c>
      <c r="P6" s="47">
        <f>(O6*(C6/1000)*(4*(K6/(1000*60))/(PI()*(C6/1000)^2)))/N6</f>
        <v>16.190471217457002</v>
      </c>
      <c r="Q6" s="47">
        <f>AC6</f>
        <v>0.99125714285714395</v>
      </c>
      <c r="R6" s="47">
        <f>AD6</f>
        <v>7.1657142857142395E-4</v>
      </c>
      <c r="S6" s="26">
        <f>(N6)*(((U6+V6*(A6+273.15)+W6*(A6+273.15)^2+X6*(A6+273.15)^3+Y6*(A6+273.15)^4+Z6*(A6+273.15)^5)/0.002)+((U6+V6*(B6+273.15)+W6*(B6+273.15)^2+X6*(B6+273.15)^3+Y6*(B6+273.15)^4+Z6*(B6+273.15)^5)/0.002))/(J6*((Q6+R6*(A6+273.15))+(Q6+R6*(B6+273.15)))/2)</f>
        <v>1046.0826250607433</v>
      </c>
      <c r="T6" s="35" t="s">
        <v>39</v>
      </c>
      <c r="U6" s="36">
        <v>182372.20920721299</v>
      </c>
      <c r="V6" s="51">
        <v>-2651.0472382656899</v>
      </c>
      <c r="W6" s="37">
        <v>15.392760495551601</v>
      </c>
      <c r="X6" s="37">
        <v>-4.4580061234453301E-2</v>
      </c>
      <c r="Y6" s="37">
        <v>6.4413149223379497E-5</v>
      </c>
      <c r="Z6" s="37">
        <v>-3.7147266221393402E-8</v>
      </c>
      <c r="AA6" s="33">
        <v>92.093819999999994</v>
      </c>
      <c r="AB6" s="33">
        <v>1.8000000000000001E-4</v>
      </c>
      <c r="AC6" s="33">
        <v>0.99125714285714395</v>
      </c>
      <c r="AD6" s="33">
        <v>7.1657142857142395E-4</v>
      </c>
      <c r="AE6" s="33">
        <v>11.2749999996559</v>
      </c>
      <c r="AF6" s="33">
        <v>-1.26742399990951</v>
      </c>
      <c r="AG6" s="33">
        <v>6.8157185538026993E-2</v>
      </c>
      <c r="AH6" s="33">
        <v>-2.1004208320452001E-3</v>
      </c>
      <c r="AI6" s="33">
        <v>3.7565472180756101E-5</v>
      </c>
      <c r="AJ6" s="33">
        <v>-3.61591666058099E-7</v>
      </c>
      <c r="AK6" s="33">
        <v>1.4467222188770999E-9</v>
      </c>
      <c r="AL6" s="35">
        <v>1272.06753973229</v>
      </c>
      <c r="AM6" s="36">
        <v>-0.479870468676381</v>
      </c>
      <c r="AN6" s="33">
        <v>-1.94617120200746E-3</v>
      </c>
      <c r="AO6" s="37">
        <v>6.7855910348413301E-6</v>
      </c>
      <c r="AP6" s="37">
        <v>-1.85788174705825E-8</v>
      </c>
      <c r="AQ6" s="37">
        <v>2.7468072467170399E-11</v>
      </c>
    </row>
    <row r="7" spans="1:43" x14ac:dyDescent="0.25">
      <c r="A7" s="57" t="s">
        <v>1</v>
      </c>
      <c r="B7" s="58"/>
      <c r="C7" s="58"/>
      <c r="D7" s="58"/>
      <c r="E7" s="58"/>
      <c r="F7" s="58"/>
      <c r="G7" s="58"/>
      <c r="H7" s="58"/>
      <c r="I7" s="58"/>
    </row>
    <row r="8" spans="1:43" x14ac:dyDescent="0.25">
      <c r="A8" s="3" t="s">
        <v>4</v>
      </c>
      <c r="B8" s="6" t="s">
        <v>46</v>
      </c>
      <c r="C8" s="2" t="s">
        <v>15</v>
      </c>
      <c r="D8" s="2" t="s">
        <v>14</v>
      </c>
      <c r="E8" s="2" t="s">
        <v>68</v>
      </c>
      <c r="F8" s="2" t="s">
        <v>75</v>
      </c>
      <c r="G8" s="2" t="s">
        <v>73</v>
      </c>
      <c r="H8" s="2" t="s">
        <v>64</v>
      </c>
      <c r="I8" s="2" t="s">
        <v>78</v>
      </c>
      <c r="J8" s="2" t="s">
        <v>69</v>
      </c>
      <c r="K8" s="2" t="s">
        <v>70</v>
      </c>
      <c r="L8" s="2" t="s">
        <v>44</v>
      </c>
      <c r="T8" s="39" t="s">
        <v>62</v>
      </c>
      <c r="U8" s="18">
        <f>U6+V6*(V8+273.15)+W6*(V8+273.15)^2+X6*(V8+273.15)^3+Y6*(V8+273.15)^4+Z6*(V8+273.15)^5</f>
        <v>223.37249898958544</v>
      </c>
      <c r="V8">
        <v>26</v>
      </c>
    </row>
    <row r="9" spans="1:43" ht="15.75" thickBot="1" x14ac:dyDescent="0.3">
      <c r="A9" s="27">
        <f>PI()*(D6/1000)*C9</f>
        <v>0.24064599726497812</v>
      </c>
      <c r="B9" s="21">
        <v>1.9999999999999999E-6</v>
      </c>
      <c r="C9" s="10">
        <v>2</v>
      </c>
      <c r="D9" s="24">
        <f>ABS(Cálculo!A2)</f>
        <v>6.1466109720981024</v>
      </c>
      <c r="E9" s="24">
        <f>ABS(L6/(A9*D9))</f>
        <v>0.46122209540065151</v>
      </c>
      <c r="F9" s="25">
        <f>IFERROR(-2*LOG10(($B$9/(C6/1000))/3.7+2.51/(P6*(G9^0.5)))-1/(G9^0.5),1)</f>
        <v>-5.6668286784631841</v>
      </c>
      <c r="G9" s="24">
        <v>3.0094122278758295E-2</v>
      </c>
      <c r="H9" s="26">
        <f>(G9/8)*(P6-1000)*S6/(1+12.7*((G9/8)^0.5)*(S6^(2/3)-1))</f>
        <v>-48.098407085642478</v>
      </c>
      <c r="I9" s="13">
        <v>52</v>
      </c>
      <c r="J9" s="24">
        <f>H9*((Q6+R6*(A6+273.15))/(2*1000)+(Q6+R6*(B6+273.15))/(2*1000))/(C6/1000)</f>
        <v>-1.646264246700422</v>
      </c>
      <c r="K9" s="24">
        <f>((1/E9)-M3-M6-(1/J9))^(-1)</f>
        <v>0.36031871322879572</v>
      </c>
      <c r="L9" s="1">
        <v>32.533694493528373</v>
      </c>
      <c r="O9">
        <f>(AE6+AF6*(O10+273.15)+AG6*(O10+273.15)^2+AH6*(O10+273.15)^3+AI6*(O10+273.15)^4+AJ6*(O10+273.15)^5+AK6*(O10+273.15)^6)</f>
        <v>411194.49906557822</v>
      </c>
      <c r="Q9">
        <v>40</v>
      </c>
    </row>
    <row r="10" spans="1:43" x14ac:dyDescent="0.25">
      <c r="F10" s="38" t="s">
        <v>76</v>
      </c>
      <c r="G10" s="38" t="s">
        <v>74</v>
      </c>
      <c r="O10">
        <v>25</v>
      </c>
      <c r="Q10">
        <f>((Q6+R6*(A6+273.15))+(Q6+R6*(B6+273.15)))/2</f>
        <v>1.209488971428571</v>
      </c>
      <c r="R10" s="18">
        <f>Q10*3600/(1.8*4184)</f>
        <v>0.57814960393335135</v>
      </c>
    </row>
    <row r="11" spans="1:43" x14ac:dyDescent="0.25">
      <c r="F11" s="25">
        <f>IFERROR(-2*LOG10(($B$9/(C3/1000))/3.7+2.51/(P3*(G11^0.5)))-1/(G11^0.5),1)</f>
        <v>1</v>
      </c>
      <c r="G11" s="24"/>
      <c r="Q11" s="49">
        <f>((Q6+R6*(Q9+273.15))+(Q6+R6*(Q9+273.15)))/2</f>
        <v>1.2156514857142853</v>
      </c>
      <c r="R11" s="18">
        <f>Q11*3600/(1.8*4184)</f>
        <v>0.58109535645998345</v>
      </c>
    </row>
    <row r="14" spans="1:43" x14ac:dyDescent="0.25">
      <c r="S14" s="18"/>
    </row>
    <row r="15" spans="1:43" x14ac:dyDescent="0.25">
      <c r="G15" t="s">
        <v>89</v>
      </c>
    </row>
    <row r="16" spans="1:43" x14ac:dyDescent="0.25">
      <c r="G16" t="s">
        <v>95</v>
      </c>
    </row>
    <row r="20" spans="3:3" x14ac:dyDescent="0.25">
      <c r="C20" s="19"/>
    </row>
    <row r="21" spans="3:3" x14ac:dyDescent="0.25">
      <c r="C21" s="19"/>
    </row>
    <row r="33" spans="2:2" x14ac:dyDescent="0.25">
      <c r="B33" s="19"/>
    </row>
    <row r="34" spans="2:2" x14ac:dyDescent="0.25">
      <c r="B34" s="19"/>
    </row>
  </sheetData>
  <dataConsolidate/>
  <mergeCells count="3">
    <mergeCell ref="A7:I7"/>
    <mergeCell ref="A1:I1"/>
    <mergeCell ref="A4:I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4"/>
  <sheetViews>
    <sheetView workbookViewId="0">
      <selection activeCell="C18" sqref="C18"/>
    </sheetView>
  </sheetViews>
  <sheetFormatPr defaultRowHeight="15" x14ac:dyDescent="0.25"/>
  <cols>
    <col min="1" max="1" width="17.28515625" bestFit="1" customWidth="1"/>
    <col min="2" max="3" width="22.85546875" customWidth="1"/>
    <col min="4" max="4" width="17.7109375" customWidth="1"/>
    <col min="5" max="5" width="17.140625" customWidth="1"/>
    <col min="6" max="6" width="12" customWidth="1"/>
    <col min="7" max="7" width="12.5703125" customWidth="1"/>
  </cols>
  <sheetData>
    <row r="1" spans="1:7" x14ac:dyDescent="0.25">
      <c r="A1" s="2" t="s">
        <v>0</v>
      </c>
      <c r="B1" s="31" t="s">
        <v>45</v>
      </c>
      <c r="C1" s="59" t="s">
        <v>47</v>
      </c>
      <c r="D1" s="59"/>
      <c r="E1" s="20" t="s">
        <v>81</v>
      </c>
      <c r="F1" s="59" t="s">
        <v>84</v>
      </c>
      <c r="G1" s="59"/>
    </row>
    <row r="2" spans="1:7" x14ac:dyDescent="0.25">
      <c r="A2" s="11">
        <f>((Dados!A3-Dados!B6)-(Dados!B3-Dados!A6))/(LN((Dados!A3-Dados!B6)/(Dados!B3-Dados!A6)))</f>
        <v>-6.1466109720981024</v>
      </c>
      <c r="B2" s="32"/>
      <c r="C2" s="20" t="s">
        <v>48</v>
      </c>
      <c r="D2" s="20" t="s">
        <v>53</v>
      </c>
      <c r="E2" s="20" t="s">
        <v>82</v>
      </c>
      <c r="F2" s="54" t="s">
        <v>16</v>
      </c>
      <c r="G2" s="54" t="s">
        <v>17</v>
      </c>
    </row>
    <row r="3" spans="1:7" x14ac:dyDescent="0.25">
      <c r="B3" s="20" t="s">
        <v>58</v>
      </c>
      <c r="C3" s="11" t="s">
        <v>91</v>
      </c>
      <c r="D3" s="11" t="s">
        <v>93</v>
      </c>
      <c r="E3" s="55">
        <v>59</v>
      </c>
      <c r="F3" s="1"/>
      <c r="G3" s="52"/>
    </row>
    <row r="4" spans="1:7" x14ac:dyDescent="0.25">
      <c r="B4" s="11"/>
      <c r="C4" s="20" t="s">
        <v>49</v>
      </c>
      <c r="D4" s="20" t="s">
        <v>54</v>
      </c>
      <c r="E4" s="20" t="s">
        <v>83</v>
      </c>
      <c r="F4" s="59" t="s">
        <v>85</v>
      </c>
      <c r="G4" s="59"/>
    </row>
    <row r="5" spans="1:7" x14ac:dyDescent="0.25">
      <c r="B5" s="20" t="s">
        <v>59</v>
      </c>
      <c r="C5" s="11" t="s">
        <v>92</v>
      </c>
      <c r="D5" s="11" t="s">
        <v>92</v>
      </c>
      <c r="E5" s="53">
        <v>59</v>
      </c>
      <c r="F5" s="54" t="s">
        <v>16</v>
      </c>
      <c r="G5" s="54" t="s">
        <v>17</v>
      </c>
    </row>
    <row r="6" spans="1:7" x14ac:dyDescent="0.25">
      <c r="B6" s="11" t="s">
        <v>88</v>
      </c>
      <c r="C6" s="20" t="s">
        <v>90</v>
      </c>
      <c r="D6" s="20" t="s">
        <v>55</v>
      </c>
      <c r="F6" s="52"/>
      <c r="G6" s="52"/>
    </row>
    <row r="7" spans="1:7" x14ac:dyDescent="0.25">
      <c r="B7" s="20" t="s">
        <v>60</v>
      </c>
      <c r="C7" s="11" t="b">
        <v>1</v>
      </c>
      <c r="D7" s="11" t="s">
        <v>92</v>
      </c>
    </row>
    <row r="8" spans="1:7" x14ac:dyDescent="0.25">
      <c r="B8" s="11"/>
      <c r="C8" s="20" t="s">
        <v>50</v>
      </c>
      <c r="D8" s="20" t="s">
        <v>56</v>
      </c>
    </row>
    <row r="9" spans="1:7" x14ac:dyDescent="0.25">
      <c r="C9" s="11" t="b">
        <v>1</v>
      </c>
      <c r="D9" s="11" t="s">
        <v>92</v>
      </c>
    </row>
    <row r="10" spans="1:7" x14ac:dyDescent="0.25">
      <c r="C10" s="20" t="s">
        <v>51</v>
      </c>
      <c r="D10" s="20" t="s">
        <v>52</v>
      </c>
    </row>
    <row r="11" spans="1:7" x14ac:dyDescent="0.25">
      <c r="C11" s="11">
        <v>5</v>
      </c>
      <c r="D11" s="11">
        <v>0</v>
      </c>
    </row>
    <row r="12" spans="1:7" x14ac:dyDescent="0.25">
      <c r="C12" s="20" t="s">
        <v>57</v>
      </c>
    </row>
    <row r="13" spans="1:7" x14ac:dyDescent="0.25">
      <c r="C13" s="11" t="s">
        <v>94</v>
      </c>
    </row>
    <row r="23" spans="1:1" x14ac:dyDescent="0.25">
      <c r="A23" s="20" t="s">
        <v>77</v>
      </c>
    </row>
    <row r="24" spans="1:1" x14ac:dyDescent="0.25">
      <c r="A24" s="1"/>
    </row>
  </sheetData>
  <mergeCells count="3">
    <mergeCell ref="C1:D1"/>
    <mergeCell ref="F1:G1"/>
    <mergeCell ref="F4:G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X17"/>
  <sheetViews>
    <sheetView workbookViewId="0">
      <selection activeCell="C33" sqref="C33"/>
    </sheetView>
  </sheetViews>
  <sheetFormatPr defaultRowHeight="15" x14ac:dyDescent="0.25"/>
  <cols>
    <col min="1" max="1" width="28.5703125" customWidth="1"/>
    <col min="2" max="24" width="22.140625" customWidth="1"/>
  </cols>
  <sheetData>
    <row r="1" spans="1:24" x14ac:dyDescent="0.25">
      <c r="A1" s="2" t="s">
        <v>24</v>
      </c>
      <c r="B1" s="38" t="s">
        <v>63</v>
      </c>
      <c r="C1" s="2" t="s">
        <v>9</v>
      </c>
      <c r="D1" s="2" t="s">
        <v>10</v>
      </c>
      <c r="E1" s="2" t="s">
        <v>11</v>
      </c>
      <c r="F1" s="2" t="s">
        <v>42</v>
      </c>
      <c r="G1" s="2" t="s">
        <v>43</v>
      </c>
      <c r="H1" s="2" t="s">
        <v>12</v>
      </c>
      <c r="I1" s="2" t="s">
        <v>18</v>
      </c>
      <c r="J1" s="38" t="s">
        <v>65</v>
      </c>
      <c r="K1" s="14" t="s">
        <v>41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2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</row>
    <row r="2" spans="1:24" x14ac:dyDescent="0.25">
      <c r="A2" s="1" t="s">
        <v>25</v>
      </c>
      <c r="B2" s="45">
        <v>92.052999999999997</v>
      </c>
      <c r="C2" s="45">
        <v>-3.9953000000000002E-2</v>
      </c>
      <c r="D2" s="45">
        <v>-2.1102999999999999E-4</v>
      </c>
      <c r="E2" s="45">
        <v>5.3468999999999998E-7</v>
      </c>
      <c r="F2" s="1">
        <v>0</v>
      </c>
      <c r="G2" s="1">
        <v>0</v>
      </c>
      <c r="H2" s="9">
        <v>18.015280000000001</v>
      </c>
      <c r="I2" s="1">
        <v>8.7999999999999998E-5</v>
      </c>
      <c r="J2" s="15">
        <v>0.13322118140120701</v>
      </c>
      <c r="K2" s="15">
        <v>1.5713230211170999E-3</v>
      </c>
      <c r="L2" s="15">
        <v>16.920911056294699</v>
      </c>
      <c r="M2" s="15">
        <v>-0.31511169526584099</v>
      </c>
      <c r="N2" s="15">
        <v>2.44944395180422E-3</v>
      </c>
      <c r="O2" s="15">
        <v>-1.0167966455773499E-5</v>
      </c>
      <c r="P2" s="15">
        <v>2.3765247763429899E-8</v>
      </c>
      <c r="Q2" s="15">
        <v>-2.9645541740820197E-11</v>
      </c>
      <c r="R2" s="15">
        <v>1.5416666704943999E-14</v>
      </c>
      <c r="S2" s="15">
        <v>999.84036444759101</v>
      </c>
      <c r="T2" s="15">
        <v>6.5868873673025505E-2</v>
      </c>
      <c r="U2" s="15">
        <v>-8.6400688269350195E-3</v>
      </c>
      <c r="V2" s="15">
        <v>7.26924627372227E-5</v>
      </c>
      <c r="W2" s="15">
        <v>-4.8657031381793601E-7</v>
      </c>
      <c r="X2" s="15">
        <v>1.4337963247235099E-9</v>
      </c>
    </row>
    <row r="3" spans="1:24" x14ac:dyDescent="0.25">
      <c r="A3" s="1" t="s">
        <v>39</v>
      </c>
      <c r="B3" s="15">
        <v>182372.20920721299</v>
      </c>
      <c r="C3" s="15">
        <v>-2651.0472382656899</v>
      </c>
      <c r="D3" s="15">
        <v>15.392760495551601</v>
      </c>
      <c r="E3" s="15">
        <v>-4.4580061234453301E-2</v>
      </c>
      <c r="F3" s="15">
        <v>6.4413149223379497E-5</v>
      </c>
      <c r="G3" s="22">
        <v>-3.7147266221393402E-8</v>
      </c>
      <c r="H3" s="30">
        <v>92.093819999999994</v>
      </c>
      <c r="I3" s="1">
        <v>1.8000000000000001E-4</v>
      </c>
      <c r="J3" s="17">
        <v>0.99125714285714395</v>
      </c>
      <c r="K3" s="15">
        <v>7.1657142857142395E-4</v>
      </c>
      <c r="L3" s="18">
        <v>11.2749999996559</v>
      </c>
      <c r="M3" s="18">
        <v>-1.26742399990951</v>
      </c>
      <c r="N3" s="18">
        <v>6.8157185538026993E-2</v>
      </c>
      <c r="O3" s="18">
        <v>-2.1004208320452001E-3</v>
      </c>
      <c r="P3" s="18">
        <v>3.7565472180756101E-5</v>
      </c>
      <c r="Q3" s="18">
        <v>-3.61591666058099E-7</v>
      </c>
      <c r="R3" s="18">
        <v>1.4467222188770999E-9</v>
      </c>
      <c r="S3" s="16">
        <v>1272.06753973229</v>
      </c>
      <c r="T3" s="17">
        <v>-0.479870468676381</v>
      </c>
      <c r="U3" s="23">
        <v>-1.94617120200746E-3</v>
      </c>
      <c r="V3" s="15">
        <v>6.7855910348413301E-6</v>
      </c>
      <c r="W3" s="15">
        <v>-1.85788174705825E-8</v>
      </c>
      <c r="X3" s="15">
        <v>2.7468072467170399E-11</v>
      </c>
    </row>
    <row r="4" spans="1:24" x14ac:dyDescent="0.25">
      <c r="B4" s="43"/>
      <c r="C4" s="42"/>
      <c r="D4" s="18"/>
      <c r="E4" s="18"/>
      <c r="F4" s="18"/>
      <c r="G4" s="41"/>
      <c r="L4" s="18"/>
      <c r="M4" s="18"/>
      <c r="N4" s="18"/>
      <c r="O4" s="18"/>
      <c r="P4" s="18"/>
      <c r="Q4" s="18"/>
      <c r="R4" s="18"/>
    </row>
    <row r="5" spans="1:24" x14ac:dyDescent="0.25">
      <c r="L5" s="18"/>
      <c r="M5" s="18"/>
      <c r="N5" s="18"/>
      <c r="O5" s="18"/>
      <c r="P5" s="18"/>
      <c r="Q5" s="18"/>
      <c r="R5" s="18"/>
      <c r="S5" s="18"/>
    </row>
    <row r="6" spans="1:24" x14ac:dyDescent="0.25">
      <c r="C6">
        <v>298.14999999999998</v>
      </c>
      <c r="D6" s="40">
        <f>(B2+C2*C6+D2*C6^2)/(0.00418*18.01528*1000)</f>
        <v>0.81512190241718308</v>
      </c>
      <c r="J6">
        <f>0.00159999999999989*J7+0.126960000000049</f>
        <v>0.60376000000001617</v>
      </c>
    </row>
    <row r="7" spans="1:24" ht="15.75" customHeight="1" x14ac:dyDescent="0.25">
      <c r="B7" s="17">
        <f>0.5795*4.18*92.09382</f>
        <v>223.07978112419997</v>
      </c>
      <c r="C7" s="15">
        <f>(B3+C3*C6+D3*C6^2+E3*C6^3+F3*C6^4+G3*C6^5)</f>
        <v>223.29325459487154</v>
      </c>
      <c r="D7" s="15"/>
      <c r="E7" s="15"/>
      <c r="F7" s="15"/>
      <c r="G7" s="22"/>
      <c r="J7">
        <v>298</v>
      </c>
    </row>
    <row r="8" spans="1:24" x14ac:dyDescent="0.25">
      <c r="B8" s="18"/>
      <c r="C8" s="18"/>
      <c r="D8" s="18"/>
      <c r="E8" s="18"/>
      <c r="F8" s="18"/>
      <c r="G8" s="18"/>
      <c r="M8" s="18"/>
    </row>
    <row r="9" spans="1:24" x14ac:dyDescent="0.25">
      <c r="B9" s="18"/>
      <c r="M9" s="18"/>
    </row>
    <row r="10" spans="1:24" x14ac:dyDescent="0.25">
      <c r="B10" s="45">
        <v>92.052999999999997</v>
      </c>
      <c r="C10" s="45">
        <v>-3.9953000000000002E-2</v>
      </c>
      <c r="D10" s="45">
        <v>-2.1102999999999999E-4</v>
      </c>
      <c r="E10" s="45">
        <v>5.3468999999999998E-7</v>
      </c>
      <c r="M10" s="18"/>
    </row>
    <row r="11" spans="1:24" x14ac:dyDescent="0.25">
      <c r="B11" s="18"/>
      <c r="C11" s="18"/>
      <c r="D11" s="18"/>
      <c r="E11" s="18"/>
      <c r="F11" s="18"/>
      <c r="G11" s="18"/>
    </row>
    <row r="13" spans="1:24" ht="17.25" x14ac:dyDescent="0.25">
      <c r="A13">
        <f>(-3.71472662213934E-08*C6^5+0.0000644131492233795*C6^4-0.0445800612344533*C6^3+15.3927604955516*C6^2-2651.04723826569*C6+182372.209207213)</f>
        <v>223.29325459487154</v>
      </c>
    </row>
    <row r="15" spans="1:24" x14ac:dyDescent="0.25">
      <c r="A15" s="44"/>
    </row>
    <row r="17" ht="17.25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Cálculo</vt:lpstr>
      <vt:lpstr>Materiais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2021-08-12T11:38:42Z</dcterms:created>
  <dcterms:modified xsi:type="dcterms:W3CDTF">2022-03-08T23:42:07Z</dcterms:modified>
</cp:coreProperties>
</file>