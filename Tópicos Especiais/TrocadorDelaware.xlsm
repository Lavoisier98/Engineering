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240" yWindow="75" windowWidth="9555" windowHeight="7500"/>
  </bookViews>
  <sheets>
    <sheet name="Trocador" sheetId="1" r:id="rId1"/>
    <sheet name="Tabelas" sheetId="2" r:id="rId2"/>
    <sheet name="Listas" sheetId="3" r:id="rId3"/>
  </sheets>
  <calcPr calcId="145621"/>
</workbook>
</file>

<file path=xl/calcChain.xml><?xml version="1.0" encoding="utf-8"?>
<calcChain xmlns="http://schemas.openxmlformats.org/spreadsheetml/2006/main">
  <c r="I10" i="1" l="1"/>
  <c r="F10" i="1"/>
  <c r="E10" i="1"/>
  <c r="D10" i="1"/>
  <c r="C10" i="1"/>
  <c r="B10" i="1"/>
  <c r="A10" i="1"/>
  <c r="N8" i="1"/>
  <c r="L8" i="1"/>
  <c r="K8" i="1"/>
  <c r="I8" i="1"/>
  <c r="G8" i="1"/>
  <c r="F8" i="1"/>
  <c r="E8" i="1"/>
  <c r="D8" i="1"/>
  <c r="C8" i="1"/>
  <c r="B8" i="1"/>
  <c r="A8" i="1"/>
  <c r="N6" i="1"/>
  <c r="L6" i="1"/>
  <c r="H8" i="1" s="1"/>
  <c r="P6" i="1"/>
  <c r="R6" i="1"/>
  <c r="Q6" i="1"/>
  <c r="J6" i="1"/>
  <c r="I6" i="1"/>
  <c r="H6" i="1"/>
  <c r="G10" i="1" l="1"/>
  <c r="H10" i="1" s="1"/>
  <c r="J10" i="1" s="1"/>
  <c r="K10" i="1" s="1"/>
  <c r="J8" i="1"/>
  <c r="M8" i="1" s="1"/>
  <c r="G6" i="1"/>
  <c r="B6" i="1"/>
  <c r="C6" i="1"/>
  <c r="D6" i="1"/>
  <c r="E6" i="1"/>
  <c r="A6" i="1"/>
  <c r="L10" i="1" l="1"/>
</calcChain>
</file>

<file path=xl/sharedStrings.xml><?xml version="1.0" encoding="utf-8"?>
<sst xmlns="http://schemas.openxmlformats.org/spreadsheetml/2006/main" count="87" uniqueCount="85">
  <si>
    <t>Lb [in]</t>
  </si>
  <si>
    <t>Espaçamento entre chicanas</t>
  </si>
  <si>
    <t>Ds [in]</t>
  </si>
  <si>
    <t>Diâmetro interno do casco</t>
  </si>
  <si>
    <t>Dotl [in]</t>
  </si>
  <si>
    <t>Diâmetro do feixe tubular</t>
  </si>
  <si>
    <r>
      <t>d</t>
    </r>
    <r>
      <rPr>
        <b/>
        <sz val="9"/>
        <color theme="0"/>
        <rFont val="Calibri"/>
        <family val="2"/>
        <scheme val="minor"/>
      </rPr>
      <t xml:space="preserve">o </t>
    </r>
    <r>
      <rPr>
        <b/>
        <sz val="11"/>
        <color theme="0"/>
        <rFont val="Calibri"/>
        <family val="2"/>
        <scheme val="minor"/>
      </rPr>
      <t>[in]</t>
    </r>
  </si>
  <si>
    <t>Diâmetro externo dos tubos</t>
  </si>
  <si>
    <t>Pt [in]</t>
  </si>
  <si>
    <t>Pitch</t>
  </si>
  <si>
    <t>Arranjo</t>
  </si>
  <si>
    <t>Quadrático</t>
  </si>
  <si>
    <t>Triangular</t>
  </si>
  <si>
    <t>Quadrático Rotacionado</t>
  </si>
  <si>
    <t>Triangular Rotacionado</t>
  </si>
  <si>
    <t>Sm [m²]</t>
  </si>
  <si>
    <r>
      <t>Re</t>
    </r>
    <r>
      <rPr>
        <b/>
        <sz val="9"/>
        <color theme="0"/>
        <rFont val="Calibri"/>
        <family val="2"/>
        <scheme val="minor"/>
      </rPr>
      <t>s</t>
    </r>
  </si>
  <si>
    <t>Ws [kg/s]</t>
  </si>
  <si>
    <t>Vasão Mássica</t>
  </si>
  <si>
    <t>Viscosidade</t>
  </si>
  <si>
    <t>μ [Lb/(ft.s)]</t>
  </si>
  <si>
    <r>
      <t>Pt</t>
    </r>
    <r>
      <rPr>
        <b/>
        <sz val="9"/>
        <color theme="0"/>
        <rFont val="Calibri"/>
        <family val="2"/>
        <scheme val="minor"/>
      </rPr>
      <t>s</t>
    </r>
  </si>
  <si>
    <t>Calor específico</t>
  </si>
  <si>
    <t>Condutividade térmica</t>
  </si>
  <si>
    <t>Cp [BTU/(Lb°F)]</t>
  </si>
  <si>
    <t>K [BTU/(h.ft°F)]</t>
  </si>
  <si>
    <r>
      <t>Re</t>
    </r>
    <r>
      <rPr>
        <sz val="9"/>
        <color theme="1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(min)</t>
    </r>
  </si>
  <si>
    <r>
      <t>Re</t>
    </r>
    <r>
      <rPr>
        <sz val="9"/>
        <color theme="1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(max)</t>
    </r>
  </si>
  <si>
    <t>a</t>
  </si>
  <si>
    <t>m</t>
  </si>
  <si>
    <r>
      <t>h</t>
    </r>
    <r>
      <rPr>
        <b/>
        <sz val="9"/>
        <color theme="0"/>
        <rFont val="Calibri"/>
        <family val="2"/>
        <scheme val="minor"/>
      </rPr>
      <t xml:space="preserve">ideal </t>
    </r>
    <r>
      <rPr>
        <b/>
        <sz val="11"/>
        <color theme="0"/>
        <rFont val="Calibri"/>
        <family val="2"/>
        <scheme val="minor"/>
      </rPr>
      <t>[W/(m²K)]</t>
    </r>
  </si>
  <si>
    <t>Lc [m]</t>
  </si>
  <si>
    <r>
      <t>%</t>
    </r>
    <r>
      <rPr>
        <b/>
        <sz val="9"/>
        <color theme="0"/>
        <rFont val="Calibri"/>
        <family val="2"/>
        <scheme val="minor"/>
      </rPr>
      <t>Corte da chicana</t>
    </r>
  </si>
  <si>
    <t>Fc</t>
  </si>
  <si>
    <t>Jc</t>
  </si>
  <si>
    <r>
      <t>S</t>
    </r>
    <r>
      <rPr>
        <b/>
        <sz val="9"/>
        <color theme="0"/>
        <rFont val="Calibri"/>
        <family val="2"/>
        <scheme val="minor"/>
      </rPr>
      <t>tb</t>
    </r>
    <r>
      <rPr>
        <b/>
        <sz val="11"/>
        <color theme="0"/>
        <rFont val="Calibri"/>
        <family val="2"/>
        <scheme val="minor"/>
      </rPr>
      <t xml:space="preserve"> [m²]</t>
    </r>
  </si>
  <si>
    <r>
      <t>δ</t>
    </r>
    <r>
      <rPr>
        <b/>
        <sz val="9"/>
        <color theme="0"/>
        <rFont val="Calibri"/>
        <family val="2"/>
        <scheme val="minor"/>
      </rPr>
      <t xml:space="preserve">tb </t>
    </r>
    <r>
      <rPr>
        <b/>
        <sz val="11"/>
        <color theme="0"/>
        <rFont val="Calibri"/>
        <family val="2"/>
        <scheme val="minor"/>
      </rPr>
      <t>[m]</t>
    </r>
  </si>
  <si>
    <t>Ntb</t>
  </si>
  <si>
    <t>Folga entre tubo e chicana</t>
  </si>
  <si>
    <t>Número de tubos</t>
  </si>
  <si>
    <r>
      <t>Ss</t>
    </r>
    <r>
      <rPr>
        <b/>
        <sz val="9"/>
        <color theme="0"/>
        <rFont val="Calibri"/>
        <family val="2"/>
        <scheme val="minor"/>
      </rPr>
      <t>b</t>
    </r>
    <r>
      <rPr>
        <b/>
        <sz val="11"/>
        <color theme="0"/>
        <rFont val="Calibri"/>
        <family val="2"/>
        <scheme val="minor"/>
      </rPr>
      <t xml:space="preserve"> [m²]</t>
    </r>
  </si>
  <si>
    <r>
      <t>δs</t>
    </r>
    <r>
      <rPr>
        <b/>
        <sz val="9"/>
        <color theme="0"/>
        <rFont val="Calibri"/>
        <family val="2"/>
        <scheme val="minor"/>
      </rPr>
      <t xml:space="preserve">b </t>
    </r>
    <r>
      <rPr>
        <b/>
        <sz val="11"/>
        <color theme="0"/>
        <rFont val="Calibri"/>
        <family val="2"/>
        <scheme val="minor"/>
      </rPr>
      <t>[m]</t>
    </r>
  </si>
  <si>
    <t>Folga entre casco e chicana</t>
  </si>
  <si>
    <r>
      <t>J</t>
    </r>
    <r>
      <rPr>
        <b/>
        <sz val="9"/>
        <color theme="0"/>
        <rFont val="Calibri"/>
        <family val="2"/>
        <scheme val="minor"/>
      </rPr>
      <t>L</t>
    </r>
  </si>
  <si>
    <t>Nc</t>
  </si>
  <si>
    <r>
      <t>J</t>
    </r>
    <r>
      <rPr>
        <b/>
        <sz val="9"/>
        <color theme="0"/>
        <rFont val="Calibri"/>
        <family val="2"/>
        <scheme val="minor"/>
      </rPr>
      <t>B</t>
    </r>
  </si>
  <si>
    <t>Nss/Nc</t>
  </si>
  <si>
    <t>Número de pares de tiras selantes (API660 recomenda 1/5 ≤ Nss/Nc ≤ 1/7 )</t>
  </si>
  <si>
    <t>ho [W/(m²K)]</t>
  </si>
  <si>
    <t>Gs [kg/(s.m²)]</t>
  </si>
  <si>
    <t>Kf</t>
  </si>
  <si>
    <t>ΔPc [Pa]</t>
  </si>
  <si>
    <t>ρ [kg/m³]</t>
  </si>
  <si>
    <t>Massa específica</t>
  </si>
  <si>
    <t>Sw [m²]</t>
  </si>
  <si>
    <r>
      <t>N</t>
    </r>
    <r>
      <rPr>
        <b/>
        <sz val="9"/>
        <color theme="0"/>
        <rFont val="Calibri"/>
        <family val="2"/>
        <scheme val="minor"/>
      </rPr>
      <t>cw</t>
    </r>
  </si>
  <si>
    <t>ΔPw [Pa]</t>
  </si>
  <si>
    <t>c</t>
  </si>
  <si>
    <r>
      <t>R</t>
    </r>
    <r>
      <rPr>
        <b/>
        <sz val="8"/>
        <color theme="0"/>
        <rFont val="Calibri"/>
        <family val="2"/>
        <scheme val="minor"/>
      </rPr>
      <t>L</t>
    </r>
  </si>
  <si>
    <r>
      <t>R</t>
    </r>
    <r>
      <rPr>
        <b/>
        <sz val="8"/>
        <color theme="0"/>
        <rFont val="Calibri"/>
        <family val="2"/>
        <scheme val="minor"/>
      </rPr>
      <t>B</t>
    </r>
  </si>
  <si>
    <t>ΔPs [Pa]</t>
  </si>
  <si>
    <r>
      <t>N</t>
    </r>
    <r>
      <rPr>
        <b/>
        <sz val="8"/>
        <color theme="0"/>
        <rFont val="Calibri"/>
        <family val="2"/>
        <scheme val="minor"/>
      </rPr>
      <t>B</t>
    </r>
  </si>
  <si>
    <t>e [m]</t>
  </si>
  <si>
    <t>e [in]</t>
  </si>
  <si>
    <t>Espessura das chicanas</t>
  </si>
  <si>
    <t>L [ft]</t>
  </si>
  <si>
    <t>Comprimento do casco</t>
  </si>
  <si>
    <t>ΔPs [psi]</t>
  </si>
  <si>
    <t>Status (ΔPs)</t>
  </si>
  <si>
    <t>Corte da chicana</t>
  </si>
  <si>
    <t>Lb [m]</t>
  </si>
  <si>
    <t>Ds [m]</t>
  </si>
  <si>
    <t>Dotl [m]</t>
  </si>
  <si>
    <r>
      <t>d</t>
    </r>
    <r>
      <rPr>
        <b/>
        <sz val="9"/>
        <color theme="0"/>
        <rFont val="Calibri"/>
        <family val="2"/>
        <scheme val="minor"/>
      </rPr>
      <t xml:space="preserve">o </t>
    </r>
    <r>
      <rPr>
        <b/>
        <sz val="11"/>
        <color theme="0"/>
        <rFont val="Calibri"/>
        <family val="2"/>
        <scheme val="minor"/>
      </rPr>
      <t>[m]</t>
    </r>
  </si>
  <si>
    <t>Pt [m]</t>
  </si>
  <si>
    <t>Ws [Lb/s]</t>
  </si>
  <si>
    <t>μ [kg/(m.s)]</t>
  </si>
  <si>
    <t>Cp [kJ/(kgK)]</t>
  </si>
  <si>
    <t>K [W/(m.K)]</t>
  </si>
  <si>
    <t>L [m]</t>
  </si>
  <si>
    <t>ρ [Lb/ft³]</t>
  </si>
  <si>
    <r>
      <t>δ</t>
    </r>
    <r>
      <rPr>
        <b/>
        <sz val="9"/>
        <color theme="0"/>
        <rFont val="Calibri"/>
        <family val="2"/>
        <scheme val="minor"/>
      </rPr>
      <t xml:space="preserve">tb </t>
    </r>
    <r>
      <rPr>
        <b/>
        <sz val="11"/>
        <color theme="0"/>
        <rFont val="Calibri"/>
        <family val="2"/>
        <scheme val="minor"/>
      </rPr>
      <t>[ft]</t>
    </r>
  </si>
  <si>
    <r>
      <t>δs</t>
    </r>
    <r>
      <rPr>
        <b/>
        <sz val="9"/>
        <color theme="0"/>
        <rFont val="Calibri"/>
        <family val="2"/>
        <scheme val="minor"/>
      </rPr>
      <t xml:space="preserve">b </t>
    </r>
    <r>
      <rPr>
        <b/>
        <sz val="11"/>
        <color theme="0"/>
        <rFont val="Calibri"/>
        <family val="2"/>
        <scheme val="minor"/>
      </rPr>
      <t>[ft]</t>
    </r>
  </si>
  <si>
    <r>
      <t>δ</t>
    </r>
    <r>
      <rPr>
        <b/>
        <sz val="9"/>
        <color theme="0"/>
        <rFont val="Calibri"/>
        <family val="2"/>
        <scheme val="minor"/>
      </rPr>
      <t xml:space="preserve">tb </t>
    </r>
    <r>
      <rPr>
        <b/>
        <sz val="11"/>
        <color theme="0"/>
        <rFont val="Calibri"/>
        <family val="2"/>
        <scheme val="minor"/>
      </rPr>
      <t>[in]</t>
    </r>
  </si>
  <si>
    <r>
      <t>δs</t>
    </r>
    <r>
      <rPr>
        <b/>
        <sz val="9"/>
        <color theme="0"/>
        <rFont val="Calibri"/>
        <family val="2"/>
        <scheme val="minor"/>
      </rPr>
      <t xml:space="preserve">b </t>
    </r>
    <r>
      <rPr>
        <b/>
        <sz val="11"/>
        <color theme="0"/>
        <rFont val="Calibri"/>
        <family val="2"/>
        <scheme val="minor"/>
      </rPr>
      <t>[in]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</si>
</sst>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00"/>
    <numFmt numFmtId="165" formatCode="0.0000"/>
  </numFmts>
  <fonts count="6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8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1" fillId="2" borderId="0" xfId="0" applyFont="1" applyFill="1" applyAlignment="1">
      <alignment horizontal="center"/>
    </xf>
    <xf numFmtId="0" fontId="0" fillId="2" borderId="0" xfId="0" applyFill="1"/>
    <xf numFmtId="0" fontId="0" fillId="2" borderId="0" xfId="0" applyFill="1" applyAlignment="1">
      <alignment wrapText="1"/>
    </xf>
    <xf numFmtId="0" fontId="0" fillId="0" borderId="0" xfId="0" applyAlignment="1">
      <alignment wrapText="1"/>
    </xf>
    <xf numFmtId="0" fontId="1" fillId="2" borderId="0" xfId="0" applyFont="1" applyFill="1" applyAlignment="1">
      <alignment horizontal="center"/>
    </xf>
    <xf numFmtId="164" fontId="0" fillId="0" borderId="0" xfId="0" applyNumberFormat="1"/>
    <xf numFmtId="0" fontId="0" fillId="3" borderId="0" xfId="0" applyFill="1"/>
    <xf numFmtId="0" fontId="1" fillId="3" borderId="0" xfId="0" applyFont="1" applyFill="1" applyAlignment="1">
      <alignment horizontal="center"/>
    </xf>
    <xf numFmtId="0" fontId="1" fillId="3" borderId="0" xfId="0" applyFont="1" applyFill="1"/>
    <xf numFmtId="165" fontId="1" fillId="3" borderId="0" xfId="0" applyNumberFormat="1" applyFont="1" applyFill="1" applyAlignment="1">
      <alignment horizontal="center"/>
    </xf>
    <xf numFmtId="2" fontId="1" fillId="3" borderId="0" xfId="0" applyNumberFormat="1" applyFont="1" applyFill="1" applyAlignment="1">
      <alignment horizontal="center"/>
    </xf>
    <xf numFmtId="164" fontId="1" fillId="3" borderId="0" xfId="0" applyNumberFormat="1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10"/>
  <sheetViews>
    <sheetView tabSelected="1" workbookViewId="0">
      <selection activeCell="G20" sqref="G20"/>
    </sheetView>
  </sheetViews>
  <sheetFormatPr defaultRowHeight="15" x14ac:dyDescent="0.25"/>
  <cols>
    <col min="1" max="1" width="13.42578125" customWidth="1"/>
    <col min="2" max="2" width="13.140625" customWidth="1"/>
    <col min="3" max="3" width="12.85546875" customWidth="1"/>
    <col min="4" max="4" width="15.5703125" customWidth="1"/>
    <col min="5" max="5" width="11" customWidth="1"/>
    <col min="6" max="6" width="22.5703125" bestFit="1" customWidth="1"/>
    <col min="7" max="7" width="12.7109375" customWidth="1"/>
    <col min="8" max="8" width="11.7109375" customWidth="1"/>
    <col min="9" max="9" width="15" bestFit="1" customWidth="1"/>
    <col min="10" max="10" width="15.28515625" customWidth="1"/>
    <col min="11" max="11" width="14.28515625" customWidth="1"/>
    <col min="12" max="12" width="11.28515625" customWidth="1"/>
    <col min="13" max="13" width="13.140625" customWidth="1"/>
    <col min="16" max="16" width="12.7109375" customWidth="1"/>
  </cols>
  <sheetData>
    <row r="1" spans="1:18" x14ac:dyDescent="0.25">
      <c r="A1" s="3" t="s">
        <v>70</v>
      </c>
      <c r="B1" s="3" t="s">
        <v>71</v>
      </c>
      <c r="C1" s="3" t="s">
        <v>72</v>
      </c>
      <c r="D1" s="3" t="s">
        <v>73</v>
      </c>
      <c r="E1" s="3" t="s">
        <v>74</v>
      </c>
      <c r="F1" s="4"/>
      <c r="G1" s="3" t="s">
        <v>17</v>
      </c>
      <c r="H1" s="3" t="s">
        <v>76</v>
      </c>
      <c r="I1" s="3" t="s">
        <v>77</v>
      </c>
      <c r="J1" s="3" t="s">
        <v>78</v>
      </c>
      <c r="K1" s="4"/>
      <c r="L1" s="3" t="s">
        <v>81</v>
      </c>
      <c r="M1" s="3" t="s">
        <v>83</v>
      </c>
      <c r="N1" s="3" t="s">
        <v>82</v>
      </c>
      <c r="O1" s="3" t="s">
        <v>84</v>
      </c>
      <c r="P1" s="3" t="s">
        <v>80</v>
      </c>
      <c r="Q1" s="3" t="s">
        <v>62</v>
      </c>
      <c r="R1" s="3" t="s">
        <v>79</v>
      </c>
    </row>
    <row r="2" spans="1:18" x14ac:dyDescent="0.25">
      <c r="G2">
        <v>5.5187999999999997</v>
      </c>
      <c r="H2">
        <v>4.0099999999999999E-4</v>
      </c>
      <c r="I2" s="1">
        <v>2.4700000000000002</v>
      </c>
      <c r="J2" s="1">
        <v>0.13239999999999999</v>
      </c>
    </row>
    <row r="3" spans="1:18" s="6" customFormat="1" ht="15" customHeight="1" x14ac:dyDescent="0.25">
      <c r="A3" s="5" t="s">
        <v>1</v>
      </c>
      <c r="B3" s="5" t="s">
        <v>3</v>
      </c>
      <c r="C3" s="5" t="s">
        <v>5</v>
      </c>
      <c r="D3" s="5" t="s">
        <v>7</v>
      </c>
      <c r="E3" s="5" t="s">
        <v>9</v>
      </c>
      <c r="F3" s="7" t="s">
        <v>10</v>
      </c>
      <c r="G3" s="5" t="s">
        <v>18</v>
      </c>
      <c r="H3" s="5" t="s">
        <v>19</v>
      </c>
      <c r="I3" s="5" t="s">
        <v>22</v>
      </c>
      <c r="J3" s="5" t="s">
        <v>23</v>
      </c>
      <c r="K3" s="5" t="s">
        <v>69</v>
      </c>
      <c r="L3" s="5" t="s">
        <v>38</v>
      </c>
      <c r="M3" s="5" t="s">
        <v>39</v>
      </c>
      <c r="N3" s="5" t="s">
        <v>42</v>
      </c>
      <c r="O3" s="5" t="s">
        <v>47</v>
      </c>
      <c r="P3" s="5" t="s">
        <v>53</v>
      </c>
      <c r="Q3" s="5" t="s">
        <v>64</v>
      </c>
      <c r="R3" s="5" t="s">
        <v>66</v>
      </c>
    </row>
    <row r="4" spans="1:18" x14ac:dyDescent="0.25">
      <c r="A4" s="3" t="s">
        <v>0</v>
      </c>
      <c r="B4" s="3" t="s">
        <v>2</v>
      </c>
      <c r="C4" s="3" t="s">
        <v>4</v>
      </c>
      <c r="D4" s="3" t="s">
        <v>6</v>
      </c>
      <c r="E4" s="3" t="s">
        <v>8</v>
      </c>
      <c r="F4" s="7"/>
      <c r="G4" s="3" t="s">
        <v>75</v>
      </c>
      <c r="H4" s="3" t="s">
        <v>20</v>
      </c>
      <c r="I4" s="3" t="s">
        <v>24</v>
      </c>
      <c r="J4" s="3" t="s">
        <v>25</v>
      </c>
      <c r="K4" s="3" t="s">
        <v>32</v>
      </c>
      <c r="L4" s="3" t="s">
        <v>36</v>
      </c>
      <c r="M4" s="3" t="s">
        <v>37</v>
      </c>
      <c r="N4" s="3" t="s">
        <v>41</v>
      </c>
      <c r="O4" s="3" t="s">
        <v>46</v>
      </c>
      <c r="P4" s="3" t="s">
        <v>52</v>
      </c>
      <c r="Q4" s="3" t="s">
        <v>63</v>
      </c>
      <c r="R4" s="3" t="s">
        <v>65</v>
      </c>
    </row>
    <row r="5" spans="1:18" s="1" customFormat="1" x14ac:dyDescent="0.25">
      <c r="A5" s="1">
        <v>5</v>
      </c>
      <c r="B5" s="1">
        <v>21</v>
      </c>
      <c r="C5" s="1">
        <v>19.25</v>
      </c>
      <c r="D5" s="1">
        <v>1</v>
      </c>
      <c r="E5" s="1">
        <v>1.25</v>
      </c>
      <c r="F5" s="1" t="s">
        <v>11</v>
      </c>
      <c r="K5" s="1">
        <v>25</v>
      </c>
      <c r="L5" s="1">
        <v>8.0000000000000004E-4</v>
      </c>
      <c r="M5" s="1">
        <v>158</v>
      </c>
      <c r="N5" s="1">
        <v>3.81E-3</v>
      </c>
      <c r="O5" s="1">
        <v>0.2</v>
      </c>
      <c r="P5">
        <v>11693.478263000001</v>
      </c>
      <c r="Q5" s="1">
        <v>0.19685</v>
      </c>
      <c r="R5" s="1">
        <v>16</v>
      </c>
    </row>
    <row r="6" spans="1:18" x14ac:dyDescent="0.25">
      <c r="A6" s="10">
        <f>IF(A2&lt;&gt;0,A2,(A5/(12*3.28083989501312)))</f>
        <v>0.12700000000000014</v>
      </c>
      <c r="B6" s="10">
        <f t="shared" ref="B6:E6" si="0">IF(B2&lt;&gt;0,B2,(B5/(12*3.28083989501312)))</f>
        <v>0.53340000000000054</v>
      </c>
      <c r="C6" s="10">
        <f t="shared" si="0"/>
        <v>0.4889500000000005</v>
      </c>
      <c r="D6" s="10">
        <f t="shared" si="0"/>
        <v>2.5400000000000027E-2</v>
      </c>
      <c r="E6" s="10">
        <f t="shared" si="0"/>
        <v>3.1750000000000035E-2</v>
      </c>
      <c r="F6" s="11"/>
      <c r="G6" s="12">
        <f>IF(G2&lt;&gt;0,G2,G5/2.20462262184877)</f>
        <v>5.5187999999999997</v>
      </c>
      <c r="H6" s="10">
        <f>IF(H2&lt;&gt;0,H2,H5/(0.000671968975139505*3600*1000))</f>
        <v>4.0099999999999999E-4</v>
      </c>
      <c r="I6" s="10">
        <f>IF(I2&lt;&gt;0,I2/4.184,I5)</f>
        <v>0.59034416826003822</v>
      </c>
      <c r="J6" s="10">
        <f>IF(J2&lt;&gt;0,J2,J5/3600*(1055.05585261999*1.8*3.28083989501312))</f>
        <v>0.13239999999999999</v>
      </c>
      <c r="K6" s="9"/>
      <c r="L6" s="10">
        <f>IF(L2&lt;&gt;0,L2/3.28083989501312,IF(M2&lt;&gt;0,M2/39.3700787401574,L5))</f>
        <v>8.0000000000000004E-4</v>
      </c>
      <c r="M6" s="9"/>
      <c r="N6" s="10">
        <f>IF(N2&lt;&gt;0,N2/3.28083989501312,IF(O2&lt;&gt;0,O2/39.3700787401574,N5))</f>
        <v>3.81E-3</v>
      </c>
      <c r="O6" s="9"/>
      <c r="P6" s="13">
        <f>IF(P2&lt;&gt;0,P2,P5*2.20462262184877/3.28083989501312^3)</f>
        <v>730.00000000056832</v>
      </c>
      <c r="Q6" s="10">
        <f>IF(Q2&lt;&gt;0,Q2,Q5/39.3700787401574)</f>
        <v>4.9999900000000097E-3</v>
      </c>
      <c r="R6" s="10">
        <f>IF(R2&lt;&gt;0,R2,R5/3.28083989501312)</f>
        <v>4.8768000000000056</v>
      </c>
    </row>
    <row r="7" spans="1:18" x14ac:dyDescent="0.25">
      <c r="A7" s="3" t="s">
        <v>15</v>
      </c>
      <c r="B7" s="3" t="s">
        <v>16</v>
      </c>
      <c r="C7" s="3" t="s">
        <v>21</v>
      </c>
      <c r="D7" s="3" t="s">
        <v>30</v>
      </c>
      <c r="E7" s="3" t="s">
        <v>31</v>
      </c>
      <c r="F7" s="3" t="s">
        <v>33</v>
      </c>
      <c r="G7" s="3" t="s">
        <v>34</v>
      </c>
      <c r="H7" s="3" t="s">
        <v>35</v>
      </c>
      <c r="I7" s="3" t="s">
        <v>40</v>
      </c>
      <c r="J7" s="3" t="s">
        <v>43</v>
      </c>
      <c r="K7" s="3" t="s">
        <v>44</v>
      </c>
      <c r="L7" s="3" t="s">
        <v>45</v>
      </c>
      <c r="M7" s="3" t="s">
        <v>48</v>
      </c>
      <c r="N7" s="3" t="s">
        <v>61</v>
      </c>
      <c r="P7" s="8"/>
    </row>
    <row r="8" spans="1:18" s="1" customFormat="1" x14ac:dyDescent="0.25">
      <c r="A8" s="10">
        <f>A6*(B6-C6+(C6-D6)*(E6-D6)/IF(OR(F5=Listas!A2,F5=Listas!A3),E6,IF(F5=Listas!A4,0.707*E6,0.5*E6)))</f>
        <v>1.741932000000004E-2</v>
      </c>
      <c r="B8" s="12">
        <f>D6*G6/(H6*A8)</f>
        <v>20067.940385257301</v>
      </c>
      <c r="C8" s="10">
        <f>I6*(H6*(0.000671968975139505*3600*1000))/(J6*3600/(1055.05585261999*1.8*3.28083989501312))</f>
        <v>7.4858975712394944</v>
      </c>
      <c r="D8" s="10">
        <f>IF(B8&lt;300,0.742,IF(B8&lt;200000,0.211,0.116))*J6/D6*B8^(IF(B8&lt;300,0.431,IF(B8&lt;200000,0.651,0.7)))*C8^0.34</f>
        <v>1378.8244228199351</v>
      </c>
      <c r="E8" s="10">
        <f>K5/100*B6</f>
        <v>0.13335000000000014</v>
      </c>
      <c r="F8" s="10">
        <f>1/PI()*(PI()+2*(B6-2*E8)/C6*SIN(ACOS((B6-2*E8)/C6))-2*ACOS((B6-2*E8)/C6))</f>
        <v>0.65832776748117683</v>
      </c>
      <c r="G8" s="10">
        <f>0.55+0.72*F8</f>
        <v>1.0239959925864475</v>
      </c>
      <c r="H8" s="10">
        <f>0.25*PI()*L6*D6*M5*(1+F8)</f>
        <v>4.1815861117255925E-3</v>
      </c>
      <c r="I8" s="10">
        <f>B6*N6/2*(PI()-ACOS(1-2*E8/B6))</f>
        <v>2.128171412209493E-3</v>
      </c>
      <c r="J8" s="10">
        <f>0.44*(1-I8/(I8+H8))+(1-0.44*(1-I8/(I8+H8)))*EXP(-2.2*(I8+H8)/A8)</f>
        <v>0.61089033650487967</v>
      </c>
      <c r="K8" s="10">
        <f>B6/(E6*IF(F5=Listas!A2,1,IF(F5=Listas!A3,0.866,IF(F5=Listas!A4,0.707,0.5))))*(1-2*E8/B6)</f>
        <v>8.3999999999999986</v>
      </c>
      <c r="L8" s="10">
        <f>IF(O5&gt;=0.5,1,EXP(-1*IF(B8&lt;=100,1.35,1.25)*((B6-C6)*A6/A8)*(1-(2*O5)^(1/3))))</f>
        <v>0.89886913860111228</v>
      </c>
      <c r="M8" s="10">
        <f>D8*G8*J8*L8</f>
        <v>775.29493976815263</v>
      </c>
      <c r="N8" s="10">
        <f>ROUND((R6)/(A6+Q6),0)-1</f>
        <v>36</v>
      </c>
    </row>
    <row r="9" spans="1:18" x14ac:dyDescent="0.25">
      <c r="A9" s="3" t="s">
        <v>49</v>
      </c>
      <c r="B9" s="3" t="s">
        <v>50</v>
      </c>
      <c r="C9" s="3" t="s">
        <v>51</v>
      </c>
      <c r="D9" s="3" t="s">
        <v>54</v>
      </c>
      <c r="E9" s="3" t="s">
        <v>55</v>
      </c>
      <c r="F9" s="3" t="s">
        <v>56</v>
      </c>
      <c r="G9" s="3" t="s">
        <v>57</v>
      </c>
      <c r="H9" s="3" t="s">
        <v>58</v>
      </c>
      <c r="I9" s="3" t="s">
        <v>59</v>
      </c>
      <c r="J9" s="3" t="s">
        <v>60</v>
      </c>
      <c r="K9" s="3" t="s">
        <v>67</v>
      </c>
      <c r="L9" s="3" t="s">
        <v>68</v>
      </c>
    </row>
    <row r="10" spans="1:18" s="2" customFormat="1" x14ac:dyDescent="0.25">
      <c r="A10" s="10">
        <f>G6/A8</f>
        <v>316.82063364126651</v>
      </c>
      <c r="B10" s="10">
        <f>IF(OR(F5=Listas!A2,F5=Listas!A4),IF(B8&lt;2000,0.272+207/B8+102/B8^2-286/B8^3,0.267+2490/B8-9270000/B8^2+30000000000/B8^3),IF(B8&lt;1000,0.795+247/B8+3350/B8^2-1550/B8^3+2410/B8^4,0.245+3390/B8-9840000/B8^2+13300000000/B8^3-5990000000000/B8^4))</f>
        <v>0.37177219781124682</v>
      </c>
      <c r="C10" s="10">
        <f>B10*K8*A10^2/(2*P6)</f>
        <v>214.69911565824293</v>
      </c>
      <c r="D10" s="10">
        <f>B6^2/4*(ACOS((B6-2*E8)/B6)-(B6-2*E8)/B6*(1-((B6-2*E8)/B6)^2)^0.5)-M5/8*(1-F8)*PI()*D6^2</f>
        <v>3.0009184412076825E-2</v>
      </c>
      <c r="E10" s="10">
        <f>0.8*E8/(E6*IF(F5=Listas!A2,1,IF(F5=Listas!A3,0.866,IF(F5=Listas!A4,0.707,0.5))))</f>
        <v>3.36</v>
      </c>
      <c r="F10" s="10">
        <f>(2+0.6*E10)*A8*A10^2/(2*D10*P6)</f>
        <v>160.26724440532641</v>
      </c>
      <c r="G10" s="10">
        <f>-0.15*(1+I8/(I8+H8))+0.8</f>
        <v>0.5994076102575272</v>
      </c>
      <c r="H10" s="10">
        <f>EXP(-1.33*(1+I8/(I8+H8))*((H8+I8)/A8)^G10)</f>
        <v>0.37996928230892135</v>
      </c>
      <c r="I10" s="10">
        <f>IF(O5&gt;=0.5,1,EXP(-1*IF(B8&lt;=100,4.5,3.7)*((B6-C6)*A6/A8)*(1-(2*O5)^(1/3))))</f>
        <v>0.72935934302913341</v>
      </c>
      <c r="J10" s="10">
        <f>((N8-1)*C10*I10+N8*F10)*H10+2*C10*I10*(1+E10/K8)</f>
        <v>4713.2544938266528</v>
      </c>
      <c r="K10" s="14">
        <f>J10/6894.757293</f>
        <v>0.68359976914805276</v>
      </c>
      <c r="L10" s="10" t="str">
        <f>IF(K10&lt;10,"Aprovado","Reprovado")</f>
        <v>Aprovado</v>
      </c>
    </row>
  </sheetData>
  <dataConsolidate/>
  <mergeCells count="1">
    <mergeCell ref="F3:F4"/>
  </mergeCells>
  <pageMargins left="0.511811024" right="0.511811024" top="0.78740157499999996" bottom="0.78740157499999996" header="0.31496062000000002" footer="0.31496062000000002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Listas!$A$2:$A$5</xm:f>
          </x14:formula1>
          <xm:sqref>F5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4:D7"/>
  <sheetViews>
    <sheetView workbookViewId="0">
      <selection activeCell="C5" sqref="C5"/>
    </sheetView>
  </sheetViews>
  <sheetFormatPr defaultRowHeight="15" x14ac:dyDescent="0.25"/>
  <sheetData>
    <row r="4" spans="1:4" x14ac:dyDescent="0.25">
      <c r="A4" t="s">
        <v>26</v>
      </c>
      <c r="B4" t="s">
        <v>27</v>
      </c>
      <c r="C4" s="1" t="s">
        <v>28</v>
      </c>
      <c r="D4" s="1" t="s">
        <v>29</v>
      </c>
    </row>
    <row r="5" spans="1:4" x14ac:dyDescent="0.25">
      <c r="A5">
        <v>0</v>
      </c>
      <c r="B5">
        <v>300</v>
      </c>
    </row>
    <row r="6" spans="1:4" x14ac:dyDescent="0.25">
      <c r="A6">
        <v>301</v>
      </c>
      <c r="B6">
        <v>200000</v>
      </c>
    </row>
    <row r="7" spans="1:4" x14ac:dyDescent="0.25">
      <c r="A7">
        <v>200001</v>
      </c>
      <c r="B7">
        <v>2000000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5"/>
  <sheetViews>
    <sheetView workbookViewId="0">
      <selection activeCell="A25" sqref="A25"/>
    </sheetView>
  </sheetViews>
  <sheetFormatPr defaultRowHeight="15" x14ac:dyDescent="0.25"/>
  <cols>
    <col min="1" max="1" width="10.85546875" customWidth="1"/>
  </cols>
  <sheetData>
    <row r="1" spans="1:1" x14ac:dyDescent="0.25">
      <c r="A1" t="s">
        <v>10</v>
      </c>
    </row>
    <row r="2" spans="1:1" x14ac:dyDescent="0.25">
      <c r="A2" t="s">
        <v>11</v>
      </c>
    </row>
    <row r="3" spans="1:1" x14ac:dyDescent="0.25">
      <c r="A3" t="s">
        <v>12</v>
      </c>
    </row>
    <row r="4" spans="1:1" x14ac:dyDescent="0.25">
      <c r="A4" t="s">
        <v>13</v>
      </c>
    </row>
    <row r="5" spans="1:1" x14ac:dyDescent="0.25">
      <c r="A5" t="s">
        <v>14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Trocador</vt:lpstr>
      <vt:lpstr>Tabelas</vt:lpstr>
      <vt:lpstr>Listas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2022-06-01T15:53:00Z</dcterms:created>
  <dcterms:modified xsi:type="dcterms:W3CDTF">2022-06-02T01:01:32Z</dcterms:modified>
</cp:coreProperties>
</file>