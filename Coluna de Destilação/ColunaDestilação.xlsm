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120" yWindow="60" windowWidth="20115" windowHeight="8010"/>
  </bookViews>
  <sheets>
    <sheet name="Col" sheetId="2" r:id="rId1"/>
    <sheet name="Par" sheetId="1" r:id="rId2"/>
    <sheet name="Listas" sheetId="3" r:id="rId3"/>
    <sheet name="Calc" sheetId="4" r:id="rId4"/>
    <sheet name="Transf" sheetId="5" r:id="rId5"/>
  </sheets>
  <calcPr calcId="145621" iterateDelta="1E-10"/>
</workbook>
</file>

<file path=xl/calcChain.xml><?xml version="1.0" encoding="utf-8"?>
<calcChain xmlns="http://schemas.openxmlformats.org/spreadsheetml/2006/main">
  <c r="H14" i="2" l="1"/>
  <c r="I14" i="2"/>
  <c r="E14" i="2" l="1"/>
  <c r="F14" i="2" l="1"/>
  <c r="G14" i="2"/>
  <c r="F16" i="2" l="1"/>
  <c r="E16" i="2"/>
  <c r="I16" i="2" l="1"/>
  <c r="E18" i="2"/>
  <c r="H6" i="2"/>
  <c r="G6" i="2"/>
  <c r="J6" i="2"/>
  <c r="I6" i="2"/>
  <c r="C8" i="2"/>
  <c r="F18" i="2" l="1"/>
  <c r="J16" i="2"/>
  <c r="D5" i="4"/>
  <c r="D8" i="4" l="1"/>
  <c r="D7" i="4"/>
  <c r="C1" i="4"/>
  <c r="C2" i="5" l="1"/>
  <c r="C6" i="2" l="1"/>
</calcChain>
</file>

<file path=xl/sharedStrings.xml><?xml version="1.0" encoding="utf-8"?>
<sst xmlns="http://schemas.openxmlformats.org/spreadsheetml/2006/main" count="505" uniqueCount="132">
  <si>
    <t>Componentes</t>
  </si>
  <si>
    <t>Wilson Parameters</t>
  </si>
  <si>
    <t>P(mmHg)</t>
  </si>
  <si>
    <t>T (°C)</t>
  </si>
  <si>
    <t>Componente 1</t>
  </si>
  <si>
    <t>Componente 2</t>
  </si>
  <si>
    <t>Temp [°C]</t>
  </si>
  <si>
    <t>P [mmHg]</t>
  </si>
  <si>
    <t>MW [kg/kmol]</t>
  </si>
  <si>
    <t>Vlsat [m³/kg]</t>
  </si>
  <si>
    <t>Graph</t>
  </si>
  <si>
    <t>Input</t>
  </si>
  <si>
    <t>Gráfico</t>
  </si>
  <si>
    <t>Igual</t>
  </si>
  <si>
    <t>A</t>
  </si>
  <si>
    <t>B</t>
  </si>
  <si>
    <t>C</t>
  </si>
  <si>
    <t>D</t>
  </si>
  <si>
    <t>E</t>
  </si>
  <si>
    <t>F</t>
  </si>
  <si>
    <t>G</t>
  </si>
  <si>
    <t>X</t>
  </si>
  <si>
    <t>Y</t>
  </si>
  <si>
    <t>1,286037067310670E-06*$A$2^6M=(-1)*1,169076233988870E-04*$A$2^5M=3,987942570972790E-03*$A$2^4M=(-1)*6,279318589713510E-02*$A$2^3M=4,456555166616450E-01*$A$2^2M=(-1)*1,069365626681250E+00*$A$2M=5,992444205380160E+01</t>
  </si>
  <si>
    <t xml:space="preserve">Casas Decimais:  </t>
  </si>
  <si>
    <t xml:space="preserve">Valor Mínimo:  </t>
  </si>
  <si>
    <t xml:space="preserve">Valor de X:  </t>
  </si>
  <si>
    <t xml:space="preserve">Resultado em Y:  </t>
  </si>
  <si>
    <t>2-BUTOXYETHANOL</t>
  </si>
  <si>
    <t>2-ETHOXYETHANOL</t>
  </si>
  <si>
    <t>1,6-HEXANEDIOL</t>
  </si>
  <si>
    <t>METHYL ETHYL KETONE</t>
  </si>
  <si>
    <t>ISOPROPANOL</t>
  </si>
  <si>
    <t>Identificador 2</t>
  </si>
  <si>
    <t>Λ12</t>
  </si>
  <si>
    <t>Λ21</t>
  </si>
  <si>
    <t>Massa Esp1 [kg/m³]</t>
  </si>
  <si>
    <t>Massa Esp2 [kg/m³]</t>
  </si>
  <si>
    <t>Vmolar1 [m³/mol]</t>
  </si>
  <si>
    <t>Vmolar2 [m³/mol]</t>
  </si>
  <si>
    <t>R [J/(mol.K)]</t>
  </si>
  <si>
    <t>γ1</t>
  </si>
  <si>
    <t>γ2</t>
  </si>
  <si>
    <t>λ12-λ11 [cal/(g.mol)]</t>
  </si>
  <si>
    <t>λ12-λ22 [cal/(g.mol)]</t>
  </si>
  <si>
    <t>Feed [kg/h]</t>
  </si>
  <si>
    <t>Parâmetros da equação de Antoine</t>
  </si>
  <si>
    <t>ETHYL ACETATE</t>
  </si>
  <si>
    <t>ACETONE</t>
  </si>
  <si>
    <t>ACETONITRILE</t>
  </si>
  <si>
    <t>BENZENE</t>
  </si>
  <si>
    <t>1-BUTANOL</t>
  </si>
  <si>
    <t>CARBON TETRACHLORIDE</t>
  </si>
  <si>
    <t>CHLOROFORM</t>
  </si>
  <si>
    <t>CYCLOHEXANE</t>
  </si>
  <si>
    <t>CYCLOPENTANE</t>
  </si>
  <si>
    <t>2,3-DIMETHYLBUTANE</t>
  </si>
  <si>
    <t>1,4-DIOXANE</t>
  </si>
  <si>
    <t>ETHANOL</t>
  </si>
  <si>
    <t>ETHYLBENZENE</t>
  </si>
  <si>
    <t>ETHYLCYCLOHEXANE</t>
  </si>
  <si>
    <t>N-HEPTANE</t>
  </si>
  <si>
    <t>N-HEXANE</t>
  </si>
  <si>
    <t>1-HEXENE</t>
  </si>
  <si>
    <t>METHANOL</t>
  </si>
  <si>
    <t>METHYL ACETATE</t>
  </si>
  <si>
    <t>METHYLCYCLOHEXANE</t>
  </si>
  <si>
    <t>METHYLCYCLOPENTANE</t>
  </si>
  <si>
    <t>N-OCTANE</t>
  </si>
  <si>
    <t>N-PENTANE</t>
  </si>
  <si>
    <t>N-PROPANOL</t>
  </si>
  <si>
    <t>TOLUENE</t>
  </si>
  <si>
    <t>1,2,3-TRICHLOROPROPANE</t>
  </si>
  <si>
    <t>2,2,4-TRIMETHYLPENTANE</t>
  </si>
  <si>
    <t>METHANOL (760MMHG)</t>
  </si>
  <si>
    <t>METHANOL (55°C)</t>
  </si>
  <si>
    <t>2-PROPANOL (760MMHG)</t>
  </si>
  <si>
    <t>2-PROPANOL (55°C)</t>
  </si>
  <si>
    <t>WATER</t>
  </si>
  <si>
    <t>N-HEPTANE (760MMHG)</t>
  </si>
  <si>
    <t>N-HEPTANE (75°C)</t>
  </si>
  <si>
    <t>1-PROPANOL (760MMHG)</t>
  </si>
  <si>
    <t>1-PROPANOL (75°C)</t>
  </si>
  <si>
    <t>2-PROPANOL (500MMHG)</t>
  </si>
  <si>
    <t>2-PROPANOL</t>
  </si>
  <si>
    <t>HEXENE-1</t>
  </si>
  <si>
    <t>METHYL-ETHYL-KETONE</t>
  </si>
  <si>
    <t>ETHYL ACETATE (760MMHG)</t>
  </si>
  <si>
    <t>ETHYL ACETATE (40°C)</t>
  </si>
  <si>
    <t>ETHYL ACETATE (60°C)</t>
  </si>
  <si>
    <t>ETHANOL (760MMHG)</t>
  </si>
  <si>
    <t>ETHANOL (40°C)</t>
  </si>
  <si>
    <t>ETHANOL (60°C)</t>
  </si>
  <si>
    <t>METHANOL (50°C)</t>
  </si>
  <si>
    <t>METHANOL (60°C)</t>
  </si>
  <si>
    <t>1-PROPANOL</t>
  </si>
  <si>
    <t>CELLOSOLVE</t>
  </si>
  <si>
    <t>HEXYLENEGLYCOL</t>
  </si>
  <si>
    <t>BUTYL CELLOSOLVE</t>
  </si>
  <si>
    <t>BENZENE (760MMHG)</t>
  </si>
  <si>
    <t>BENZENE (75°C)</t>
  </si>
  <si>
    <t>ACETONE (760MMHG)</t>
  </si>
  <si>
    <t>ACETONE (55°C)</t>
  </si>
  <si>
    <t>ETHYL ACETATE (50°C)</t>
  </si>
  <si>
    <t>BENZENE (40°C)</t>
  </si>
  <si>
    <t>WATER (760MMHG)</t>
  </si>
  <si>
    <t>WATER (40°C)</t>
  </si>
  <si>
    <t>WATER (60°C)</t>
  </si>
  <si>
    <t>BENZENE (500MMHG)</t>
  </si>
  <si>
    <t>CYCLOHEXANE (760MMHG)</t>
  </si>
  <si>
    <t>CYCLOHEXANE (500MMHG)</t>
  </si>
  <si>
    <t>1-PROPANOL (40°C)</t>
  </si>
  <si>
    <t>1-PROPANOL (60°C)</t>
  </si>
  <si>
    <t>2-PROPANOL (40°C)</t>
  </si>
  <si>
    <t>2-PROPANOL (60°C)</t>
  </si>
  <si>
    <t>y1</t>
  </si>
  <si>
    <t>Cálculo do ponto de orvalho</t>
  </si>
  <si>
    <t>T(k+1)</t>
  </si>
  <si>
    <t>Psat1(k+1)</t>
  </si>
  <si>
    <t>x1 (k+1)</t>
  </si>
  <si>
    <t>Psat1 (vba)</t>
  </si>
  <si>
    <t>x1(vba)</t>
  </si>
  <si>
    <t>|Psat1(k+1)-Psat1(k)| /Psat1(k)</t>
  </si>
  <si>
    <t>T(k+1) fixo</t>
  </si>
  <si>
    <t>Psat1 (k)</t>
  </si>
  <si>
    <t>Psat2 (k)</t>
  </si>
  <si>
    <t>T(k) [°C]</t>
  </si>
  <si>
    <r>
      <t>x1</t>
    </r>
    <r>
      <rPr>
        <b/>
        <sz val="11"/>
        <color theme="1"/>
        <rFont val="Calibri"/>
        <family val="2"/>
        <scheme val="minor"/>
      </rPr>
      <t>f</t>
    </r>
  </si>
  <si>
    <r>
      <t>y1</t>
    </r>
    <r>
      <rPr>
        <b/>
        <sz val="11"/>
        <color theme="1"/>
        <rFont val="Calibri"/>
        <family val="2"/>
        <scheme val="minor"/>
      </rPr>
      <t>f</t>
    </r>
  </si>
  <si>
    <r>
      <t>x2</t>
    </r>
    <r>
      <rPr>
        <b/>
        <sz val="11"/>
        <color theme="1"/>
        <rFont val="Calibri"/>
        <family val="2"/>
        <scheme val="minor"/>
      </rPr>
      <t>f</t>
    </r>
  </si>
  <si>
    <r>
      <t>y2</t>
    </r>
    <r>
      <rPr>
        <b/>
        <sz val="11"/>
        <color theme="1"/>
        <rFont val="Calibri"/>
        <family val="2"/>
        <scheme val="minor"/>
      </rPr>
      <t>f</t>
    </r>
  </si>
  <si>
    <t>q [1-Título]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</si>
</sst>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000000000000E+00"/>
    <numFmt numFmtId="166" formatCode="0E+00"/>
    <numFmt numFmtId="167" formatCode="0.000"/>
  </numFmts>
  <fonts count="11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/>
    </xf>
    <xf numFmtId="165" fontId="0" fillId="0" borderId="0" xfId="0" applyNumberFormat="1"/>
    <xf numFmtId="0" fontId="0" fillId="0" borderId="1" xfId="0" applyFill="1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0" fontId="0" fillId="0" borderId="1" xfId="0" applyBorder="1" applyAlignment="1">
      <alignment vertical="center" wrapText="1"/>
    </xf>
    <xf numFmtId="165" fontId="0" fillId="0" borderId="1" xfId="0" applyNumberFormat="1" applyBorder="1" applyAlignment="1">
      <alignment vertical="center"/>
    </xf>
    <xf numFmtId="0" fontId="3" fillId="2" borderId="1" xfId="0" applyFont="1" applyFill="1" applyBorder="1" applyAlignment="1">
      <alignment horizontal="center"/>
    </xf>
    <xf numFmtId="164" fontId="3" fillId="2" borderId="1" xfId="0" applyNumberFormat="1" applyFont="1" applyFill="1" applyBorder="1" applyAlignment="1">
      <alignment horizontal="center"/>
    </xf>
    <xf numFmtId="0" fontId="3" fillId="2" borderId="0" xfId="0" applyFont="1" applyFill="1" applyAlignment="1">
      <alignment horizontal="right"/>
    </xf>
    <xf numFmtId="166" fontId="3" fillId="2" borderId="0" xfId="0" applyNumberFormat="1" applyFont="1" applyFill="1" applyAlignment="1">
      <alignment horizontal="center"/>
    </xf>
    <xf numFmtId="0" fontId="3" fillId="2" borderId="1" xfId="0" applyFont="1" applyFill="1" applyBorder="1" applyAlignment="1">
      <alignment horizontal="right"/>
    </xf>
    <xf numFmtId="165" fontId="3" fillId="2" borderId="1" xfId="0" applyNumberFormat="1" applyFont="1" applyFill="1" applyBorder="1" applyAlignment="1">
      <alignment horizontal="center"/>
    </xf>
    <xf numFmtId="167" fontId="5" fillId="2" borderId="1" xfId="0" applyNumberFormat="1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vertical="top"/>
    </xf>
    <xf numFmtId="0" fontId="0" fillId="3" borderId="0" xfId="0" applyFill="1"/>
    <xf numFmtId="0" fontId="3" fillId="2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8" fillId="5" borderId="0" xfId="0" applyFont="1" applyFill="1"/>
    <xf numFmtId="0" fontId="9" fillId="5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3" fillId="2" borderId="1" xfId="0" applyFont="1" applyFill="1" applyBorder="1"/>
    <xf numFmtId="0" fontId="3" fillId="2" borderId="0" xfId="0" applyFont="1" applyFill="1"/>
    <xf numFmtId="0" fontId="0" fillId="4" borderId="2" xfId="0" applyFill="1" applyBorder="1" applyAlignment="1">
      <alignment horizontal="center"/>
    </xf>
    <xf numFmtId="0" fontId="10" fillId="4" borderId="2" xfId="0" applyFont="1" applyFill="1" applyBorder="1" applyAlignment="1">
      <alignment wrapText="1"/>
    </xf>
    <xf numFmtId="0" fontId="3" fillId="2" borderId="2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7" fillId="4" borderId="2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3" fillId="2" borderId="1" xfId="0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285756</xdr:colOff>
      <xdr:row>1</xdr:row>
      <xdr:rowOff>47626</xdr:rowOff>
    </xdr:from>
    <xdr:to>
      <xdr:col>1</xdr:col>
      <xdr:colOff>727465</xdr:colOff>
      <xdr:row>2</xdr:row>
      <xdr:rowOff>266700</xdr:rowOff>
    </xdr:to>
    <xdr:sp macro="[0]!Listagem" textlink="">
      <xdr:nvSpPr>
        <xdr:cNvPr id="2" name="Cruz 1"/>
        <xdr:cNvSpPr>
          <a:spLocks noChangeAspect="1"/>
        </xdr:cNvSpPr>
      </xdr:nvSpPr>
      <xdr:spPr>
        <a:xfrm>
          <a:off x="1495431" y="238126"/>
          <a:ext cx="441709" cy="457199"/>
        </a:xfrm>
        <a:prstGeom prst="plus">
          <a:avLst>
            <a:gd name="adj" fmla="val 322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142875</xdr:colOff>
      <xdr:row>1</xdr:row>
      <xdr:rowOff>123825</xdr:rowOff>
    </xdr:from>
    <xdr:to>
      <xdr:col>3</xdr:col>
      <xdr:colOff>647700</xdr:colOff>
      <xdr:row>2</xdr:row>
      <xdr:rowOff>180975</xdr:rowOff>
    </xdr:to>
    <xdr:sp macro="[0]!TP" textlink="">
      <xdr:nvSpPr>
        <xdr:cNvPr id="3" name="Pentágono 2"/>
        <xdr:cNvSpPr/>
      </xdr:nvSpPr>
      <xdr:spPr>
        <a:xfrm>
          <a:off x="3543300" y="314325"/>
          <a:ext cx="504825" cy="29527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11</xdr:row>
      <xdr:rowOff>114300</xdr:rowOff>
    </xdr:from>
    <xdr:to>
      <xdr:col>3</xdr:col>
      <xdr:colOff>295275</xdr:colOff>
      <xdr:row>14</xdr:row>
      <xdr:rowOff>0</xdr:rowOff>
    </xdr:to>
    <xdr:sp macro="[0]!Graph" textlink="">
      <xdr:nvSpPr>
        <xdr:cNvPr id="3" name="Retângulo 2"/>
        <xdr:cNvSpPr/>
      </xdr:nvSpPr>
      <xdr:spPr>
        <a:xfrm>
          <a:off x="2190750" y="2409825"/>
          <a:ext cx="1533525" cy="457200"/>
        </a:xfrm>
        <a:prstGeom prst="rect">
          <a:avLst/>
        </a:prstGeom>
        <a:solidFill>
          <a:schemeClr val="accent2"/>
        </a:solidFill>
        <a:ln>
          <a:solidFill>
            <a:srgbClr val="FFFF00">
              <a:alpha val="5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rgbClr val="FFFF00">
                  <a:alpha val="75000"/>
                </a:srgbClr>
              </a:solidFill>
            </a:rPr>
            <a:t>Graph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2:L18"/>
  <sheetViews>
    <sheetView tabSelected="1" topLeftCell="A19" workbookViewId="0">
      <selection activeCell="F30" sqref="F30"/>
    </sheetView>
  </sheetViews>
  <sheetFormatPr defaultRowHeight="15" x14ac:dyDescent="0.25"/>
  <cols>
    <col min="1" max="1" width="24.5703125" customWidth="1"/>
    <col min="2" max="2" width="14.7109375" customWidth="1"/>
    <col min="3" max="3" width="23" customWidth="1"/>
    <col min="4" max="4" width="11.85546875" customWidth="1"/>
    <col min="5" max="6" width="20.140625" bestFit="1" customWidth="1"/>
    <col min="7" max="10" width="17.28515625" bestFit="1" customWidth="1"/>
    <col min="11" max="11" width="16.28515625" customWidth="1"/>
    <col min="12" max="12" width="15" customWidth="1"/>
  </cols>
  <sheetData>
    <row r="2" spans="1:12" ht="18.75" x14ac:dyDescent="0.3">
      <c r="A2" s="26" t="s">
        <v>4</v>
      </c>
      <c r="C2" s="26" t="s">
        <v>5</v>
      </c>
      <c r="E2" s="27" t="s">
        <v>43</v>
      </c>
      <c r="F2" s="27" t="s">
        <v>44</v>
      </c>
      <c r="G2" s="26" t="s">
        <v>7</v>
      </c>
      <c r="H2" s="26" t="s">
        <v>6</v>
      </c>
      <c r="I2" s="27" t="s">
        <v>38</v>
      </c>
      <c r="J2" s="27" t="s">
        <v>39</v>
      </c>
      <c r="K2" s="27" t="s">
        <v>40</v>
      </c>
      <c r="L2" s="27" t="s">
        <v>45</v>
      </c>
    </row>
    <row r="3" spans="1:12" ht="24.75" customHeight="1" x14ac:dyDescent="0.25">
      <c r="A3" s="5" t="s">
        <v>47</v>
      </c>
      <c r="C3" s="5" t="s">
        <v>92</v>
      </c>
      <c r="E3" s="25">
        <v>-52.14</v>
      </c>
      <c r="F3" s="25">
        <v>744.81</v>
      </c>
      <c r="G3" s="31">
        <v>760</v>
      </c>
      <c r="H3" s="25">
        <v>60</v>
      </c>
      <c r="I3" s="25">
        <v>9657.2386402855354</v>
      </c>
      <c r="J3" s="25">
        <v>16352.755997149561</v>
      </c>
      <c r="K3" s="25">
        <v>8.31</v>
      </c>
      <c r="L3" s="4"/>
    </row>
    <row r="5" spans="1:12" ht="21" x14ac:dyDescent="0.35">
      <c r="A5" s="28" t="s">
        <v>127</v>
      </c>
      <c r="C5" s="28" t="s">
        <v>129</v>
      </c>
      <c r="E5" s="27" t="s">
        <v>36</v>
      </c>
      <c r="F5" s="27" t="s">
        <v>37</v>
      </c>
      <c r="G5" s="27" t="s">
        <v>34</v>
      </c>
      <c r="H5" s="27" t="s">
        <v>35</v>
      </c>
      <c r="I5" s="27" t="s">
        <v>41</v>
      </c>
      <c r="J5" s="27" t="s">
        <v>42</v>
      </c>
    </row>
    <row r="6" spans="1:12" ht="23.25" customHeight="1" x14ac:dyDescent="0.25">
      <c r="A6" s="3">
        <v>0.6</v>
      </c>
      <c r="C6" s="25">
        <f>1-A6</f>
        <v>0.4</v>
      </c>
      <c r="E6" s="25">
        <v>850.8027242091556</v>
      </c>
      <c r="F6" s="25">
        <v>753.37146878868032</v>
      </c>
      <c r="G6" s="25">
        <f>(J3/I3)*EXP(-(E3*4.18)/(K3*(H3+273.15)))</f>
        <v>1.8320078828104254</v>
      </c>
      <c r="H6" s="25">
        <f>(I3/J3)*EXP(-(F3*4.18)/(K3*(H3+273.15)))</f>
        <v>0.19181108745218253</v>
      </c>
      <c r="I6" s="25">
        <f>EXP(-LN(A6+G6*C6)+C6*(G6/(A6+G6*C6)-H6/(C6+H6*A6)))</f>
        <v>1.120283985939613</v>
      </c>
      <c r="J6" s="25">
        <f>EXP(-LN(C6+H6*A6)-A6*(G6/(A6+G6*C6)-H6/(C6+H6*A6)))</f>
        <v>1.0640903256654797</v>
      </c>
    </row>
    <row r="7" spans="1:12" ht="21" x14ac:dyDescent="0.35">
      <c r="A7" s="28" t="s">
        <v>128</v>
      </c>
      <c r="C7" s="28" t="s">
        <v>130</v>
      </c>
    </row>
    <row r="8" spans="1:12" ht="21.75" customHeight="1" x14ac:dyDescent="0.25">
      <c r="A8" s="4"/>
      <c r="C8" s="25">
        <f>1-A8</f>
        <v>1</v>
      </c>
      <c r="E8" s="43" t="s">
        <v>46</v>
      </c>
      <c r="F8" s="44"/>
      <c r="G8" s="44"/>
      <c r="H8" s="44"/>
      <c r="I8" s="44"/>
      <c r="J8" s="45"/>
    </row>
    <row r="9" spans="1:12" ht="20.25" customHeight="1" x14ac:dyDescent="0.25">
      <c r="E9" s="46" t="s">
        <v>4</v>
      </c>
      <c r="F9" s="46"/>
      <c r="G9" s="46"/>
      <c r="H9" s="46" t="s">
        <v>5</v>
      </c>
      <c r="I9" s="46"/>
      <c r="J9" s="46"/>
    </row>
    <row r="10" spans="1:12" x14ac:dyDescent="0.25">
      <c r="A10" s="42" t="s">
        <v>131</v>
      </c>
      <c r="E10" s="32" t="s">
        <v>14</v>
      </c>
      <c r="F10" s="32" t="s">
        <v>15</v>
      </c>
      <c r="G10" s="32" t="s">
        <v>16</v>
      </c>
      <c r="H10" s="32" t="s">
        <v>14</v>
      </c>
      <c r="I10" s="32" t="s">
        <v>15</v>
      </c>
      <c r="J10" s="32" t="s">
        <v>16</v>
      </c>
    </row>
    <row r="11" spans="1:12" ht="24.75" customHeight="1" x14ac:dyDescent="0.25">
      <c r="E11" s="33">
        <v>7.01457</v>
      </c>
      <c r="F11" s="33">
        <v>1211.9000000000001</v>
      </c>
      <c r="G11" s="33">
        <v>216</v>
      </c>
      <c r="H11" s="33">
        <v>8.2133000000000003</v>
      </c>
      <c r="I11" s="33">
        <v>1652.05</v>
      </c>
      <c r="J11" s="33">
        <v>231.48</v>
      </c>
    </row>
    <row r="12" spans="1:12" ht="24" customHeight="1" x14ac:dyDescent="0.25">
      <c r="E12" s="43" t="s">
        <v>116</v>
      </c>
      <c r="F12" s="44"/>
      <c r="G12" s="44"/>
      <c r="H12" s="44"/>
      <c r="I12" s="44"/>
      <c r="J12" s="45"/>
    </row>
    <row r="13" spans="1:12" ht="19.5" customHeight="1" x14ac:dyDescent="0.25">
      <c r="C13" s="30"/>
      <c r="E13" s="29" t="s">
        <v>124</v>
      </c>
      <c r="F13" s="29" t="s">
        <v>115</v>
      </c>
      <c r="G13" s="29" t="s">
        <v>125</v>
      </c>
      <c r="H13" s="29" t="s">
        <v>34</v>
      </c>
      <c r="I13" s="29" t="s">
        <v>35</v>
      </c>
      <c r="J13" s="29" t="s">
        <v>126</v>
      </c>
    </row>
    <row r="14" spans="1:12" ht="20.25" customHeight="1" x14ac:dyDescent="0.25">
      <c r="E14" s="16">
        <f>IFERROR(IF(G18&lt;&gt;"",G18,10^(E11-F11/(J14+G11))),0)</f>
        <v>482</v>
      </c>
      <c r="F14" s="16">
        <f>IF(A6&lt;&gt;"",IF(A6*I6*E14/$G$3&gt;1,1,A6*I6*E14/$G$3),A8)</f>
        <v>0.42629753780754742</v>
      </c>
      <c r="G14" s="16">
        <f>10^(H11-I11/(J14+J11))</f>
        <v>1524.0647854751853</v>
      </c>
      <c r="H14" s="16">
        <f>(H16/G16)*EXP(-(E3*4.18)/(K3*(J14+273.15)))</f>
        <v>1.8274489421039533</v>
      </c>
      <c r="I14" s="16">
        <f>(G16/H16)*EXP(-(F3*4.18)/(K3*(J14+273.15)))</f>
        <v>0.21344746818794522</v>
      </c>
      <c r="J14" s="41">
        <v>96.94</v>
      </c>
    </row>
    <row r="15" spans="1:12" ht="19.5" customHeight="1" x14ac:dyDescent="0.25">
      <c r="E15" s="29" t="s">
        <v>41</v>
      </c>
      <c r="F15" s="29" t="s">
        <v>42</v>
      </c>
      <c r="G15" s="29" t="s">
        <v>38</v>
      </c>
      <c r="H15" s="29" t="s">
        <v>39</v>
      </c>
      <c r="I15" s="29" t="s">
        <v>118</v>
      </c>
      <c r="J15" s="29" t="s">
        <v>117</v>
      </c>
      <c r="K15" s="40" t="s">
        <v>123</v>
      </c>
    </row>
    <row r="16" spans="1:12" ht="18.75" customHeight="1" x14ac:dyDescent="0.25">
      <c r="E16" s="16">
        <f>IF(I18&lt;&gt;"",I18,EXP(-LN(A6+H14*C6)+C6*(H14/(A6+H14*C6)-I14/(C6+I14*A6))))</f>
        <v>1.1069487426957982</v>
      </c>
      <c r="F16" s="16">
        <f>IF(J18&lt;&gt;"",J18,EXP(-LN(C6+I14*A6)-A6*(H14/(A6+H14*C6)-I14/(C6+I14*A6))))</f>
        <v>1.0589157293163101</v>
      </c>
      <c r="G16" s="16">
        <v>9099.431938974958</v>
      </c>
      <c r="H16" s="16">
        <v>15491.117502980553</v>
      </c>
      <c r="I16" s="16">
        <f>G3*(F14/E16+(1-F14)/(F16*G14/E14))</f>
        <v>422.90539528177754</v>
      </c>
      <c r="J16" s="39">
        <f>F11/(LOG10(I16)-E11)-G11</f>
        <v>-492.16448417528301</v>
      </c>
      <c r="K16" s="4"/>
    </row>
    <row r="17" spans="5:10" ht="27.75" customHeight="1" x14ac:dyDescent="0.25">
      <c r="E17" s="29" t="s">
        <v>119</v>
      </c>
      <c r="F17" s="37" t="s">
        <v>122</v>
      </c>
      <c r="G17" s="36" t="s">
        <v>120</v>
      </c>
      <c r="H17" s="29" t="s">
        <v>121</v>
      </c>
      <c r="I17" s="29"/>
      <c r="J17" s="29"/>
    </row>
    <row r="18" spans="5:10" x14ac:dyDescent="0.25">
      <c r="E18" s="16">
        <f>F14*G3/(E16*E14)</f>
        <v>0.60722810879824773</v>
      </c>
      <c r="F18" s="38">
        <f>IFERROR(ABS(I16/E14)/E14,1)</f>
        <v>1.8203259038316211E-3</v>
      </c>
      <c r="G18" s="10">
        <v>482</v>
      </c>
      <c r="H18" s="34"/>
      <c r="I18" s="35"/>
      <c r="J18" s="35"/>
    </row>
  </sheetData>
  <mergeCells count="4">
    <mergeCell ref="E8:J8"/>
    <mergeCell ref="E9:G9"/>
    <mergeCell ref="H9:J9"/>
    <mergeCell ref="E12:J12"/>
  </mergeCells>
  <dataValidations count="1">
    <dataValidation type="decimal" allowBlank="1" showInputMessage="1" showErrorMessage="1" sqref="A6 A8">
      <formula1>0</formula1>
      <formula2>1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Listas!A2:A32</xm:f>
          </x14:formula1>
          <xm:sqref>B17</xm:sqref>
        </x14:dataValidation>
        <x14:dataValidation type="list" allowBlank="1" showInputMessage="1" showErrorMessage="1">
          <x14:formula1>
            <xm:f>Listas!A2:A33</xm:f>
          </x14:formula1>
          <xm:sqref>A3</xm:sqref>
        </x14:dataValidation>
        <x14:dataValidation type="list" allowBlank="1" showInputMessage="1" showErrorMessage="1">
          <x14:formula1>
            <xm:f>Par!B75:B88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J180"/>
  <sheetViews>
    <sheetView workbookViewId="0">
      <selection activeCell="L9" sqref="L9"/>
    </sheetView>
  </sheetViews>
  <sheetFormatPr defaultRowHeight="15" x14ac:dyDescent="0.25"/>
  <cols>
    <col min="1" max="1" width="19.85546875" bestFit="1" customWidth="1"/>
    <col min="2" max="2" width="23.42578125" bestFit="1" customWidth="1"/>
    <col min="3" max="4" width="20.140625" bestFit="1" customWidth="1"/>
    <col min="5" max="5" width="10.85546875" customWidth="1"/>
    <col min="7" max="7" width="13.85546875" style="6" bestFit="1" customWidth="1"/>
    <col min="8" max="8" width="14.42578125" style="6" customWidth="1"/>
    <col min="9" max="9" width="24.85546875" style="6" bestFit="1" customWidth="1"/>
  </cols>
  <sheetData>
    <row r="1" spans="1:10" x14ac:dyDescent="0.25">
      <c r="A1" s="47" t="s">
        <v>0</v>
      </c>
      <c r="B1" s="47"/>
      <c r="C1" s="47" t="s">
        <v>1</v>
      </c>
      <c r="D1" s="47"/>
    </row>
    <row r="2" spans="1:10" x14ac:dyDescent="0.25">
      <c r="A2">
        <v>1</v>
      </c>
      <c r="B2">
        <v>2</v>
      </c>
      <c r="C2" t="s">
        <v>43</v>
      </c>
      <c r="D2" t="s">
        <v>44</v>
      </c>
      <c r="E2" s="1" t="s">
        <v>2</v>
      </c>
      <c r="F2" s="1" t="s">
        <v>3</v>
      </c>
      <c r="G2" s="6" t="s">
        <v>8</v>
      </c>
      <c r="H2" s="6" t="s">
        <v>9</v>
      </c>
      <c r="I2" s="7" t="s">
        <v>33</v>
      </c>
      <c r="J2" s="7"/>
    </row>
    <row r="3" spans="1:10" x14ac:dyDescent="0.25">
      <c r="A3" s="24" t="s">
        <v>48</v>
      </c>
      <c r="B3" s="24" t="s">
        <v>50</v>
      </c>
      <c r="C3">
        <v>494.92</v>
      </c>
      <c r="D3">
        <v>-167.91</v>
      </c>
      <c r="E3">
        <v>760</v>
      </c>
      <c r="I3" t="s">
        <v>50</v>
      </c>
    </row>
    <row r="4" spans="1:10" x14ac:dyDescent="0.25">
      <c r="B4" s="24" t="s">
        <v>52</v>
      </c>
      <c r="C4">
        <v>651.76</v>
      </c>
      <c r="D4">
        <v>-12.67</v>
      </c>
      <c r="E4">
        <v>760</v>
      </c>
      <c r="I4" t="s">
        <v>52</v>
      </c>
    </row>
    <row r="5" spans="1:10" x14ac:dyDescent="0.25">
      <c r="B5" s="24" t="s">
        <v>53</v>
      </c>
      <c r="C5">
        <v>-72.2</v>
      </c>
      <c r="D5">
        <v>-332.23</v>
      </c>
      <c r="E5">
        <v>760</v>
      </c>
      <c r="I5" t="s">
        <v>53</v>
      </c>
    </row>
    <row r="6" spans="1:10" x14ac:dyDescent="0.25">
      <c r="B6" t="s">
        <v>56</v>
      </c>
      <c r="C6">
        <v>948.29</v>
      </c>
      <c r="D6">
        <v>234.96</v>
      </c>
      <c r="E6">
        <v>760</v>
      </c>
      <c r="I6" t="s">
        <v>56</v>
      </c>
    </row>
    <row r="7" spans="1:10" x14ac:dyDescent="0.25">
      <c r="B7" t="s">
        <v>58</v>
      </c>
      <c r="C7">
        <v>38.17</v>
      </c>
      <c r="D7">
        <v>418.96</v>
      </c>
      <c r="E7">
        <v>760</v>
      </c>
      <c r="I7" t="s">
        <v>58</v>
      </c>
    </row>
    <row r="8" spans="1:10" x14ac:dyDescent="0.25">
      <c r="B8" t="s">
        <v>74</v>
      </c>
      <c r="C8">
        <v>-214.95</v>
      </c>
      <c r="D8">
        <v>664.08</v>
      </c>
      <c r="E8">
        <v>760</v>
      </c>
      <c r="I8" t="s">
        <v>64</v>
      </c>
    </row>
    <row r="9" spans="1:10" x14ac:dyDescent="0.25">
      <c r="B9" t="s">
        <v>75</v>
      </c>
      <c r="C9">
        <v>-203.03</v>
      </c>
      <c r="D9">
        <v>666.99</v>
      </c>
      <c r="F9">
        <v>55</v>
      </c>
      <c r="I9" t="s">
        <v>64</v>
      </c>
    </row>
    <row r="10" spans="1:10" x14ac:dyDescent="0.25">
      <c r="B10" t="s">
        <v>69</v>
      </c>
      <c r="C10">
        <v>996.75</v>
      </c>
      <c r="D10">
        <v>262.74</v>
      </c>
      <c r="E10">
        <v>760</v>
      </c>
      <c r="I10" t="s">
        <v>69</v>
      </c>
    </row>
    <row r="11" spans="1:10" x14ac:dyDescent="0.25">
      <c r="B11" t="s">
        <v>76</v>
      </c>
      <c r="C11">
        <v>127.43</v>
      </c>
      <c r="D11">
        <v>284.99</v>
      </c>
      <c r="E11">
        <v>760</v>
      </c>
      <c r="I11" t="s">
        <v>32</v>
      </c>
    </row>
    <row r="12" spans="1:10" x14ac:dyDescent="0.25">
      <c r="B12" t="s">
        <v>77</v>
      </c>
      <c r="C12">
        <v>429.17</v>
      </c>
      <c r="D12">
        <v>53.4</v>
      </c>
      <c r="F12">
        <v>55</v>
      </c>
      <c r="I12" t="s">
        <v>32</v>
      </c>
    </row>
    <row r="13" spans="1:10" x14ac:dyDescent="0.25">
      <c r="B13" s="24" t="s">
        <v>78</v>
      </c>
      <c r="C13">
        <v>439.64</v>
      </c>
      <c r="D13">
        <v>1405.49</v>
      </c>
      <c r="E13">
        <v>760</v>
      </c>
      <c r="I13" t="s">
        <v>78</v>
      </c>
    </row>
    <row r="14" spans="1:10" x14ac:dyDescent="0.25">
      <c r="A14" s="24" t="s">
        <v>49</v>
      </c>
      <c r="B14" s="24" t="s">
        <v>78</v>
      </c>
      <c r="C14">
        <v>694.08</v>
      </c>
      <c r="D14">
        <v>1610.07</v>
      </c>
      <c r="E14">
        <v>760</v>
      </c>
      <c r="I14" t="s">
        <v>78</v>
      </c>
    </row>
    <row r="15" spans="1:10" x14ac:dyDescent="0.25">
      <c r="A15" s="24" t="s">
        <v>50</v>
      </c>
      <c r="B15" t="s">
        <v>48</v>
      </c>
      <c r="C15">
        <v>-167.91</v>
      </c>
      <c r="D15">
        <v>494.93</v>
      </c>
      <c r="E15">
        <v>760</v>
      </c>
      <c r="I15" t="s">
        <v>48</v>
      </c>
    </row>
    <row r="16" spans="1:10" x14ac:dyDescent="0.25">
      <c r="B16" t="s">
        <v>51</v>
      </c>
      <c r="C16">
        <v>160.12</v>
      </c>
      <c r="D16">
        <v>817.67</v>
      </c>
      <c r="E16">
        <v>760</v>
      </c>
      <c r="I16" t="s">
        <v>51</v>
      </c>
    </row>
    <row r="17" spans="2:9" x14ac:dyDescent="0.25">
      <c r="B17" t="s">
        <v>52</v>
      </c>
      <c r="C17">
        <v>-103.41</v>
      </c>
      <c r="D17">
        <v>204.82</v>
      </c>
      <c r="E17">
        <v>760</v>
      </c>
      <c r="I17" t="s">
        <v>52</v>
      </c>
    </row>
    <row r="18" spans="2:9" x14ac:dyDescent="0.25">
      <c r="B18" t="s">
        <v>53</v>
      </c>
      <c r="C18">
        <v>141.62</v>
      </c>
      <c r="D18">
        <v>-204.22</v>
      </c>
      <c r="E18">
        <v>760</v>
      </c>
      <c r="I18" t="s">
        <v>53</v>
      </c>
    </row>
    <row r="19" spans="2:9" x14ac:dyDescent="0.25">
      <c r="B19" t="s">
        <v>54</v>
      </c>
      <c r="C19">
        <v>187.23</v>
      </c>
      <c r="D19">
        <v>80.02</v>
      </c>
      <c r="E19">
        <v>760</v>
      </c>
      <c r="I19" t="s">
        <v>54</v>
      </c>
    </row>
    <row r="20" spans="2:9" x14ac:dyDescent="0.25">
      <c r="B20" t="s">
        <v>55</v>
      </c>
      <c r="C20">
        <v>266.56</v>
      </c>
      <c r="D20">
        <v>-24.18</v>
      </c>
      <c r="E20">
        <v>760</v>
      </c>
      <c r="I20" t="s">
        <v>55</v>
      </c>
    </row>
    <row r="21" spans="2:9" x14ac:dyDescent="0.25">
      <c r="B21" t="s">
        <v>58</v>
      </c>
      <c r="C21">
        <v>131.47</v>
      </c>
      <c r="D21">
        <v>1297.9000000000001</v>
      </c>
      <c r="E21">
        <v>760</v>
      </c>
      <c r="I21" t="s">
        <v>58</v>
      </c>
    </row>
    <row r="22" spans="2:9" x14ac:dyDescent="0.25">
      <c r="B22" t="s">
        <v>79</v>
      </c>
      <c r="C22">
        <v>99.35</v>
      </c>
      <c r="D22">
        <v>292.94</v>
      </c>
      <c r="E22">
        <v>760</v>
      </c>
      <c r="I22" t="s">
        <v>61</v>
      </c>
    </row>
    <row r="23" spans="2:9" x14ac:dyDescent="0.25">
      <c r="B23" t="s">
        <v>80</v>
      </c>
      <c r="C23">
        <v>73.63</v>
      </c>
      <c r="D23">
        <v>364.63</v>
      </c>
      <c r="F23">
        <v>75</v>
      </c>
      <c r="I23" t="s">
        <v>61</v>
      </c>
    </row>
    <row r="24" spans="2:9" x14ac:dyDescent="0.25">
      <c r="B24" t="s">
        <v>62</v>
      </c>
      <c r="C24">
        <v>173.93</v>
      </c>
      <c r="D24">
        <v>169.92</v>
      </c>
      <c r="E24">
        <v>760</v>
      </c>
      <c r="I24" t="s">
        <v>62</v>
      </c>
    </row>
    <row r="25" spans="2:9" x14ac:dyDescent="0.25">
      <c r="B25" t="s">
        <v>64</v>
      </c>
      <c r="C25">
        <v>153.86000000000001</v>
      </c>
      <c r="D25">
        <v>1620.36</v>
      </c>
      <c r="E25">
        <v>760</v>
      </c>
      <c r="I25" t="s">
        <v>64</v>
      </c>
    </row>
    <row r="26" spans="2:9" x14ac:dyDescent="0.25">
      <c r="B26" t="s">
        <v>65</v>
      </c>
      <c r="C26">
        <v>229.25</v>
      </c>
      <c r="D26">
        <v>-23.84</v>
      </c>
      <c r="E26">
        <v>760</v>
      </c>
      <c r="I26" t="s">
        <v>65</v>
      </c>
    </row>
    <row r="27" spans="2:9" x14ac:dyDescent="0.25">
      <c r="B27" t="s">
        <v>66</v>
      </c>
      <c r="C27">
        <v>-4.1500000000000004</v>
      </c>
      <c r="D27">
        <v>360.92</v>
      </c>
      <c r="E27">
        <v>760</v>
      </c>
      <c r="I27" t="s">
        <v>66</v>
      </c>
    </row>
    <row r="28" spans="2:9" x14ac:dyDescent="0.25">
      <c r="B28" t="s">
        <v>67</v>
      </c>
      <c r="C28">
        <v>161.44</v>
      </c>
      <c r="D28">
        <v>97.33</v>
      </c>
      <c r="E28">
        <v>760</v>
      </c>
      <c r="I28" t="s">
        <v>67</v>
      </c>
    </row>
    <row r="29" spans="2:9" x14ac:dyDescent="0.25">
      <c r="B29" t="s">
        <v>81</v>
      </c>
      <c r="C29">
        <v>-73.91</v>
      </c>
      <c r="D29">
        <v>1370.32</v>
      </c>
      <c r="E29">
        <v>760</v>
      </c>
      <c r="I29" t="s">
        <v>70</v>
      </c>
    </row>
    <row r="30" spans="2:9" x14ac:dyDescent="0.25">
      <c r="B30" t="s">
        <v>82</v>
      </c>
      <c r="C30">
        <v>67.14</v>
      </c>
      <c r="D30">
        <v>1222.07</v>
      </c>
      <c r="F30">
        <v>75</v>
      </c>
      <c r="I30" t="s">
        <v>70</v>
      </c>
    </row>
    <row r="31" spans="2:9" x14ac:dyDescent="0.25">
      <c r="B31" t="s">
        <v>76</v>
      </c>
      <c r="C31">
        <v>160.53</v>
      </c>
      <c r="D31">
        <v>1007.94</v>
      </c>
      <c r="E31">
        <v>760</v>
      </c>
      <c r="I31" t="s">
        <v>32</v>
      </c>
    </row>
    <row r="32" spans="2:9" x14ac:dyDescent="0.25">
      <c r="B32" t="s">
        <v>83</v>
      </c>
      <c r="C32">
        <v>272.35000000000002</v>
      </c>
      <c r="D32">
        <v>1066.93</v>
      </c>
      <c r="E32">
        <v>500</v>
      </c>
      <c r="I32" t="s">
        <v>32</v>
      </c>
    </row>
    <row r="33" spans="1:9" x14ac:dyDescent="0.25">
      <c r="A33" s="24" t="s">
        <v>51</v>
      </c>
      <c r="B33" t="s">
        <v>50</v>
      </c>
      <c r="C33">
        <v>817.67</v>
      </c>
      <c r="D33">
        <v>160.12</v>
      </c>
      <c r="E33">
        <v>760</v>
      </c>
      <c r="I33" t="s">
        <v>50</v>
      </c>
    </row>
    <row r="34" spans="1:9" x14ac:dyDescent="0.25">
      <c r="B34" t="s">
        <v>71</v>
      </c>
      <c r="C34">
        <v>887.8</v>
      </c>
      <c r="D34">
        <v>104.68</v>
      </c>
      <c r="E34">
        <v>760</v>
      </c>
      <c r="I34" t="s">
        <v>71</v>
      </c>
    </row>
    <row r="35" spans="1:9" x14ac:dyDescent="0.25">
      <c r="A35" s="24" t="s">
        <v>28</v>
      </c>
      <c r="B35" t="s">
        <v>60</v>
      </c>
      <c r="C35">
        <v>643.51</v>
      </c>
      <c r="D35">
        <v>636.11</v>
      </c>
      <c r="E35">
        <v>400</v>
      </c>
      <c r="I35" t="s">
        <v>60</v>
      </c>
    </row>
    <row r="36" spans="1:9" x14ac:dyDescent="0.25">
      <c r="B36" t="s">
        <v>68</v>
      </c>
      <c r="C36">
        <v>1070.54</v>
      </c>
      <c r="D36">
        <v>298.62</v>
      </c>
      <c r="E36">
        <v>400</v>
      </c>
      <c r="I36" t="s">
        <v>68</v>
      </c>
    </row>
    <row r="37" spans="1:9" x14ac:dyDescent="0.25">
      <c r="A37" s="24" t="s">
        <v>52</v>
      </c>
      <c r="B37" t="s">
        <v>48</v>
      </c>
      <c r="C37">
        <v>-12.67</v>
      </c>
      <c r="D37">
        <v>651.76</v>
      </c>
      <c r="E37">
        <v>760</v>
      </c>
      <c r="I37" t="s">
        <v>48</v>
      </c>
    </row>
    <row r="38" spans="1:9" x14ac:dyDescent="0.25">
      <c r="B38" t="s">
        <v>50</v>
      </c>
      <c r="C38">
        <v>204.82</v>
      </c>
      <c r="D38">
        <v>-103.41</v>
      </c>
      <c r="E38">
        <v>760</v>
      </c>
      <c r="I38" t="s">
        <v>50</v>
      </c>
    </row>
    <row r="39" spans="1:9" x14ac:dyDescent="0.25">
      <c r="B39" t="s">
        <v>84</v>
      </c>
      <c r="C39">
        <v>111.11</v>
      </c>
      <c r="D39">
        <v>1232.94</v>
      </c>
      <c r="E39">
        <v>760</v>
      </c>
      <c r="I39" t="s">
        <v>32</v>
      </c>
    </row>
    <row r="40" spans="1:9" x14ac:dyDescent="0.25">
      <c r="A40" s="24" t="s">
        <v>29</v>
      </c>
      <c r="B40" t="s">
        <v>59</v>
      </c>
      <c r="C40">
        <v>755.77</v>
      </c>
      <c r="D40">
        <v>121.89</v>
      </c>
      <c r="E40">
        <v>760</v>
      </c>
      <c r="I40" t="s">
        <v>59</v>
      </c>
    </row>
    <row r="41" spans="1:9" x14ac:dyDescent="0.25">
      <c r="B41" t="s">
        <v>62</v>
      </c>
      <c r="C41">
        <v>834.86</v>
      </c>
      <c r="D41">
        <v>656.23</v>
      </c>
      <c r="E41">
        <v>760</v>
      </c>
      <c r="I41" t="s">
        <v>62</v>
      </c>
    </row>
    <row r="42" spans="1:9" x14ac:dyDescent="0.25">
      <c r="B42" t="s">
        <v>85</v>
      </c>
      <c r="C42">
        <v>370.05</v>
      </c>
      <c r="D42">
        <v>705.47</v>
      </c>
      <c r="E42">
        <v>760</v>
      </c>
      <c r="I42" t="s">
        <v>85</v>
      </c>
    </row>
    <row r="43" spans="1:9" x14ac:dyDescent="0.25">
      <c r="B43" t="s">
        <v>68</v>
      </c>
      <c r="C43">
        <v>989.04</v>
      </c>
      <c r="D43">
        <v>622.77</v>
      </c>
      <c r="E43">
        <v>760</v>
      </c>
      <c r="I43" t="s">
        <v>68</v>
      </c>
    </row>
    <row r="44" spans="1:9" x14ac:dyDescent="0.25">
      <c r="A44" s="24" t="s">
        <v>53</v>
      </c>
      <c r="B44" t="s">
        <v>48</v>
      </c>
      <c r="C44">
        <v>-332.23</v>
      </c>
      <c r="D44">
        <v>-72.2</v>
      </c>
      <c r="E44">
        <v>760</v>
      </c>
      <c r="I44" t="s">
        <v>48</v>
      </c>
    </row>
    <row r="45" spans="1:9" x14ac:dyDescent="0.25">
      <c r="B45" t="s">
        <v>50</v>
      </c>
      <c r="C45">
        <v>-204.22</v>
      </c>
      <c r="D45">
        <v>141.62</v>
      </c>
      <c r="E45">
        <v>760</v>
      </c>
      <c r="I45" t="s">
        <v>50</v>
      </c>
    </row>
    <row r="46" spans="1:9" x14ac:dyDescent="0.25">
      <c r="B46" t="s">
        <v>56</v>
      </c>
      <c r="C46">
        <v>213.88</v>
      </c>
      <c r="D46">
        <v>223.69</v>
      </c>
      <c r="E46">
        <v>760</v>
      </c>
      <c r="I46" t="s">
        <v>56</v>
      </c>
    </row>
    <row r="47" spans="1:9" x14ac:dyDescent="0.25">
      <c r="B47" t="s">
        <v>47</v>
      </c>
      <c r="C47">
        <v>-367.5</v>
      </c>
      <c r="D47">
        <v>-92.5</v>
      </c>
      <c r="E47">
        <v>760</v>
      </c>
      <c r="I47" t="s">
        <v>47</v>
      </c>
    </row>
    <row r="48" spans="1:9" x14ac:dyDescent="0.25">
      <c r="B48" t="s">
        <v>64</v>
      </c>
      <c r="C48">
        <v>-373.3</v>
      </c>
      <c r="D48">
        <v>1703.68</v>
      </c>
      <c r="E48">
        <v>760</v>
      </c>
      <c r="I48" t="s">
        <v>64</v>
      </c>
    </row>
    <row r="49" spans="1:9" x14ac:dyDescent="0.25">
      <c r="B49" t="s">
        <v>65</v>
      </c>
      <c r="C49">
        <v>-451.09</v>
      </c>
      <c r="D49">
        <v>113.24</v>
      </c>
      <c r="E49">
        <v>760</v>
      </c>
      <c r="I49" t="s">
        <v>65</v>
      </c>
    </row>
    <row r="50" spans="1:9" x14ac:dyDescent="0.25">
      <c r="B50" t="s">
        <v>86</v>
      </c>
      <c r="C50">
        <v>-231.61</v>
      </c>
      <c r="D50">
        <v>-235.12</v>
      </c>
      <c r="E50">
        <v>760</v>
      </c>
      <c r="I50" t="s">
        <v>86</v>
      </c>
    </row>
    <row r="51" spans="1:9" x14ac:dyDescent="0.25">
      <c r="A51" s="24" t="s">
        <v>54</v>
      </c>
      <c r="B51" t="s">
        <v>50</v>
      </c>
      <c r="C51">
        <v>80.02</v>
      </c>
      <c r="D51">
        <v>187.23</v>
      </c>
      <c r="E51">
        <v>760</v>
      </c>
      <c r="I51" t="s">
        <v>50</v>
      </c>
    </row>
    <row r="52" spans="1:9" x14ac:dyDescent="0.25">
      <c r="B52" t="s">
        <v>58</v>
      </c>
      <c r="C52">
        <v>303.42</v>
      </c>
      <c r="D52">
        <v>2151.0100000000002</v>
      </c>
      <c r="E52">
        <v>760</v>
      </c>
      <c r="I52" t="s">
        <v>58</v>
      </c>
    </row>
    <row r="53" spans="1:9" x14ac:dyDescent="0.25">
      <c r="B53" t="s">
        <v>65</v>
      </c>
      <c r="C53">
        <v>345.11</v>
      </c>
      <c r="D53">
        <v>691.65</v>
      </c>
      <c r="E53">
        <v>760</v>
      </c>
      <c r="I53" t="s">
        <v>65</v>
      </c>
    </row>
    <row r="54" spans="1:9" x14ac:dyDescent="0.25">
      <c r="B54" t="s">
        <v>76</v>
      </c>
      <c r="C54">
        <v>69.02</v>
      </c>
      <c r="D54">
        <v>1734.12</v>
      </c>
      <c r="E54">
        <v>760</v>
      </c>
      <c r="I54" t="s">
        <v>32</v>
      </c>
    </row>
    <row r="55" spans="1:9" x14ac:dyDescent="0.25">
      <c r="B55" t="s">
        <v>83</v>
      </c>
      <c r="C55">
        <v>223.13</v>
      </c>
      <c r="D55">
        <v>1590.51</v>
      </c>
      <c r="E55">
        <v>500</v>
      </c>
      <c r="I55" t="s">
        <v>32</v>
      </c>
    </row>
    <row r="56" spans="1:9" x14ac:dyDescent="0.25">
      <c r="B56" t="s">
        <v>71</v>
      </c>
      <c r="C56">
        <v>-414.68</v>
      </c>
      <c r="D56">
        <v>909.36</v>
      </c>
      <c r="E56">
        <v>760</v>
      </c>
      <c r="I56" t="s">
        <v>71</v>
      </c>
    </row>
    <row r="57" spans="1:9" x14ac:dyDescent="0.25">
      <c r="A57" s="24" t="s">
        <v>55</v>
      </c>
      <c r="B57" t="s">
        <v>50</v>
      </c>
      <c r="C57">
        <v>-24.18</v>
      </c>
      <c r="D57">
        <v>266.56</v>
      </c>
      <c r="E57">
        <v>760</v>
      </c>
      <c r="I57" t="s">
        <v>50</v>
      </c>
    </row>
    <row r="58" spans="1:9" x14ac:dyDescent="0.25">
      <c r="A58" s="24" t="s">
        <v>56</v>
      </c>
      <c r="B58" t="s">
        <v>48</v>
      </c>
      <c r="C58">
        <v>234.96</v>
      </c>
      <c r="D58">
        <v>948.29</v>
      </c>
      <c r="E58">
        <v>760</v>
      </c>
      <c r="I58" t="s">
        <v>48</v>
      </c>
    </row>
    <row r="59" spans="1:9" x14ac:dyDescent="0.25">
      <c r="B59" t="s">
        <v>53</v>
      </c>
      <c r="C59">
        <v>223.69</v>
      </c>
      <c r="D59">
        <v>213.88</v>
      </c>
      <c r="E59">
        <v>760</v>
      </c>
      <c r="I59" t="s">
        <v>53</v>
      </c>
    </row>
    <row r="60" spans="1:9" x14ac:dyDescent="0.25">
      <c r="B60" t="s">
        <v>64</v>
      </c>
      <c r="C60">
        <v>449.08</v>
      </c>
      <c r="D60">
        <v>2771.85</v>
      </c>
      <c r="E60">
        <v>760</v>
      </c>
      <c r="I60" t="s">
        <v>64</v>
      </c>
    </row>
    <row r="61" spans="1:9" x14ac:dyDescent="0.25">
      <c r="A61" s="24" t="s">
        <v>57</v>
      </c>
      <c r="B61" t="s">
        <v>62</v>
      </c>
      <c r="C61">
        <v>806.8</v>
      </c>
      <c r="D61">
        <v>164.58</v>
      </c>
      <c r="E61">
        <v>760</v>
      </c>
      <c r="I61" t="s">
        <v>62</v>
      </c>
    </row>
    <row r="62" spans="1:9" x14ac:dyDescent="0.25">
      <c r="B62" t="s">
        <v>85</v>
      </c>
      <c r="C62">
        <v>485.19</v>
      </c>
      <c r="D62">
        <v>176.39</v>
      </c>
      <c r="E62">
        <v>760</v>
      </c>
      <c r="I62" t="s">
        <v>85</v>
      </c>
    </row>
    <row r="63" spans="1:9" x14ac:dyDescent="0.25">
      <c r="A63" s="24" t="s">
        <v>58</v>
      </c>
      <c r="B63" t="s">
        <v>48</v>
      </c>
      <c r="C63">
        <v>418.96</v>
      </c>
      <c r="D63">
        <v>38.17</v>
      </c>
      <c r="E63">
        <v>760</v>
      </c>
      <c r="I63" t="s">
        <v>48</v>
      </c>
    </row>
    <row r="64" spans="1:9" x14ac:dyDescent="0.25">
      <c r="B64" t="s">
        <v>50</v>
      </c>
      <c r="C64">
        <v>1297.9000000000001</v>
      </c>
      <c r="D64">
        <v>131.47</v>
      </c>
      <c r="E64">
        <v>760</v>
      </c>
      <c r="I64" t="s">
        <v>50</v>
      </c>
    </row>
    <row r="65" spans="1:9" x14ac:dyDescent="0.25">
      <c r="B65" t="s">
        <v>54</v>
      </c>
      <c r="C65">
        <v>2151.0100000000002</v>
      </c>
      <c r="D65">
        <v>303.42</v>
      </c>
      <c r="E65">
        <v>760</v>
      </c>
      <c r="I65" t="s">
        <v>54</v>
      </c>
    </row>
    <row r="66" spans="1:9" x14ac:dyDescent="0.25">
      <c r="B66" t="s">
        <v>87</v>
      </c>
      <c r="C66">
        <v>844.69</v>
      </c>
      <c r="D66">
        <v>-178.81</v>
      </c>
      <c r="E66">
        <v>760</v>
      </c>
      <c r="I66" t="s">
        <v>47</v>
      </c>
    </row>
    <row r="67" spans="1:9" x14ac:dyDescent="0.25">
      <c r="B67" t="s">
        <v>88</v>
      </c>
      <c r="C67">
        <v>822.03</v>
      </c>
      <c r="D67">
        <v>-62.43</v>
      </c>
      <c r="F67">
        <v>40</v>
      </c>
      <c r="I67" t="s">
        <v>47</v>
      </c>
    </row>
    <row r="68" spans="1:9" x14ac:dyDescent="0.25">
      <c r="B68" t="s">
        <v>89</v>
      </c>
      <c r="C68">
        <v>744.81</v>
      </c>
      <c r="D68">
        <v>-52.14</v>
      </c>
      <c r="F68">
        <v>60</v>
      </c>
      <c r="I68" t="s">
        <v>47</v>
      </c>
    </row>
    <row r="69" spans="1:9" x14ac:dyDescent="0.25">
      <c r="B69" t="s">
        <v>61</v>
      </c>
      <c r="C69">
        <v>2096.5</v>
      </c>
      <c r="D69">
        <v>617.57000000000005</v>
      </c>
      <c r="E69">
        <v>760</v>
      </c>
      <c r="I69" t="s">
        <v>61</v>
      </c>
    </row>
    <row r="70" spans="1:9" x14ac:dyDescent="0.25">
      <c r="B70" t="s">
        <v>62</v>
      </c>
      <c r="C70">
        <v>2281.9899999999998</v>
      </c>
      <c r="D70">
        <v>283.63</v>
      </c>
      <c r="E70">
        <v>760</v>
      </c>
      <c r="I70" t="s">
        <v>62</v>
      </c>
    </row>
    <row r="71" spans="1:9" x14ac:dyDescent="0.25">
      <c r="B71" t="s">
        <v>64</v>
      </c>
      <c r="C71">
        <v>-511.39</v>
      </c>
      <c r="D71">
        <v>598.44000000000005</v>
      </c>
      <c r="E71">
        <v>760</v>
      </c>
      <c r="I71" t="s">
        <v>64</v>
      </c>
    </row>
    <row r="72" spans="1:9" x14ac:dyDescent="0.25">
      <c r="B72" t="s">
        <v>67</v>
      </c>
      <c r="C72">
        <v>2221.4699999999998</v>
      </c>
      <c r="D72">
        <v>161.53</v>
      </c>
      <c r="E72">
        <v>760</v>
      </c>
      <c r="I72" t="s">
        <v>67</v>
      </c>
    </row>
    <row r="73" spans="1:9" x14ac:dyDescent="0.25">
      <c r="B73" t="s">
        <v>71</v>
      </c>
      <c r="C73">
        <v>1238.7</v>
      </c>
      <c r="D73">
        <v>251.93</v>
      </c>
      <c r="E73">
        <v>756</v>
      </c>
      <c r="I73" t="s">
        <v>71</v>
      </c>
    </row>
    <row r="74" spans="1:9" x14ac:dyDescent="0.25">
      <c r="B74" t="s">
        <v>78</v>
      </c>
      <c r="C74">
        <v>382.3</v>
      </c>
      <c r="D74">
        <v>955.45</v>
      </c>
      <c r="E74">
        <v>760</v>
      </c>
      <c r="I74" t="s">
        <v>78</v>
      </c>
    </row>
    <row r="75" spans="1:9" x14ac:dyDescent="0.25">
      <c r="A75" s="24" t="s">
        <v>47</v>
      </c>
      <c r="B75" t="s">
        <v>53</v>
      </c>
      <c r="C75">
        <v>-92.5</v>
      </c>
      <c r="D75">
        <v>-367.5</v>
      </c>
      <c r="E75">
        <v>760</v>
      </c>
      <c r="I75" t="s">
        <v>53</v>
      </c>
    </row>
    <row r="76" spans="1:9" x14ac:dyDescent="0.25">
      <c r="B76" t="s">
        <v>90</v>
      </c>
      <c r="C76">
        <v>-178.81</v>
      </c>
      <c r="D76">
        <v>844.69</v>
      </c>
      <c r="E76">
        <v>760</v>
      </c>
      <c r="I76" t="s">
        <v>58</v>
      </c>
    </row>
    <row r="77" spans="1:9" x14ac:dyDescent="0.25">
      <c r="B77" t="s">
        <v>91</v>
      </c>
      <c r="C77">
        <v>-62.43</v>
      </c>
      <c r="D77">
        <v>822.03</v>
      </c>
      <c r="F77">
        <v>40</v>
      </c>
      <c r="I77" t="s">
        <v>58</v>
      </c>
    </row>
    <row r="78" spans="1:9" x14ac:dyDescent="0.25">
      <c r="B78" t="s">
        <v>92</v>
      </c>
      <c r="C78">
        <v>-52.14</v>
      </c>
      <c r="D78">
        <v>744.81</v>
      </c>
      <c r="F78">
        <v>60</v>
      </c>
      <c r="I78" t="s">
        <v>58</v>
      </c>
    </row>
    <row r="79" spans="1:9" x14ac:dyDescent="0.25">
      <c r="B79" t="s">
        <v>74</v>
      </c>
      <c r="C79">
        <v>-200.39</v>
      </c>
      <c r="D79">
        <v>985.69</v>
      </c>
      <c r="E79">
        <v>760</v>
      </c>
      <c r="F79">
        <v>60</v>
      </c>
      <c r="I79" t="s">
        <v>64</v>
      </c>
    </row>
    <row r="80" spans="1:9" x14ac:dyDescent="0.25">
      <c r="B80" t="s">
        <v>64</v>
      </c>
      <c r="C80">
        <v>-316.92</v>
      </c>
      <c r="D80">
        <v>1203.57</v>
      </c>
      <c r="F80">
        <v>40</v>
      </c>
      <c r="I80" t="s">
        <v>64</v>
      </c>
    </row>
    <row r="81" spans="1:9" x14ac:dyDescent="0.25">
      <c r="B81" t="s">
        <v>93</v>
      </c>
      <c r="C81">
        <v>20.32</v>
      </c>
      <c r="D81">
        <v>866.15</v>
      </c>
      <c r="F81">
        <v>50</v>
      </c>
      <c r="I81" t="s">
        <v>64</v>
      </c>
    </row>
    <row r="82" spans="1:9" x14ac:dyDescent="0.25">
      <c r="B82" t="s">
        <v>94</v>
      </c>
      <c r="C82">
        <v>-173.45</v>
      </c>
      <c r="D82">
        <v>1030.1500000000001</v>
      </c>
      <c r="F82">
        <v>60</v>
      </c>
      <c r="I82" t="s">
        <v>64</v>
      </c>
    </row>
    <row r="83" spans="1:9" x14ac:dyDescent="0.25">
      <c r="B83" t="s">
        <v>81</v>
      </c>
      <c r="C83">
        <v>-198.72</v>
      </c>
      <c r="D83">
        <v>661.24</v>
      </c>
      <c r="E83">
        <v>760</v>
      </c>
      <c r="I83" t="s">
        <v>70</v>
      </c>
    </row>
    <row r="84" spans="1:9" x14ac:dyDescent="0.25">
      <c r="B84" t="s">
        <v>111</v>
      </c>
      <c r="C84">
        <v>42.39</v>
      </c>
      <c r="D84">
        <v>558.4</v>
      </c>
      <c r="F84">
        <v>40</v>
      </c>
      <c r="I84" t="s">
        <v>70</v>
      </c>
    </row>
    <row r="85" spans="1:9" x14ac:dyDescent="0.25">
      <c r="B85" t="s">
        <v>112</v>
      </c>
      <c r="C85">
        <v>-25.1</v>
      </c>
      <c r="D85">
        <v>519.66999999999996</v>
      </c>
      <c r="F85">
        <v>60</v>
      </c>
      <c r="I85" t="s">
        <v>70</v>
      </c>
    </row>
    <row r="86" spans="1:9" x14ac:dyDescent="0.25">
      <c r="B86" t="s">
        <v>76</v>
      </c>
      <c r="C86">
        <v>60.99</v>
      </c>
      <c r="D86">
        <v>289.68</v>
      </c>
      <c r="E86">
        <v>760</v>
      </c>
      <c r="I86" t="s">
        <v>32</v>
      </c>
    </row>
    <row r="87" spans="1:9" x14ac:dyDescent="0.25">
      <c r="B87" t="s">
        <v>113</v>
      </c>
      <c r="C87">
        <v>39.770000000000003</v>
      </c>
      <c r="D87">
        <v>664.42</v>
      </c>
      <c r="F87">
        <v>40</v>
      </c>
      <c r="I87" t="s">
        <v>32</v>
      </c>
    </row>
    <row r="88" spans="1:9" x14ac:dyDescent="0.25">
      <c r="B88" t="s">
        <v>114</v>
      </c>
      <c r="C88">
        <v>45.72</v>
      </c>
      <c r="D88">
        <v>488.11</v>
      </c>
      <c r="F88">
        <v>60</v>
      </c>
      <c r="I88" t="s">
        <v>32</v>
      </c>
    </row>
    <row r="89" spans="1:9" x14ac:dyDescent="0.25">
      <c r="A89" s="24" t="s">
        <v>59</v>
      </c>
      <c r="B89" t="s">
        <v>96</v>
      </c>
      <c r="C89">
        <v>121.89</v>
      </c>
      <c r="D89">
        <v>755.77</v>
      </c>
      <c r="E89">
        <v>760</v>
      </c>
      <c r="I89" t="s">
        <v>29</v>
      </c>
    </row>
    <row r="90" spans="1:9" x14ac:dyDescent="0.25">
      <c r="B90" t="s">
        <v>60</v>
      </c>
      <c r="C90">
        <v>396.01</v>
      </c>
      <c r="D90">
        <v>-240.92</v>
      </c>
      <c r="E90">
        <v>400</v>
      </c>
      <c r="I90" t="s">
        <v>60</v>
      </c>
    </row>
    <row r="91" spans="1:9" x14ac:dyDescent="0.25">
      <c r="B91" t="s">
        <v>97</v>
      </c>
      <c r="C91">
        <v>52.43</v>
      </c>
      <c r="D91">
        <v>1601.04</v>
      </c>
      <c r="E91">
        <v>400</v>
      </c>
      <c r="I91" t="s">
        <v>97</v>
      </c>
    </row>
    <row r="92" spans="1:9" x14ac:dyDescent="0.25">
      <c r="B92" t="s">
        <v>68</v>
      </c>
      <c r="C92">
        <v>304.31</v>
      </c>
      <c r="D92">
        <v>-134.87</v>
      </c>
      <c r="E92">
        <v>760</v>
      </c>
      <c r="I92" t="s">
        <v>68</v>
      </c>
    </row>
    <row r="93" spans="1:9" x14ac:dyDescent="0.25">
      <c r="A93" s="24" t="s">
        <v>60</v>
      </c>
      <c r="B93" t="s">
        <v>98</v>
      </c>
      <c r="C93">
        <v>636.11</v>
      </c>
      <c r="D93">
        <v>643.51</v>
      </c>
      <c r="E93">
        <v>400</v>
      </c>
      <c r="I93" t="s">
        <v>28</v>
      </c>
    </row>
    <row r="94" spans="1:9" x14ac:dyDescent="0.25">
      <c r="B94" t="s">
        <v>59</v>
      </c>
      <c r="C94">
        <v>-240.92</v>
      </c>
      <c r="D94">
        <v>396.01</v>
      </c>
      <c r="E94">
        <v>400</v>
      </c>
      <c r="I94" t="s">
        <v>59</v>
      </c>
    </row>
    <row r="95" spans="1:9" x14ac:dyDescent="0.25">
      <c r="B95" t="s">
        <v>97</v>
      </c>
      <c r="C95">
        <v>76.95</v>
      </c>
      <c r="D95">
        <v>3592.4</v>
      </c>
      <c r="E95">
        <v>400</v>
      </c>
      <c r="I95" t="s">
        <v>97</v>
      </c>
    </row>
    <row r="96" spans="1:9" x14ac:dyDescent="0.25">
      <c r="A96" s="24" t="s">
        <v>61</v>
      </c>
      <c r="B96" t="s">
        <v>99</v>
      </c>
      <c r="C96">
        <v>292.94</v>
      </c>
      <c r="D96">
        <v>99.35</v>
      </c>
      <c r="E96">
        <v>760</v>
      </c>
      <c r="I96" t="s">
        <v>50</v>
      </c>
    </row>
    <row r="97" spans="1:9" x14ac:dyDescent="0.25">
      <c r="B97" t="s">
        <v>100</v>
      </c>
      <c r="C97">
        <v>364.63</v>
      </c>
      <c r="D97">
        <v>73.63</v>
      </c>
      <c r="F97">
        <v>75</v>
      </c>
      <c r="I97" t="s">
        <v>50</v>
      </c>
    </row>
    <row r="98" spans="1:9" x14ac:dyDescent="0.25">
      <c r="B98" t="s">
        <v>58</v>
      </c>
      <c r="C98">
        <v>617.57000000000005</v>
      </c>
      <c r="D98">
        <v>2096.5</v>
      </c>
      <c r="E98">
        <v>760</v>
      </c>
      <c r="I98" t="s">
        <v>58</v>
      </c>
    </row>
    <row r="99" spans="1:9" x14ac:dyDescent="0.25">
      <c r="B99" t="s">
        <v>95</v>
      </c>
      <c r="C99">
        <v>316.22000000000003</v>
      </c>
      <c r="D99">
        <v>1353.98</v>
      </c>
      <c r="F99">
        <v>75</v>
      </c>
      <c r="I99" t="s">
        <v>70</v>
      </c>
    </row>
    <row r="100" spans="1:9" x14ac:dyDescent="0.25">
      <c r="A100" s="24" t="s">
        <v>62</v>
      </c>
      <c r="B100" t="s">
        <v>50</v>
      </c>
      <c r="C100">
        <v>169.92</v>
      </c>
      <c r="D100">
        <v>173.93</v>
      </c>
      <c r="E100">
        <v>760</v>
      </c>
      <c r="I100" t="s">
        <v>50</v>
      </c>
    </row>
    <row r="101" spans="1:9" x14ac:dyDescent="0.25">
      <c r="B101" t="s">
        <v>96</v>
      </c>
      <c r="C101">
        <v>656.23</v>
      </c>
      <c r="D101">
        <v>834.86</v>
      </c>
      <c r="E101">
        <v>760</v>
      </c>
      <c r="I101" t="s">
        <v>29</v>
      </c>
    </row>
    <row r="102" spans="1:9" x14ac:dyDescent="0.25">
      <c r="B102" t="s">
        <v>57</v>
      </c>
      <c r="C102">
        <v>164.58</v>
      </c>
      <c r="D102">
        <v>806.8</v>
      </c>
      <c r="E102">
        <v>760</v>
      </c>
      <c r="I102" t="s">
        <v>57</v>
      </c>
    </row>
    <row r="103" spans="1:9" x14ac:dyDescent="0.25">
      <c r="B103" t="s">
        <v>58</v>
      </c>
      <c r="C103">
        <v>283.63</v>
      </c>
      <c r="D103">
        <v>2281.9899999999998</v>
      </c>
      <c r="E103">
        <v>760</v>
      </c>
      <c r="I103" t="s">
        <v>58</v>
      </c>
    </row>
    <row r="104" spans="1:9" x14ac:dyDescent="0.25">
      <c r="B104" t="s">
        <v>85</v>
      </c>
      <c r="C104">
        <v>415.18</v>
      </c>
      <c r="D104">
        <v>-279.86</v>
      </c>
      <c r="E104">
        <v>760</v>
      </c>
      <c r="I104" t="s">
        <v>85</v>
      </c>
    </row>
    <row r="105" spans="1:9" x14ac:dyDescent="0.25">
      <c r="B105" t="s">
        <v>67</v>
      </c>
      <c r="C105">
        <v>272.08999999999997</v>
      </c>
      <c r="D105">
        <v>-175.7</v>
      </c>
      <c r="E105">
        <v>760</v>
      </c>
      <c r="I105" t="s">
        <v>67</v>
      </c>
    </row>
    <row r="106" spans="1:9" x14ac:dyDescent="0.25">
      <c r="B106" t="s">
        <v>95</v>
      </c>
      <c r="C106">
        <v>834.85</v>
      </c>
      <c r="D106">
        <v>812.66</v>
      </c>
      <c r="E106">
        <v>760</v>
      </c>
      <c r="I106" t="s">
        <v>70</v>
      </c>
    </row>
    <row r="107" spans="1:9" x14ac:dyDescent="0.25">
      <c r="B107" t="s">
        <v>72</v>
      </c>
      <c r="C107">
        <v>116.39</v>
      </c>
      <c r="D107">
        <v>1106.54</v>
      </c>
      <c r="E107">
        <v>760</v>
      </c>
      <c r="I107" t="s">
        <v>72</v>
      </c>
    </row>
    <row r="108" spans="1:9" x14ac:dyDescent="0.25">
      <c r="A108" s="24" t="s">
        <v>63</v>
      </c>
      <c r="B108" t="s">
        <v>96</v>
      </c>
      <c r="C108">
        <v>705.47</v>
      </c>
      <c r="D108">
        <v>370.05</v>
      </c>
      <c r="E108">
        <v>760</v>
      </c>
      <c r="I108" t="s">
        <v>29</v>
      </c>
    </row>
    <row r="109" spans="1:9" x14ac:dyDescent="0.25">
      <c r="B109" t="s">
        <v>57</v>
      </c>
      <c r="C109">
        <v>176.39</v>
      </c>
      <c r="D109">
        <v>495.19</v>
      </c>
      <c r="E109">
        <v>760</v>
      </c>
      <c r="I109" t="s">
        <v>57</v>
      </c>
    </row>
    <row r="110" spans="1:9" x14ac:dyDescent="0.25">
      <c r="B110" t="s">
        <v>62</v>
      </c>
      <c r="C110">
        <v>-279.86</v>
      </c>
      <c r="D110">
        <v>415.18</v>
      </c>
      <c r="E110">
        <v>760</v>
      </c>
      <c r="I110" t="s">
        <v>62</v>
      </c>
    </row>
    <row r="111" spans="1:9" x14ac:dyDescent="0.25">
      <c r="B111" t="s">
        <v>72</v>
      </c>
      <c r="C111">
        <v>156.93</v>
      </c>
      <c r="D111">
        <v>570.30999999999995</v>
      </c>
      <c r="E111">
        <v>760</v>
      </c>
      <c r="I111" t="s">
        <v>72</v>
      </c>
    </row>
    <row r="112" spans="1:9" x14ac:dyDescent="0.25">
      <c r="A112" s="24" t="s">
        <v>30</v>
      </c>
      <c r="B112" t="s">
        <v>59</v>
      </c>
      <c r="C112">
        <v>1601.04</v>
      </c>
      <c r="D112">
        <v>52.43</v>
      </c>
      <c r="E112">
        <v>400</v>
      </c>
      <c r="I112" t="s">
        <v>59</v>
      </c>
    </row>
    <row r="113" spans="1:9" x14ac:dyDescent="0.25">
      <c r="B113" t="s">
        <v>60</v>
      </c>
      <c r="C113">
        <v>3592.4</v>
      </c>
      <c r="D113">
        <v>76.95</v>
      </c>
      <c r="E113">
        <v>400</v>
      </c>
      <c r="I113" t="s">
        <v>60</v>
      </c>
    </row>
    <row r="114" spans="1:9" x14ac:dyDescent="0.25">
      <c r="A114" s="24" t="s">
        <v>64</v>
      </c>
      <c r="B114" t="s">
        <v>101</v>
      </c>
      <c r="C114">
        <v>664.08</v>
      </c>
      <c r="D114">
        <v>-214.95</v>
      </c>
      <c r="E114">
        <v>760</v>
      </c>
      <c r="I114" t="s">
        <v>48</v>
      </c>
    </row>
    <row r="115" spans="1:9" x14ac:dyDescent="0.25">
      <c r="B115" t="s">
        <v>102</v>
      </c>
      <c r="C115">
        <v>666.99</v>
      </c>
      <c r="D115">
        <v>-203.03</v>
      </c>
      <c r="F115">
        <v>55</v>
      </c>
      <c r="I115" t="s">
        <v>48</v>
      </c>
    </row>
    <row r="116" spans="1:9" x14ac:dyDescent="0.25">
      <c r="B116" t="s">
        <v>50</v>
      </c>
      <c r="C116">
        <v>1620.36</v>
      </c>
      <c r="D116">
        <v>153.86000000000001</v>
      </c>
      <c r="E116">
        <v>760</v>
      </c>
      <c r="I116" t="s">
        <v>50</v>
      </c>
    </row>
    <row r="117" spans="1:9" x14ac:dyDescent="0.25">
      <c r="B117" t="s">
        <v>53</v>
      </c>
      <c r="C117">
        <v>1703.68</v>
      </c>
      <c r="D117">
        <v>-373.3</v>
      </c>
      <c r="E117">
        <v>760</v>
      </c>
      <c r="I117" t="s">
        <v>53</v>
      </c>
    </row>
    <row r="118" spans="1:9" x14ac:dyDescent="0.25">
      <c r="B118" t="s">
        <v>56</v>
      </c>
      <c r="C118">
        <v>2771.85</v>
      </c>
      <c r="D118">
        <v>449.08</v>
      </c>
      <c r="E118">
        <v>760</v>
      </c>
      <c r="I118" t="s">
        <v>56</v>
      </c>
    </row>
    <row r="119" spans="1:9" x14ac:dyDescent="0.25">
      <c r="B119" t="s">
        <v>58</v>
      </c>
      <c r="C119">
        <v>598.44000000000005</v>
      </c>
      <c r="D119">
        <v>-511.39</v>
      </c>
      <c r="E119">
        <v>760</v>
      </c>
      <c r="I119" t="s">
        <v>58</v>
      </c>
    </row>
    <row r="120" spans="1:9" x14ac:dyDescent="0.25">
      <c r="B120" t="s">
        <v>87</v>
      </c>
      <c r="C120">
        <v>985.69</v>
      </c>
      <c r="D120">
        <v>-200.36</v>
      </c>
      <c r="E120">
        <v>760</v>
      </c>
      <c r="I120" t="s">
        <v>47</v>
      </c>
    </row>
    <row r="121" spans="1:9" x14ac:dyDescent="0.25">
      <c r="B121" t="s">
        <v>88</v>
      </c>
      <c r="C121">
        <v>1203.57</v>
      </c>
      <c r="D121">
        <v>-316.92</v>
      </c>
      <c r="F121">
        <v>40</v>
      </c>
      <c r="I121" t="s">
        <v>47</v>
      </c>
    </row>
    <row r="122" spans="1:9" x14ac:dyDescent="0.25">
      <c r="B122" t="s">
        <v>103</v>
      </c>
      <c r="C122">
        <v>866.15</v>
      </c>
      <c r="D122">
        <v>20.32</v>
      </c>
      <c r="F122">
        <v>50</v>
      </c>
      <c r="I122" t="s">
        <v>47</v>
      </c>
    </row>
    <row r="123" spans="1:9" x14ac:dyDescent="0.25">
      <c r="B123" t="s">
        <v>89</v>
      </c>
      <c r="C123">
        <v>1030.1500000000001</v>
      </c>
      <c r="D123">
        <v>-173.45</v>
      </c>
      <c r="F123">
        <v>60</v>
      </c>
      <c r="I123" t="s">
        <v>47</v>
      </c>
    </row>
    <row r="124" spans="1:9" x14ac:dyDescent="0.25">
      <c r="B124" t="s">
        <v>65</v>
      </c>
      <c r="C124">
        <v>834.06</v>
      </c>
      <c r="D124">
        <v>-78.81</v>
      </c>
      <c r="E124">
        <v>760</v>
      </c>
      <c r="I124" t="s">
        <v>65</v>
      </c>
    </row>
    <row r="125" spans="1:9" x14ac:dyDescent="0.25">
      <c r="B125" t="s">
        <v>84</v>
      </c>
      <c r="C125">
        <v>88.02</v>
      </c>
      <c r="D125">
        <v>-30.19</v>
      </c>
      <c r="E125">
        <v>760</v>
      </c>
      <c r="I125" t="s">
        <v>32</v>
      </c>
    </row>
    <row r="126" spans="1:9" x14ac:dyDescent="0.25">
      <c r="B126" t="s">
        <v>78</v>
      </c>
      <c r="C126">
        <v>205.3</v>
      </c>
      <c r="D126">
        <v>482.16</v>
      </c>
      <c r="E126">
        <v>760</v>
      </c>
      <c r="I126" t="s">
        <v>78</v>
      </c>
    </row>
    <row r="127" spans="1:9" x14ac:dyDescent="0.25">
      <c r="A127" s="24" t="s">
        <v>65</v>
      </c>
      <c r="B127" t="s">
        <v>50</v>
      </c>
      <c r="C127">
        <v>-23.84</v>
      </c>
      <c r="D127">
        <v>229.25</v>
      </c>
      <c r="E127">
        <v>760</v>
      </c>
      <c r="I127" t="s">
        <v>50</v>
      </c>
    </row>
    <row r="128" spans="1:9" x14ac:dyDescent="0.25">
      <c r="B128" t="s">
        <v>53</v>
      </c>
      <c r="C128">
        <v>113.24</v>
      </c>
      <c r="D128">
        <v>-451.09</v>
      </c>
      <c r="E128">
        <v>760</v>
      </c>
      <c r="I128" t="s">
        <v>53</v>
      </c>
    </row>
    <row r="129" spans="1:9" x14ac:dyDescent="0.25">
      <c r="B129" t="s">
        <v>54</v>
      </c>
      <c r="C129">
        <v>691.65</v>
      </c>
      <c r="D129">
        <v>345.11</v>
      </c>
      <c r="E129">
        <v>760</v>
      </c>
      <c r="I129" t="s">
        <v>54</v>
      </c>
    </row>
    <row r="130" spans="1:9" x14ac:dyDescent="0.25">
      <c r="B130" t="s">
        <v>64</v>
      </c>
      <c r="C130">
        <v>-78.81</v>
      </c>
      <c r="D130">
        <v>834.06</v>
      </c>
      <c r="E130">
        <v>760</v>
      </c>
      <c r="I130" t="s">
        <v>64</v>
      </c>
    </row>
    <row r="131" spans="1:9" x14ac:dyDescent="0.25">
      <c r="A131" s="24" t="s">
        <v>66</v>
      </c>
      <c r="B131" t="s">
        <v>50</v>
      </c>
      <c r="C131">
        <v>360.92</v>
      </c>
      <c r="D131">
        <v>-4.1500000000000004</v>
      </c>
      <c r="E131">
        <v>760</v>
      </c>
      <c r="I131" t="s">
        <v>50</v>
      </c>
    </row>
    <row r="132" spans="1:9" x14ac:dyDescent="0.25">
      <c r="B132" t="s">
        <v>84</v>
      </c>
      <c r="C132">
        <v>209.75</v>
      </c>
      <c r="D132">
        <v>1831.76</v>
      </c>
      <c r="E132">
        <v>500</v>
      </c>
      <c r="I132" t="s">
        <v>32</v>
      </c>
    </row>
    <row r="133" spans="1:9" x14ac:dyDescent="0.25">
      <c r="A133" s="24" t="s">
        <v>67</v>
      </c>
      <c r="B133" t="s">
        <v>50</v>
      </c>
      <c r="C133">
        <v>97.33</v>
      </c>
      <c r="D133">
        <v>161.44</v>
      </c>
      <c r="E133">
        <v>760</v>
      </c>
      <c r="I133" t="s">
        <v>50</v>
      </c>
    </row>
    <row r="134" spans="1:9" x14ac:dyDescent="0.25">
      <c r="B134" t="s">
        <v>58</v>
      </c>
      <c r="C134">
        <v>161.53</v>
      </c>
      <c r="D134">
        <v>2221.4699999999998</v>
      </c>
      <c r="E134">
        <v>760</v>
      </c>
      <c r="I134" t="s">
        <v>58</v>
      </c>
    </row>
    <row r="135" spans="1:9" x14ac:dyDescent="0.25">
      <c r="B135" t="s">
        <v>62</v>
      </c>
      <c r="C135">
        <v>-175.7</v>
      </c>
      <c r="D135">
        <v>272.08999999999997</v>
      </c>
      <c r="E135">
        <v>760</v>
      </c>
      <c r="I135" t="s">
        <v>62</v>
      </c>
    </row>
    <row r="136" spans="1:9" x14ac:dyDescent="0.25">
      <c r="B136" t="s">
        <v>71</v>
      </c>
      <c r="C136">
        <v>-451.92</v>
      </c>
      <c r="D136">
        <v>957.61</v>
      </c>
      <c r="E136">
        <v>760</v>
      </c>
      <c r="I136" t="s">
        <v>71</v>
      </c>
    </row>
    <row r="137" spans="1:9" x14ac:dyDescent="0.25">
      <c r="A137" s="24" t="s">
        <v>31</v>
      </c>
      <c r="B137" t="s">
        <v>53</v>
      </c>
      <c r="C137">
        <v>-235.12</v>
      </c>
      <c r="D137">
        <v>-231.61</v>
      </c>
      <c r="E137">
        <v>760</v>
      </c>
      <c r="I137" t="s">
        <v>53</v>
      </c>
    </row>
    <row r="138" spans="1:9" x14ac:dyDescent="0.25">
      <c r="A138" s="24" t="s">
        <v>68</v>
      </c>
      <c r="B138" t="s">
        <v>98</v>
      </c>
      <c r="C138">
        <v>298.62</v>
      </c>
      <c r="D138">
        <v>1070.54</v>
      </c>
      <c r="E138">
        <v>400</v>
      </c>
      <c r="I138" t="s">
        <v>28</v>
      </c>
    </row>
    <row r="139" spans="1:9" x14ac:dyDescent="0.25">
      <c r="B139" t="s">
        <v>96</v>
      </c>
      <c r="C139">
        <v>622.77</v>
      </c>
      <c r="D139">
        <v>989.04</v>
      </c>
      <c r="E139">
        <v>760</v>
      </c>
      <c r="I139" t="s">
        <v>29</v>
      </c>
    </row>
    <row r="140" spans="1:9" x14ac:dyDescent="0.25">
      <c r="B140" t="s">
        <v>59</v>
      </c>
      <c r="C140">
        <v>-134.87</v>
      </c>
      <c r="D140">
        <v>304.31</v>
      </c>
      <c r="E140">
        <v>760</v>
      </c>
      <c r="I140" t="s">
        <v>59</v>
      </c>
    </row>
    <row r="141" spans="1:9" x14ac:dyDescent="0.25">
      <c r="B141" t="s">
        <v>84</v>
      </c>
      <c r="C141">
        <v>422.41</v>
      </c>
      <c r="D141">
        <v>1391.09</v>
      </c>
      <c r="E141">
        <v>400</v>
      </c>
      <c r="I141" t="s">
        <v>32</v>
      </c>
    </row>
    <row r="142" spans="1:9" x14ac:dyDescent="0.25">
      <c r="A142" s="24" t="s">
        <v>69</v>
      </c>
      <c r="B142" t="s">
        <v>48</v>
      </c>
      <c r="C142">
        <v>262.74</v>
      </c>
      <c r="D142">
        <v>996.75</v>
      </c>
      <c r="E142">
        <v>760</v>
      </c>
      <c r="I142" t="s">
        <v>48</v>
      </c>
    </row>
    <row r="143" spans="1:9" x14ac:dyDescent="0.25">
      <c r="A143" s="24" t="s">
        <v>70</v>
      </c>
      <c r="B143" t="s">
        <v>99</v>
      </c>
      <c r="C143">
        <v>1370.32</v>
      </c>
      <c r="D143">
        <v>-73.91</v>
      </c>
      <c r="E143">
        <v>760</v>
      </c>
      <c r="I143" t="s">
        <v>50</v>
      </c>
    </row>
    <row r="144" spans="1:9" x14ac:dyDescent="0.25">
      <c r="B144" t="s">
        <v>104</v>
      </c>
      <c r="C144">
        <v>1222.07</v>
      </c>
      <c r="D144">
        <v>67.14</v>
      </c>
      <c r="F144">
        <v>75</v>
      </c>
      <c r="I144" t="s">
        <v>50</v>
      </c>
    </row>
    <row r="145" spans="1:9" x14ac:dyDescent="0.25">
      <c r="B145" t="s">
        <v>87</v>
      </c>
      <c r="C145">
        <v>661.24</v>
      </c>
      <c r="D145">
        <v>-198.72</v>
      </c>
      <c r="E145">
        <v>760</v>
      </c>
      <c r="I145" t="s">
        <v>47</v>
      </c>
    </row>
    <row r="146" spans="1:9" x14ac:dyDescent="0.25">
      <c r="B146" t="s">
        <v>88</v>
      </c>
      <c r="C146">
        <v>558.4</v>
      </c>
      <c r="D146">
        <v>42.39</v>
      </c>
      <c r="F146">
        <v>40</v>
      </c>
      <c r="I146" t="s">
        <v>47</v>
      </c>
    </row>
    <row r="147" spans="1:9" x14ac:dyDescent="0.25">
      <c r="B147" t="s">
        <v>89</v>
      </c>
      <c r="C147">
        <v>519.66999999999996</v>
      </c>
      <c r="D147">
        <v>-25.1</v>
      </c>
      <c r="F147">
        <v>60</v>
      </c>
      <c r="I147" t="s">
        <v>47</v>
      </c>
    </row>
    <row r="148" spans="1:9" x14ac:dyDescent="0.25">
      <c r="B148" t="s">
        <v>61</v>
      </c>
      <c r="C148">
        <v>1353.98</v>
      </c>
      <c r="D148">
        <v>316.22000000000003</v>
      </c>
      <c r="F148">
        <v>75</v>
      </c>
      <c r="I148" t="s">
        <v>61</v>
      </c>
    </row>
    <row r="149" spans="1:9" x14ac:dyDescent="0.25">
      <c r="B149" t="s">
        <v>62</v>
      </c>
      <c r="C149">
        <v>812.66</v>
      </c>
      <c r="D149">
        <v>834.85</v>
      </c>
      <c r="E149">
        <v>760</v>
      </c>
      <c r="I149" t="s">
        <v>62</v>
      </c>
    </row>
    <row r="150" spans="1:9" x14ac:dyDescent="0.25">
      <c r="B150" t="s">
        <v>105</v>
      </c>
      <c r="C150">
        <v>1015.8</v>
      </c>
      <c r="D150">
        <v>1284.6099999999999</v>
      </c>
      <c r="E150">
        <v>760</v>
      </c>
      <c r="I150" t="s">
        <v>78</v>
      </c>
    </row>
    <row r="151" spans="1:9" x14ac:dyDescent="0.25">
      <c r="B151" t="s">
        <v>106</v>
      </c>
      <c r="C151">
        <v>1942.36</v>
      </c>
      <c r="D151">
        <v>1144</v>
      </c>
      <c r="F151">
        <v>40</v>
      </c>
      <c r="I151" t="s">
        <v>78</v>
      </c>
    </row>
    <row r="152" spans="1:9" x14ac:dyDescent="0.25">
      <c r="B152" t="s">
        <v>107</v>
      </c>
      <c r="C152">
        <v>1051.44</v>
      </c>
      <c r="D152">
        <v>1188.52</v>
      </c>
      <c r="F152">
        <v>60</v>
      </c>
      <c r="I152" t="s">
        <v>78</v>
      </c>
    </row>
    <row r="153" spans="1:9" x14ac:dyDescent="0.25">
      <c r="A153" s="24" t="s">
        <v>32</v>
      </c>
      <c r="B153" t="s">
        <v>101</v>
      </c>
      <c r="C153">
        <v>284.99</v>
      </c>
      <c r="D153">
        <v>127.43</v>
      </c>
      <c r="E153">
        <v>760</v>
      </c>
      <c r="I153" t="s">
        <v>48</v>
      </c>
    </row>
    <row r="154" spans="1:9" x14ac:dyDescent="0.25">
      <c r="B154" t="s">
        <v>102</v>
      </c>
      <c r="C154">
        <v>53.4</v>
      </c>
      <c r="D154">
        <v>429.17</v>
      </c>
      <c r="F154">
        <v>55</v>
      </c>
      <c r="I154" t="s">
        <v>48</v>
      </c>
    </row>
    <row r="155" spans="1:9" x14ac:dyDescent="0.25">
      <c r="B155" t="s">
        <v>99</v>
      </c>
      <c r="C155">
        <v>1007.94</v>
      </c>
      <c r="D155">
        <v>160.53</v>
      </c>
      <c r="E155">
        <v>760</v>
      </c>
      <c r="I155" t="s">
        <v>50</v>
      </c>
    </row>
    <row r="156" spans="1:9" x14ac:dyDescent="0.25">
      <c r="B156" t="s">
        <v>108</v>
      </c>
      <c r="C156">
        <v>1066.93</v>
      </c>
      <c r="D156">
        <v>272.35000000000002</v>
      </c>
      <c r="E156">
        <v>500</v>
      </c>
      <c r="I156" t="s">
        <v>50</v>
      </c>
    </row>
    <row r="157" spans="1:9" x14ac:dyDescent="0.25">
      <c r="B157" t="s">
        <v>52</v>
      </c>
      <c r="C157">
        <v>1232.94</v>
      </c>
      <c r="D157">
        <v>111.11</v>
      </c>
      <c r="E157">
        <v>760</v>
      </c>
      <c r="I157" t="s">
        <v>52</v>
      </c>
    </row>
    <row r="158" spans="1:9" x14ac:dyDescent="0.25">
      <c r="B158" t="s">
        <v>109</v>
      </c>
      <c r="C158">
        <v>1734.12</v>
      </c>
      <c r="D158">
        <v>69.02</v>
      </c>
      <c r="E158">
        <v>760</v>
      </c>
      <c r="I158" t="s">
        <v>54</v>
      </c>
    </row>
    <row r="159" spans="1:9" x14ac:dyDescent="0.25">
      <c r="B159" t="s">
        <v>110</v>
      </c>
      <c r="C159">
        <v>1590.51</v>
      </c>
      <c r="D159">
        <v>223.13</v>
      </c>
      <c r="E159">
        <v>500</v>
      </c>
      <c r="I159" t="s">
        <v>54</v>
      </c>
    </row>
    <row r="160" spans="1:9" x14ac:dyDescent="0.25">
      <c r="B160" t="s">
        <v>87</v>
      </c>
      <c r="C160">
        <v>289.68</v>
      </c>
      <c r="D160">
        <v>60.99</v>
      </c>
      <c r="E160">
        <v>760</v>
      </c>
      <c r="I160" t="s">
        <v>47</v>
      </c>
    </row>
    <row r="161" spans="1:9" x14ac:dyDescent="0.25">
      <c r="B161" t="s">
        <v>88</v>
      </c>
      <c r="C161">
        <v>664.42</v>
      </c>
      <c r="D161">
        <v>39.770000000000003</v>
      </c>
      <c r="F161">
        <v>40</v>
      </c>
      <c r="I161" t="s">
        <v>47</v>
      </c>
    </row>
    <row r="162" spans="1:9" x14ac:dyDescent="0.25">
      <c r="B162" t="s">
        <v>89</v>
      </c>
      <c r="C162">
        <v>418.11</v>
      </c>
      <c r="D162">
        <v>45.72</v>
      </c>
      <c r="F162">
        <v>60</v>
      </c>
      <c r="I162" t="s">
        <v>47</v>
      </c>
    </row>
    <row r="163" spans="1:9" x14ac:dyDescent="0.25">
      <c r="B163" t="s">
        <v>64</v>
      </c>
      <c r="C163">
        <v>-30.19</v>
      </c>
      <c r="D163">
        <v>88.02</v>
      </c>
      <c r="E163">
        <v>760</v>
      </c>
      <c r="I163" t="s">
        <v>64</v>
      </c>
    </row>
    <row r="164" spans="1:9" x14ac:dyDescent="0.25">
      <c r="B164" t="s">
        <v>66</v>
      </c>
      <c r="C164">
        <v>1831.76</v>
      </c>
      <c r="D164">
        <v>209.75</v>
      </c>
      <c r="E164">
        <v>500</v>
      </c>
      <c r="I164" t="s">
        <v>66</v>
      </c>
    </row>
    <row r="165" spans="1:9" x14ac:dyDescent="0.25">
      <c r="B165" t="s">
        <v>68</v>
      </c>
      <c r="C165">
        <v>1391.09</v>
      </c>
      <c r="D165">
        <v>422.41</v>
      </c>
      <c r="E165">
        <v>400</v>
      </c>
      <c r="I165" t="s">
        <v>68</v>
      </c>
    </row>
    <row r="166" spans="1:9" x14ac:dyDescent="0.25">
      <c r="B166" t="s">
        <v>73</v>
      </c>
      <c r="C166">
        <v>1231.69</v>
      </c>
      <c r="D166">
        <v>183.12</v>
      </c>
      <c r="E166">
        <v>760</v>
      </c>
      <c r="I166" t="s">
        <v>73</v>
      </c>
    </row>
    <row r="167" spans="1:9" x14ac:dyDescent="0.25">
      <c r="A167" s="24" t="s">
        <v>71</v>
      </c>
      <c r="B167" t="s">
        <v>51</v>
      </c>
      <c r="C167">
        <v>104.68</v>
      </c>
      <c r="D167">
        <v>887.8</v>
      </c>
      <c r="E167">
        <v>760</v>
      </c>
      <c r="I167" t="s">
        <v>51</v>
      </c>
    </row>
    <row r="168" spans="1:9" x14ac:dyDescent="0.25">
      <c r="B168" t="s">
        <v>54</v>
      </c>
      <c r="C168">
        <v>909.36</v>
      </c>
      <c r="D168">
        <v>-414.68</v>
      </c>
      <c r="E168">
        <v>760</v>
      </c>
      <c r="I168" t="s">
        <v>54</v>
      </c>
    </row>
    <row r="169" spans="1:9" x14ac:dyDescent="0.25">
      <c r="B169" t="s">
        <v>58</v>
      </c>
      <c r="C169">
        <v>251.93</v>
      </c>
      <c r="D169">
        <v>1238.7</v>
      </c>
      <c r="E169">
        <v>756</v>
      </c>
      <c r="I169" t="s">
        <v>58</v>
      </c>
    </row>
    <row r="170" spans="1:9" x14ac:dyDescent="0.25">
      <c r="B170" t="s">
        <v>67</v>
      </c>
      <c r="C170">
        <v>957.61</v>
      </c>
      <c r="D170">
        <v>-452.92</v>
      </c>
      <c r="E170">
        <v>760</v>
      </c>
      <c r="I170" t="s">
        <v>67</v>
      </c>
    </row>
    <row r="171" spans="1:9" x14ac:dyDescent="0.25">
      <c r="A171" s="24" t="s">
        <v>72</v>
      </c>
      <c r="B171" t="s">
        <v>62</v>
      </c>
      <c r="C171">
        <v>1106.54</v>
      </c>
      <c r="D171">
        <v>116.93</v>
      </c>
      <c r="E171">
        <v>760</v>
      </c>
      <c r="I171" t="s">
        <v>62</v>
      </c>
    </row>
    <row r="172" spans="1:9" x14ac:dyDescent="0.25">
      <c r="B172" t="s">
        <v>85</v>
      </c>
      <c r="C172">
        <v>570.30999999999995</v>
      </c>
      <c r="D172">
        <v>156.38999999999999</v>
      </c>
      <c r="E172">
        <v>760</v>
      </c>
      <c r="I172" t="s">
        <v>85</v>
      </c>
    </row>
    <row r="173" spans="1:9" x14ac:dyDescent="0.25">
      <c r="A173" s="24" t="s">
        <v>73</v>
      </c>
      <c r="B173" t="s">
        <v>84</v>
      </c>
      <c r="C173">
        <v>183.12</v>
      </c>
      <c r="D173">
        <v>1231.69</v>
      </c>
      <c r="E173">
        <v>760</v>
      </c>
      <c r="I173" t="s">
        <v>32</v>
      </c>
    </row>
    <row r="174" spans="1:9" x14ac:dyDescent="0.25">
      <c r="B174" t="s">
        <v>48</v>
      </c>
      <c r="C174">
        <v>1405.49</v>
      </c>
      <c r="D174">
        <v>439.64</v>
      </c>
      <c r="E174">
        <v>760</v>
      </c>
      <c r="I174" t="s">
        <v>48</v>
      </c>
    </row>
    <row r="175" spans="1:9" x14ac:dyDescent="0.25">
      <c r="B175" t="s">
        <v>49</v>
      </c>
      <c r="C175">
        <v>1610.07</v>
      </c>
      <c r="D175">
        <v>694.08</v>
      </c>
      <c r="E175">
        <v>760</v>
      </c>
      <c r="I175" t="s">
        <v>49</v>
      </c>
    </row>
    <row r="176" spans="1:9" x14ac:dyDescent="0.25">
      <c r="B176" t="s">
        <v>58</v>
      </c>
      <c r="C176">
        <v>955.45</v>
      </c>
      <c r="D176">
        <v>382.3</v>
      </c>
      <c r="E176">
        <v>760</v>
      </c>
      <c r="I176" t="s">
        <v>58</v>
      </c>
    </row>
    <row r="177" spans="2:9" x14ac:dyDescent="0.25">
      <c r="B177" t="s">
        <v>64</v>
      </c>
      <c r="C177">
        <v>482.61</v>
      </c>
      <c r="D177">
        <v>205.3</v>
      </c>
      <c r="E177">
        <v>760</v>
      </c>
      <c r="I177" t="s">
        <v>64</v>
      </c>
    </row>
    <row r="178" spans="2:9" x14ac:dyDescent="0.25">
      <c r="B178" t="s">
        <v>81</v>
      </c>
      <c r="C178">
        <v>1284.6099999999999</v>
      </c>
      <c r="D178">
        <v>1015.8</v>
      </c>
      <c r="E178">
        <v>760</v>
      </c>
      <c r="I178" t="s">
        <v>70</v>
      </c>
    </row>
    <row r="179" spans="2:9" x14ac:dyDescent="0.25">
      <c r="B179" t="s">
        <v>111</v>
      </c>
      <c r="C179">
        <v>1144</v>
      </c>
      <c r="D179">
        <v>1942.36</v>
      </c>
      <c r="F179">
        <v>40</v>
      </c>
      <c r="I179" t="s">
        <v>70</v>
      </c>
    </row>
    <row r="180" spans="2:9" x14ac:dyDescent="0.25">
      <c r="B180" t="s">
        <v>112</v>
      </c>
      <c r="C180">
        <v>1188.52</v>
      </c>
      <c r="D180">
        <v>1051.44</v>
      </c>
      <c r="F180">
        <v>60</v>
      </c>
      <c r="I180" t="s">
        <v>70</v>
      </c>
    </row>
  </sheetData>
  <mergeCells count="2">
    <mergeCell ref="A1:B1"/>
    <mergeCell ref="C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A33"/>
  <sheetViews>
    <sheetView workbookViewId="0">
      <selection activeCell="E10" sqref="E10"/>
    </sheetView>
  </sheetViews>
  <sheetFormatPr defaultRowHeight="15" x14ac:dyDescent="0.25"/>
  <cols>
    <col min="1" max="1" width="28" bestFit="1" customWidth="1"/>
  </cols>
  <sheetData>
    <row r="1" spans="1:1" x14ac:dyDescent="0.25">
      <c r="A1" t="s">
        <v>4</v>
      </c>
    </row>
    <row r="2" spans="1:1" x14ac:dyDescent="0.25">
      <c r="A2" s="24" t="s">
        <v>72</v>
      </c>
    </row>
    <row r="3" spans="1:1" x14ac:dyDescent="0.25">
      <c r="A3" s="24" t="s">
        <v>57</v>
      </c>
    </row>
    <row r="4" spans="1:1" x14ac:dyDescent="0.25">
      <c r="A4" s="24" t="s">
        <v>30</v>
      </c>
    </row>
    <row r="5" spans="1:1" x14ac:dyDescent="0.25">
      <c r="A5" s="24" t="s">
        <v>51</v>
      </c>
    </row>
    <row r="6" spans="1:1" x14ac:dyDescent="0.25">
      <c r="A6" s="24" t="s">
        <v>63</v>
      </c>
    </row>
    <row r="7" spans="1:1" x14ac:dyDescent="0.25">
      <c r="A7" s="24" t="s">
        <v>73</v>
      </c>
    </row>
    <row r="8" spans="1:1" x14ac:dyDescent="0.25">
      <c r="A8" s="24" t="s">
        <v>56</v>
      </c>
    </row>
    <row r="9" spans="1:1" x14ac:dyDescent="0.25">
      <c r="A9" s="24" t="s">
        <v>28</v>
      </c>
    </row>
    <row r="10" spans="1:1" x14ac:dyDescent="0.25">
      <c r="A10" s="24" t="s">
        <v>29</v>
      </c>
    </row>
    <row r="11" spans="1:1" x14ac:dyDescent="0.25">
      <c r="A11" s="24" t="s">
        <v>48</v>
      </c>
    </row>
    <row r="12" spans="1:1" x14ac:dyDescent="0.25">
      <c r="A12" s="24" t="s">
        <v>49</v>
      </c>
    </row>
    <row r="13" spans="1:1" x14ac:dyDescent="0.25">
      <c r="A13" s="24" t="s">
        <v>50</v>
      </c>
    </row>
    <row r="14" spans="1:1" x14ac:dyDescent="0.25">
      <c r="A14" s="24" t="s">
        <v>52</v>
      </c>
    </row>
    <row r="15" spans="1:1" x14ac:dyDescent="0.25">
      <c r="A15" s="24" t="s">
        <v>53</v>
      </c>
    </row>
    <row r="16" spans="1:1" x14ac:dyDescent="0.25">
      <c r="A16" s="24" t="s">
        <v>54</v>
      </c>
    </row>
    <row r="17" spans="1:1" x14ac:dyDescent="0.25">
      <c r="A17" s="24" t="s">
        <v>55</v>
      </c>
    </row>
    <row r="18" spans="1:1" x14ac:dyDescent="0.25">
      <c r="A18" s="24" t="s">
        <v>58</v>
      </c>
    </row>
    <row r="19" spans="1:1" x14ac:dyDescent="0.25">
      <c r="A19" s="24" t="s">
        <v>47</v>
      </c>
    </row>
    <row r="20" spans="1:1" x14ac:dyDescent="0.25">
      <c r="A20" s="24" t="s">
        <v>59</v>
      </c>
    </row>
    <row r="21" spans="1:1" x14ac:dyDescent="0.25">
      <c r="A21" s="24" t="s">
        <v>60</v>
      </c>
    </row>
    <row r="22" spans="1:1" x14ac:dyDescent="0.25">
      <c r="A22" s="24" t="s">
        <v>32</v>
      </c>
    </row>
    <row r="23" spans="1:1" x14ac:dyDescent="0.25">
      <c r="A23" s="24" t="s">
        <v>64</v>
      </c>
    </row>
    <row r="24" spans="1:1" x14ac:dyDescent="0.25">
      <c r="A24" s="24" t="s">
        <v>65</v>
      </c>
    </row>
    <row r="25" spans="1:1" x14ac:dyDescent="0.25">
      <c r="A25" s="24" t="s">
        <v>31</v>
      </c>
    </row>
    <row r="26" spans="1:1" x14ac:dyDescent="0.25">
      <c r="A26" s="24" t="s">
        <v>66</v>
      </c>
    </row>
    <row r="27" spans="1:1" x14ac:dyDescent="0.25">
      <c r="A27" s="24" t="s">
        <v>67</v>
      </c>
    </row>
    <row r="28" spans="1:1" x14ac:dyDescent="0.25">
      <c r="A28" s="24" t="s">
        <v>61</v>
      </c>
    </row>
    <row r="29" spans="1:1" x14ac:dyDescent="0.25">
      <c r="A29" s="24" t="s">
        <v>62</v>
      </c>
    </row>
    <row r="30" spans="1:1" x14ac:dyDescent="0.25">
      <c r="A30" s="24" t="s">
        <v>68</v>
      </c>
    </row>
    <row r="31" spans="1:1" x14ac:dyDescent="0.25">
      <c r="A31" s="24" t="s">
        <v>69</v>
      </c>
    </row>
    <row r="32" spans="1:1" x14ac:dyDescent="0.25">
      <c r="A32" s="24" t="s">
        <v>70</v>
      </c>
    </row>
    <row r="33" spans="1:1" x14ac:dyDescent="0.25">
      <c r="A33" s="24" t="s">
        <v>71</v>
      </c>
    </row>
  </sheetData>
  <sortState ref="A2:A172">
    <sortCondition ref="A2"/>
  </sortState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I100"/>
  <sheetViews>
    <sheetView workbookViewId="0">
      <selection activeCell="F12" sqref="F12"/>
    </sheetView>
  </sheetViews>
  <sheetFormatPr defaultRowHeight="15" x14ac:dyDescent="0.25"/>
  <cols>
    <col min="1" max="1" width="13.85546875" style="2" customWidth="1"/>
    <col min="2" max="2" width="19.85546875" style="2" customWidth="1"/>
    <col min="3" max="9" width="22.7109375" customWidth="1"/>
  </cols>
  <sheetData>
    <row r="1" spans="1:9" ht="30.75" customHeight="1" x14ac:dyDescent="0.3">
      <c r="A1" s="48" t="s">
        <v>10</v>
      </c>
      <c r="B1" s="48"/>
      <c r="C1" s="49" t="str">
        <f>CONCATENATE("Função Simplificada:  [ Y = ",IF(AND(I3&lt;D5,I3&gt;-D5),"",ROUND(I3,D4)),IF(OR(I3&gt;D5,I3&lt;-D5),IF(H3&gt;0,"X^6 +","X^6 "),""),IF(AND(H3&lt;D5,H3&gt;-D5),"",ROUND(H3,D4)),IF(OR(H3&gt;D5,H3&lt;-D5),IF(G3&gt;0,"X^5 +","X^5 "),""),IF(AND(G3&lt;D5,G3&gt;-D5),"",ROUND(G3,D4)),IF(OR(G3&gt;D5,G3&lt;-D5),IF(F3&gt;0,"X^4 +","X^4 "),""),IF(AND(F3&lt;D5,F3&gt;-D5),"",ROUND(F3,D4)),IF(OR(F3&gt;D5,F3&lt;-D5),IF(E3&gt;0,"X^3 +","X^3 "),""),IF(AND(E3&lt;D5,E3&gt;-D5),"",ROUND(E3,D4)),IF(OR(E3&gt;D5,E3&lt;-D5),IF(D3&gt;0,"X^2 +","X^2 "),""),IF(AND(D3&lt;D5,D3&gt;-D5),"",ROUND(D3,D4)),IF(OR(D3&gt;D5,D3&lt;-D5),IF(C3&gt;0,"X +","X "),""),IF(AND(C3&lt;D5,C3&gt;-D5),"",ROUND(C3,D4))," ]")</f>
        <v>Função Simplificada:  [ Y = -0,00012X^5 +0,00399X^4 -0,06279X^3 +0,44566X^2 -1,06937X +59,92444 ]</v>
      </c>
      <c r="D1" s="50"/>
      <c r="E1" s="50"/>
      <c r="F1" s="50"/>
      <c r="G1" s="50"/>
      <c r="H1" s="50"/>
      <c r="I1" s="50"/>
    </row>
    <row r="2" spans="1:9" x14ac:dyDescent="0.25">
      <c r="A2" s="16" t="s">
        <v>21</v>
      </c>
      <c r="B2" s="17" t="s">
        <v>22</v>
      </c>
      <c r="C2" s="10" t="s">
        <v>14</v>
      </c>
      <c r="D2" s="10" t="s">
        <v>15</v>
      </c>
      <c r="E2" s="10" t="s">
        <v>16</v>
      </c>
      <c r="F2" s="10" t="s">
        <v>17</v>
      </c>
      <c r="G2" s="10" t="s">
        <v>18</v>
      </c>
      <c r="H2" s="10" t="s">
        <v>19</v>
      </c>
      <c r="I2" s="10" t="s">
        <v>20</v>
      </c>
    </row>
    <row r="3" spans="1:9" ht="26.25" customHeight="1" x14ac:dyDescent="0.25">
      <c r="A3" s="12">
        <v>0</v>
      </c>
      <c r="B3" s="13">
        <v>60</v>
      </c>
      <c r="C3" s="23">
        <v>59.924442053801599</v>
      </c>
      <c r="D3" s="23">
        <v>-1.0693656266812499</v>
      </c>
      <c r="E3" s="23">
        <v>0.44565551666164499</v>
      </c>
      <c r="F3" s="23">
        <v>-6.2793185897135104E-2</v>
      </c>
      <c r="G3" s="23">
        <v>3.9879425709727903E-3</v>
      </c>
      <c r="H3" s="23">
        <v>-1.1690762339888701E-4</v>
      </c>
      <c r="I3" s="23">
        <v>1.28603706731067E-6</v>
      </c>
    </row>
    <row r="4" spans="1:9" x14ac:dyDescent="0.25">
      <c r="A4" s="12">
        <v>1</v>
      </c>
      <c r="B4" s="13">
        <v>59.4</v>
      </c>
      <c r="C4" s="18" t="s">
        <v>24</v>
      </c>
      <c r="D4" s="3">
        <v>5</v>
      </c>
    </row>
    <row r="5" spans="1:9" x14ac:dyDescent="0.25">
      <c r="A5" s="12">
        <v>2</v>
      </c>
      <c r="B5" s="13">
        <v>58.5</v>
      </c>
      <c r="C5" s="18" t="s">
        <v>25</v>
      </c>
      <c r="D5" s="19">
        <f>10^(-$D$4)</f>
        <v>1.0000000000000001E-5</v>
      </c>
    </row>
    <row r="6" spans="1:9" x14ac:dyDescent="0.25">
      <c r="A6" s="12">
        <v>3</v>
      </c>
      <c r="B6" s="13">
        <v>59.1</v>
      </c>
      <c r="C6" s="20" t="s">
        <v>26</v>
      </c>
      <c r="D6" s="3">
        <v>0</v>
      </c>
    </row>
    <row r="7" spans="1:9" x14ac:dyDescent="0.25">
      <c r="A7" s="12">
        <v>4</v>
      </c>
      <c r="B7" s="13">
        <v>60.5</v>
      </c>
      <c r="C7" s="51" t="s">
        <v>27</v>
      </c>
      <c r="D7" s="21">
        <f>C3+D6*D3+D6*E3^2+D6*F3^3+D6*G3^4+D6*H3^5+D6*I3^6</f>
        <v>59.924442053801599</v>
      </c>
    </row>
    <row r="8" spans="1:9" ht="15.75" x14ac:dyDescent="0.25">
      <c r="A8" s="12">
        <v>5</v>
      </c>
      <c r="B8" s="13">
        <v>60.4</v>
      </c>
      <c r="C8" s="51"/>
      <c r="D8" s="22">
        <f>C3+D6*D3+D6*E3^2+D6*F3^3+D6*G3^4+D6*H3^5+D6*I3^6</f>
        <v>59.924442053801599</v>
      </c>
    </row>
    <row r="9" spans="1:9" x14ac:dyDescent="0.25">
      <c r="A9" s="12">
        <v>6</v>
      </c>
      <c r="B9" s="13">
        <v>60</v>
      </c>
    </row>
    <row r="10" spans="1:9" x14ac:dyDescent="0.25">
      <c r="A10" s="12">
        <v>7</v>
      </c>
      <c r="B10" s="13">
        <v>60.2</v>
      </c>
    </row>
    <row r="11" spans="1:9" x14ac:dyDescent="0.25">
      <c r="A11" s="12">
        <v>8</v>
      </c>
      <c r="B11" s="13">
        <v>60.5</v>
      </c>
      <c r="D11" s="11"/>
    </row>
    <row r="12" spans="1:9" x14ac:dyDescent="0.25">
      <c r="A12" s="12">
        <v>9</v>
      </c>
      <c r="B12" s="13">
        <v>60.6</v>
      </c>
    </row>
    <row r="13" spans="1:9" x14ac:dyDescent="0.25">
      <c r="A13" s="12">
        <v>10</v>
      </c>
      <c r="B13" s="13">
        <v>60.6</v>
      </c>
      <c r="E13" s="11"/>
    </row>
    <row r="14" spans="1:9" x14ac:dyDescent="0.25">
      <c r="A14" s="12">
        <v>11</v>
      </c>
      <c r="B14" s="13">
        <v>60.3</v>
      </c>
    </row>
    <row r="15" spans="1:9" x14ac:dyDescent="0.25">
      <c r="A15" s="12">
        <v>12</v>
      </c>
      <c r="B15" s="13">
        <v>60</v>
      </c>
    </row>
    <row r="16" spans="1:9" x14ac:dyDescent="0.25">
      <c r="A16" s="12">
        <v>13</v>
      </c>
      <c r="B16" s="13">
        <v>60</v>
      </c>
    </row>
    <row r="17" spans="1:2" x14ac:dyDescent="0.25">
      <c r="A17" s="12">
        <v>14</v>
      </c>
      <c r="B17" s="13">
        <v>59.8</v>
      </c>
    </row>
    <row r="18" spans="1:2" x14ac:dyDescent="0.25">
      <c r="A18" s="12">
        <v>15</v>
      </c>
      <c r="B18" s="13">
        <v>59.9</v>
      </c>
    </row>
    <row r="19" spans="1:2" x14ac:dyDescent="0.25">
      <c r="A19" s="12">
        <v>16</v>
      </c>
      <c r="B19" s="13">
        <v>60.3</v>
      </c>
    </row>
    <row r="20" spans="1:2" x14ac:dyDescent="0.25">
      <c r="A20" s="12">
        <v>17</v>
      </c>
      <c r="B20" s="13">
        <v>60.9</v>
      </c>
    </row>
    <row r="21" spans="1:2" x14ac:dyDescent="0.25">
      <c r="A21" s="12">
        <v>18</v>
      </c>
      <c r="B21" s="13">
        <v>61.2</v>
      </c>
    </row>
    <row r="22" spans="1:2" x14ac:dyDescent="0.25">
      <c r="A22" s="12">
        <v>19</v>
      </c>
      <c r="B22" s="13">
        <v>60.6</v>
      </c>
    </row>
    <row r="23" spans="1:2" x14ac:dyDescent="0.25">
      <c r="A23" s="12">
        <v>20</v>
      </c>
      <c r="B23" s="13">
        <v>60</v>
      </c>
    </row>
    <row r="24" spans="1:2" x14ac:dyDescent="0.25">
      <c r="A24" s="12">
        <v>21</v>
      </c>
      <c r="B24" s="13">
        <v>59.6</v>
      </c>
    </row>
    <row r="25" spans="1:2" x14ac:dyDescent="0.25">
      <c r="A25" s="12">
        <v>22</v>
      </c>
      <c r="B25" s="13">
        <v>60.1</v>
      </c>
    </row>
    <row r="26" spans="1:2" x14ac:dyDescent="0.25">
      <c r="A26" s="12">
        <v>23</v>
      </c>
      <c r="B26" s="13">
        <v>61.3</v>
      </c>
    </row>
    <row r="27" spans="1:2" x14ac:dyDescent="0.25">
      <c r="A27" s="12">
        <v>24</v>
      </c>
      <c r="B27" s="13">
        <v>61.8</v>
      </c>
    </row>
    <row r="28" spans="1:2" x14ac:dyDescent="0.25">
      <c r="A28" s="12">
        <v>25</v>
      </c>
      <c r="B28" s="13">
        <v>61.6</v>
      </c>
    </row>
    <row r="29" spans="1:2" x14ac:dyDescent="0.25">
      <c r="A29" s="12">
        <v>26</v>
      </c>
      <c r="B29" s="13">
        <v>60.6</v>
      </c>
    </row>
    <row r="30" spans="1:2" x14ac:dyDescent="0.25">
      <c r="A30" s="12">
        <v>27</v>
      </c>
      <c r="B30" s="13">
        <v>59.7</v>
      </c>
    </row>
    <row r="31" spans="1:2" x14ac:dyDescent="0.25">
      <c r="A31" s="12">
        <v>28</v>
      </c>
      <c r="B31" s="13">
        <v>59.3</v>
      </c>
    </row>
    <row r="32" spans="1:2" x14ac:dyDescent="0.25">
      <c r="A32" s="12">
        <v>29</v>
      </c>
      <c r="B32" s="13">
        <v>59.6</v>
      </c>
    </row>
    <row r="33" spans="1:2" x14ac:dyDescent="0.25">
      <c r="A33" s="12">
        <v>30</v>
      </c>
      <c r="B33" s="13">
        <v>60.8</v>
      </c>
    </row>
    <row r="34" spans="1:2" x14ac:dyDescent="0.25">
      <c r="A34" s="12"/>
      <c r="B34" s="13"/>
    </row>
    <row r="35" spans="1:2" x14ac:dyDescent="0.25">
      <c r="A35" s="12"/>
      <c r="B35" s="12"/>
    </row>
    <row r="36" spans="1:2" x14ac:dyDescent="0.25">
      <c r="A36" s="12"/>
      <c r="B36" s="12"/>
    </row>
    <row r="37" spans="1:2" x14ac:dyDescent="0.25">
      <c r="A37" s="12"/>
      <c r="B37" s="12"/>
    </row>
    <row r="38" spans="1:2" x14ac:dyDescent="0.25">
      <c r="A38" s="12"/>
      <c r="B38" s="12"/>
    </row>
    <row r="39" spans="1:2" x14ac:dyDescent="0.25">
      <c r="A39" s="12"/>
      <c r="B39" s="12"/>
    </row>
    <row r="40" spans="1:2" x14ac:dyDescent="0.25">
      <c r="A40" s="12"/>
      <c r="B40" s="12"/>
    </row>
    <row r="41" spans="1:2" x14ac:dyDescent="0.25">
      <c r="A41" s="12"/>
      <c r="B41" s="12"/>
    </row>
    <row r="42" spans="1:2" x14ac:dyDescent="0.25">
      <c r="A42" s="12"/>
      <c r="B42" s="12"/>
    </row>
    <row r="43" spans="1:2" x14ac:dyDescent="0.25">
      <c r="A43" s="12"/>
      <c r="B43" s="12"/>
    </row>
    <row r="44" spans="1:2" x14ac:dyDescent="0.25">
      <c r="A44" s="12"/>
      <c r="B44" s="12"/>
    </row>
    <row r="45" spans="1:2" x14ac:dyDescent="0.25">
      <c r="A45" s="12"/>
      <c r="B45" s="12"/>
    </row>
    <row r="46" spans="1:2" x14ac:dyDescent="0.25">
      <c r="A46" s="12"/>
      <c r="B46" s="12"/>
    </row>
    <row r="47" spans="1:2" x14ac:dyDescent="0.25">
      <c r="A47" s="12"/>
      <c r="B47" s="12"/>
    </row>
    <row r="48" spans="1:2" x14ac:dyDescent="0.25">
      <c r="A48" s="12"/>
      <c r="B48" s="12"/>
    </row>
    <row r="49" spans="1:2" x14ac:dyDescent="0.25">
      <c r="A49" s="12"/>
      <c r="B49" s="12"/>
    </row>
    <row r="50" spans="1:2" x14ac:dyDescent="0.25">
      <c r="A50" s="12"/>
      <c r="B50" s="12"/>
    </row>
    <row r="51" spans="1:2" x14ac:dyDescent="0.25">
      <c r="A51" s="12"/>
      <c r="B51" s="12"/>
    </row>
    <row r="52" spans="1:2" x14ac:dyDescent="0.25">
      <c r="A52" s="12"/>
      <c r="B52" s="12"/>
    </row>
    <row r="53" spans="1:2" x14ac:dyDescent="0.25">
      <c r="A53" s="12"/>
      <c r="B53" s="12"/>
    </row>
    <row r="54" spans="1:2" x14ac:dyDescent="0.25">
      <c r="A54" s="12"/>
      <c r="B54" s="12"/>
    </row>
    <row r="55" spans="1:2" x14ac:dyDescent="0.25">
      <c r="A55" s="12"/>
      <c r="B55" s="12"/>
    </row>
    <row r="56" spans="1:2" x14ac:dyDescent="0.25">
      <c r="A56" s="12"/>
      <c r="B56" s="12"/>
    </row>
    <row r="57" spans="1:2" x14ac:dyDescent="0.25">
      <c r="A57" s="12"/>
      <c r="B57" s="12"/>
    </row>
    <row r="58" spans="1:2" x14ac:dyDescent="0.25">
      <c r="A58" s="12"/>
      <c r="B58" s="12"/>
    </row>
    <row r="59" spans="1:2" x14ac:dyDescent="0.25">
      <c r="A59" s="12"/>
      <c r="B59" s="12"/>
    </row>
    <row r="60" spans="1:2" x14ac:dyDescent="0.25">
      <c r="A60" s="12"/>
      <c r="B60" s="12"/>
    </row>
    <row r="61" spans="1:2" x14ac:dyDescent="0.25">
      <c r="A61" s="12"/>
      <c r="B61" s="12"/>
    </row>
    <row r="62" spans="1:2" x14ac:dyDescent="0.25">
      <c r="A62" s="12"/>
      <c r="B62" s="12"/>
    </row>
    <row r="63" spans="1:2" x14ac:dyDescent="0.25">
      <c r="A63" s="12"/>
      <c r="B63" s="12"/>
    </row>
    <row r="64" spans="1:2" x14ac:dyDescent="0.25">
      <c r="A64" s="12"/>
      <c r="B64" s="12"/>
    </row>
    <row r="65" spans="1:2" x14ac:dyDescent="0.25">
      <c r="A65" s="12"/>
      <c r="B65" s="12"/>
    </row>
    <row r="66" spans="1:2" x14ac:dyDescent="0.25">
      <c r="A66" s="12"/>
      <c r="B66" s="12"/>
    </row>
    <row r="67" spans="1:2" x14ac:dyDescent="0.25">
      <c r="A67" s="12"/>
      <c r="B67" s="12"/>
    </row>
    <row r="68" spans="1:2" x14ac:dyDescent="0.25">
      <c r="A68" s="12"/>
      <c r="B68" s="12"/>
    </row>
    <row r="69" spans="1:2" x14ac:dyDescent="0.25">
      <c r="A69" s="12"/>
      <c r="B69" s="12"/>
    </row>
    <row r="70" spans="1:2" x14ac:dyDescent="0.25">
      <c r="A70" s="12"/>
      <c r="B70" s="12"/>
    </row>
    <row r="71" spans="1:2" x14ac:dyDescent="0.25">
      <c r="A71" s="12"/>
      <c r="B71" s="12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  <row r="84" spans="1:2" x14ac:dyDescent="0.25">
      <c r="A84" s="12"/>
      <c r="B84" s="12"/>
    </row>
    <row r="85" spans="1:2" x14ac:dyDescent="0.25">
      <c r="A85" s="12"/>
      <c r="B85" s="12"/>
    </row>
    <row r="86" spans="1:2" x14ac:dyDescent="0.25">
      <c r="A86" s="12"/>
      <c r="B86" s="12"/>
    </row>
    <row r="87" spans="1:2" x14ac:dyDescent="0.25">
      <c r="A87" s="12"/>
      <c r="B87" s="12"/>
    </row>
    <row r="88" spans="1:2" x14ac:dyDescent="0.25">
      <c r="A88" s="12"/>
      <c r="B88" s="12"/>
    </row>
    <row r="89" spans="1:2" x14ac:dyDescent="0.25">
      <c r="A89" s="12"/>
      <c r="B89" s="12"/>
    </row>
    <row r="90" spans="1:2" x14ac:dyDescent="0.25">
      <c r="A90" s="12"/>
      <c r="B90" s="12"/>
    </row>
    <row r="91" spans="1:2" x14ac:dyDescent="0.25">
      <c r="A91" s="12"/>
      <c r="B91" s="12"/>
    </row>
    <row r="92" spans="1:2" x14ac:dyDescent="0.25">
      <c r="A92" s="12"/>
      <c r="B92" s="12"/>
    </row>
    <row r="93" spans="1:2" x14ac:dyDescent="0.25">
      <c r="A93" s="12"/>
      <c r="B93" s="12"/>
    </row>
    <row r="94" spans="1:2" x14ac:dyDescent="0.25">
      <c r="A94" s="12"/>
      <c r="B94" s="12"/>
    </row>
    <row r="95" spans="1:2" x14ac:dyDescent="0.25">
      <c r="A95" s="12"/>
      <c r="B95" s="12"/>
    </row>
    <row r="96" spans="1:2" x14ac:dyDescent="0.25">
      <c r="A96" s="12"/>
      <c r="B96" s="12"/>
    </row>
    <row r="97" spans="1:2" x14ac:dyDescent="0.25">
      <c r="A97" s="12"/>
      <c r="B97" s="12"/>
    </row>
    <row r="98" spans="1:2" x14ac:dyDescent="0.25">
      <c r="A98" s="12"/>
      <c r="B98" s="12"/>
    </row>
    <row r="99" spans="1:2" x14ac:dyDescent="0.25">
      <c r="A99" s="12"/>
      <c r="B99" s="12"/>
    </row>
    <row r="100" spans="1:2" x14ac:dyDescent="0.25">
      <c r="A100" s="12"/>
      <c r="B100" s="12"/>
    </row>
  </sheetData>
  <mergeCells count="3">
    <mergeCell ref="A1:B1"/>
    <mergeCell ref="C1:I1"/>
    <mergeCell ref="C7:C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J2"/>
  <sheetViews>
    <sheetView workbookViewId="0">
      <selection activeCell="E14" sqref="E14"/>
    </sheetView>
  </sheetViews>
  <sheetFormatPr defaultRowHeight="15" x14ac:dyDescent="0.25"/>
  <cols>
    <col min="1" max="1" width="17.42578125" customWidth="1"/>
    <col min="2" max="2" width="14.5703125" customWidth="1"/>
    <col min="3" max="3" width="13.5703125" customWidth="1"/>
    <col min="4" max="4" width="22.42578125" bestFit="1" customWidth="1"/>
    <col min="5" max="5" width="21.7109375" bestFit="1" customWidth="1"/>
    <col min="6" max="6" width="22.42578125" bestFit="1" customWidth="1"/>
    <col min="7" max="7" width="21.7109375" bestFit="1" customWidth="1"/>
    <col min="8" max="9" width="22.42578125" bestFit="1" customWidth="1"/>
    <col min="10" max="10" width="22" bestFit="1" customWidth="1"/>
  </cols>
  <sheetData>
    <row r="1" spans="1:10" x14ac:dyDescent="0.25">
      <c r="A1" s="8" t="s">
        <v>11</v>
      </c>
      <c r="B1" s="4" t="s">
        <v>12</v>
      </c>
      <c r="C1" s="3" t="s">
        <v>13</v>
      </c>
      <c r="D1" s="3" t="s">
        <v>14</v>
      </c>
      <c r="E1" s="3" t="s">
        <v>15</v>
      </c>
      <c r="F1" s="3" t="s">
        <v>16</v>
      </c>
      <c r="G1" s="3" t="s">
        <v>17</v>
      </c>
      <c r="H1" s="3" t="s">
        <v>18</v>
      </c>
      <c r="I1" s="3" t="s">
        <v>19</v>
      </c>
      <c r="J1" s="3" t="s">
        <v>20</v>
      </c>
    </row>
    <row r="2" spans="1:10" s="9" customFormat="1" ht="26.25" customHeight="1" x14ac:dyDescent="0.25">
      <c r="A2" s="5">
        <v>1</v>
      </c>
      <c r="B2" s="14" t="s">
        <v>23</v>
      </c>
      <c r="C2" s="14" t="str">
        <f>CONCATENATE("=",B2)</f>
        <v>=1,286037067310670E-06*$A$2^6M=(-1)*1,169076233988870E-04*$A$2^5M=3,987942570972790E-03*$A$2^4M=(-1)*6,279318589713510E-02*$A$2^3M=4,456555166616450E-01*$A$2^2M=(-1)*1,069365626681250E+00*$A$2M=5,992444205380160E+01</v>
      </c>
      <c r="D2" s="15"/>
      <c r="E2" s="15"/>
      <c r="F2" s="15"/>
      <c r="G2" s="15"/>
      <c r="H2" s="15"/>
      <c r="I2" s="15"/>
      <c r="J2" s="15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Col</vt:lpstr>
      <vt:lpstr>Par</vt:lpstr>
      <vt:lpstr>Listas</vt:lpstr>
      <vt:lpstr>Calc</vt:lpstr>
      <vt:lpstr>Transf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2022-02-17T20:24:54Z</dcterms:created>
  <dcterms:modified xsi:type="dcterms:W3CDTF">2022-03-22T01:08:16Z</dcterms:modified>
</cp:coreProperties>
</file>