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120" yWindow="30" windowWidth="20115" windowHeight="7755"/>
  </bookViews>
  <sheets>
    <sheet name="Dados" sheetId="1" r:id="rId1"/>
    <sheet name="Plan2" sheetId="2" r:id="rId2"/>
    <sheet name="Plan3" sheetId="3" r:id="rId3"/>
  </sheets>
  <calcPr calcId="145621" iterateDelta="1E-10"/>
</workbook>
</file>

<file path=xl/calcChain.xml><?xml version="1.0" encoding="utf-8"?>
<calcChain xmlns="http://schemas.openxmlformats.org/spreadsheetml/2006/main">
  <c r="K3" i="1" l="1"/>
  <c r="P3" i="1" s="1"/>
  <c r="N3" i="1" l="1"/>
  <c r="O3" i="1"/>
</calcChain>
</file>

<file path=xl/sharedStrings.xml><?xml version="1.0" encoding="utf-8"?>
<sst xmlns="http://schemas.openxmlformats.org/spreadsheetml/2006/main" count="3392" uniqueCount="2649">
  <si>
    <t>NO</t>
  </si>
  <si>
    <t>FORMULA</t>
  </si>
  <si>
    <t>NAME</t>
  </si>
  <si>
    <t>A</t>
  </si>
  <si>
    <t>B</t>
  </si>
  <si>
    <t>n</t>
  </si>
  <si>
    <t>Tc</t>
  </si>
  <si>
    <t>TMIN</t>
  </si>
  <si>
    <t>TMAX</t>
  </si>
  <si>
    <t>C3H4O2</t>
  </si>
  <si>
    <t>VINYL FORMATE</t>
  </si>
  <si>
    <t>C3H4O3</t>
  </si>
  <si>
    <t>ETHYLENE CARBONATE</t>
  </si>
  <si>
    <t>PYRUVIC ACID</t>
  </si>
  <si>
    <t>C3H5Br</t>
  </si>
  <si>
    <t>3-BROM0-1-PROPENE</t>
  </si>
  <si>
    <t>2-CHLOROPROPENE</t>
  </si>
  <si>
    <t>3-CHLOROPROPENE</t>
  </si>
  <si>
    <t>METHYLCHLOROACETATE</t>
  </si>
  <si>
    <t>C3H5ClO2</t>
  </si>
  <si>
    <t>ETHYLCHLOROFORMATE</t>
  </si>
  <si>
    <t>C3H5Cl3</t>
  </si>
  <si>
    <t>1,2,3-TRICHLOROPROPANE</t>
  </si>
  <si>
    <t>3-IOD0-1-PROPENE</t>
  </si>
  <si>
    <t>C3H5N</t>
  </si>
  <si>
    <t>PROPIONITRILE</t>
  </si>
  <si>
    <t>C3H5NO</t>
  </si>
  <si>
    <t>ACRYLAMIDE</t>
  </si>
  <si>
    <t>HYDRACRYLONITRILE</t>
  </si>
  <si>
    <t>LACTONITRILE</t>
  </si>
  <si>
    <t>C3H5N3O9</t>
  </si>
  <si>
    <t>NITROGLYCERINE</t>
  </si>
  <si>
    <t>C3H6</t>
  </si>
  <si>
    <t>CYCLOPROPANE</t>
  </si>
  <si>
    <t>PROPYLENE</t>
  </si>
  <si>
    <t>C3H6Br2</t>
  </si>
  <si>
    <t>1,2-DIBROMOPROPANE</t>
  </si>
  <si>
    <t>C3H6Cl2</t>
  </si>
  <si>
    <t>1,1-DICHLOROPROPANE</t>
  </si>
  <si>
    <t>1,2-DICHLOROPROPANE</t>
  </si>
  <si>
    <t>1,3-DICHLOROPROPANE</t>
  </si>
  <si>
    <t>2,2-DICHLOROPROPANE</t>
  </si>
  <si>
    <t>1,2-DIIODOPROPANE</t>
  </si>
  <si>
    <t>C3H6O</t>
  </si>
  <si>
    <t>ACETONE</t>
  </si>
  <si>
    <t>ALLYL ALCOHOL</t>
  </si>
  <si>
    <t>METHYL VINYL ETHER</t>
  </si>
  <si>
    <t>1,2-PROPYLENE OXIDE</t>
  </si>
  <si>
    <t>1,3-PROPYLENE OXIDE</t>
  </si>
  <si>
    <t>C3H6O2</t>
  </si>
  <si>
    <t>ETHYL FORMATE</t>
  </si>
  <si>
    <t>METHYL ACETATE</t>
  </si>
  <si>
    <t>PROPIONIC ACID</t>
  </si>
  <si>
    <t>C3H6O2S</t>
  </si>
  <si>
    <t>3-MERCAPTOPROPIONIC ACID</t>
  </si>
  <si>
    <t>C3H6O3</t>
  </si>
  <si>
    <t>LACTIC ACID</t>
  </si>
  <si>
    <t>METHOXYACETIC ACID</t>
  </si>
  <si>
    <t>TRIOXANE</t>
  </si>
  <si>
    <t>C3H6S</t>
  </si>
  <si>
    <t>THIACYCLOBUTANE</t>
  </si>
  <si>
    <t>C3H7Br</t>
  </si>
  <si>
    <t>1-BROMOPROPANE</t>
  </si>
  <si>
    <t>2-BROMOPROPANE</t>
  </si>
  <si>
    <t>ISOPROPYL CHLORIDE</t>
  </si>
  <si>
    <t>C3H7F</t>
  </si>
  <si>
    <t>1-FLUOROPROPANE</t>
  </si>
  <si>
    <t>2-FLUOROPROPANE</t>
  </si>
  <si>
    <t>ISOPROPYL IODIDE</t>
  </si>
  <si>
    <t>C3H7N</t>
  </si>
  <si>
    <t>ALLYLAMINE</t>
  </si>
  <si>
    <t>PROPYLENEIMINE</t>
  </si>
  <si>
    <t>C3H7NO</t>
  </si>
  <si>
    <t>N,N-DIMETHYLFORMAMIDE</t>
  </si>
  <si>
    <t>N-METHYLACETAMIDE</t>
  </si>
  <si>
    <t>C3H7NO2</t>
  </si>
  <si>
    <t>1-NITROPROPANE</t>
  </si>
  <si>
    <t>2-NITROPROPANE</t>
  </si>
  <si>
    <t>C3H8</t>
  </si>
  <si>
    <t>PROPANE</t>
  </si>
  <si>
    <t>C3H8O</t>
  </si>
  <si>
    <t>ISOPROPANOL</t>
  </si>
  <si>
    <t>METHYL ETHYL ETHER</t>
  </si>
  <si>
    <t>C3H8O2</t>
  </si>
  <si>
    <t>2-METHOXYETHANOL</t>
  </si>
  <si>
    <t>METHYLAL</t>
  </si>
  <si>
    <t>1,2-PROPYLENE GLYCOL</t>
  </si>
  <si>
    <t>1,3-PROPYLENE GLYCOL</t>
  </si>
  <si>
    <t>C3H8O3</t>
  </si>
  <si>
    <t>GLYCEROL</t>
  </si>
  <si>
    <t>C3H8S</t>
  </si>
  <si>
    <t>ISOPROPYL MERCAPTAN</t>
  </si>
  <si>
    <t>ETHYL-METHYL-SULFIDE</t>
  </si>
  <si>
    <t>C3H9N</t>
  </si>
  <si>
    <t>ISOPROPYLAMINE</t>
  </si>
  <si>
    <t>TRIMETHYLAMINE</t>
  </si>
  <si>
    <t>C3H9NO</t>
  </si>
  <si>
    <t>3-AMINO-1-PROPANOL</t>
  </si>
  <si>
    <t>METHYLETHANOLAMINE</t>
  </si>
  <si>
    <t>C3H10N2</t>
  </si>
  <si>
    <t>1,2-PROPANEDIAMINE</t>
  </si>
  <si>
    <t>C3H10Si</t>
  </si>
  <si>
    <t>TRIMETHYL SILANE</t>
  </si>
  <si>
    <t>C4Cl4S</t>
  </si>
  <si>
    <t>TETRACHLOROTHIOPHENE</t>
  </si>
  <si>
    <t>C4Cl6</t>
  </si>
  <si>
    <t>HEXACHLOR0-1,3-BUTADIENE</t>
  </si>
  <si>
    <t>C4F8</t>
  </si>
  <si>
    <t>OCTAFLUORO-2-BUTENE</t>
  </si>
  <si>
    <t>OCTAFLUOROCYCLOBUTANE</t>
  </si>
  <si>
    <t>C4F10</t>
  </si>
  <si>
    <t>DECAFLUOROBUTANE</t>
  </si>
  <si>
    <t>C4H2</t>
  </si>
  <si>
    <t>BUTADIYNE(BIACETYLENE)</t>
  </si>
  <si>
    <t>C4H2O3</t>
  </si>
  <si>
    <t>MALEIC ANHYDRIDE</t>
  </si>
  <si>
    <t>C4H4</t>
  </si>
  <si>
    <t>VINYLACETYLENE</t>
  </si>
  <si>
    <t>C4H4N2</t>
  </si>
  <si>
    <t>SUCCINONITRILE</t>
  </si>
  <si>
    <t>C4H4O</t>
  </si>
  <si>
    <t>FURAN</t>
  </si>
  <si>
    <t>C4H4O2</t>
  </si>
  <si>
    <t>DIKETENE</t>
  </si>
  <si>
    <t>C4H8O3</t>
  </si>
  <si>
    <t>SUCCINIC ANHYDRIDE</t>
  </si>
  <si>
    <t>FUMARIC ACID</t>
  </si>
  <si>
    <t>MALEICACID</t>
  </si>
  <si>
    <t>C4H4S</t>
  </si>
  <si>
    <t>THIOPHENE</t>
  </si>
  <si>
    <t>CHLOROPRENE</t>
  </si>
  <si>
    <t>C4H5N</t>
  </si>
  <si>
    <t>METHACRYLONITRILE</t>
  </si>
  <si>
    <t>PYRROLE</t>
  </si>
  <si>
    <t>VINYLACETONITRILE</t>
  </si>
  <si>
    <t>C4H5NO2</t>
  </si>
  <si>
    <t>METHYLCYANOACETATE</t>
  </si>
  <si>
    <t>C4H6</t>
  </si>
  <si>
    <t>CYCLOBUTENE</t>
  </si>
  <si>
    <t>1,2-BUTADIENE</t>
  </si>
  <si>
    <t>1,3-BUTADIENE</t>
  </si>
  <si>
    <t>DIMETHYLACETYLENE</t>
  </si>
  <si>
    <t>ETHYLACETYLENE</t>
  </si>
  <si>
    <t>C4H6Cl2</t>
  </si>
  <si>
    <t>3,4-DICHLOR0-1-BUTENE</t>
  </si>
  <si>
    <t>C4H6O</t>
  </si>
  <si>
    <t>2,5-DIHYDROFURAN</t>
  </si>
  <si>
    <t>DIVINYL ETHER</t>
  </si>
  <si>
    <t>METHACROLEIN</t>
  </si>
  <si>
    <t>C4H6O2</t>
  </si>
  <si>
    <t>2-BUTYNE-1,4-DIOL</t>
  </si>
  <si>
    <t>METHACRYLIC ACID</t>
  </si>
  <si>
    <t>METHYL ACRYLATE</t>
  </si>
  <si>
    <t>VINYL ACETATE</t>
  </si>
  <si>
    <t>C4H6O3</t>
  </si>
  <si>
    <t>ACETIC ANHYDRIDE</t>
  </si>
  <si>
    <t>SUCCINIC ACID</t>
  </si>
  <si>
    <t>C4H6O5</t>
  </si>
  <si>
    <t>DIGLYCOLIC ACID</t>
  </si>
  <si>
    <t>MALICACID</t>
  </si>
  <si>
    <t>TARTARIC ACID</t>
  </si>
  <si>
    <t>C4H7N</t>
  </si>
  <si>
    <t>ISOBUTYRONITRILE</t>
  </si>
  <si>
    <t>C4H7NO</t>
  </si>
  <si>
    <t>ACETONE CYANOHYDRIN</t>
  </si>
  <si>
    <t>2-METHACRYLAMIDE</t>
  </si>
  <si>
    <t>3-METHOXYPROPIONITRILE</t>
  </si>
  <si>
    <t>2-PYRROLIDONE</t>
  </si>
  <si>
    <t>C4H8</t>
  </si>
  <si>
    <t>1-BUTENE</t>
  </si>
  <si>
    <t>CYCLOBUTANE</t>
  </si>
  <si>
    <t>ISOBUTENE</t>
  </si>
  <si>
    <t>C4H8Br2</t>
  </si>
  <si>
    <t>1,2-DIBROMOBUTANE</t>
  </si>
  <si>
    <t>2,3-DIBROMOBUTANE</t>
  </si>
  <si>
    <t>C4H8Cl2</t>
  </si>
  <si>
    <t>1,4-DICHLOROBUTANE</t>
  </si>
  <si>
    <t>C4H8I2</t>
  </si>
  <si>
    <t>1,2-DIIODOBUTANE</t>
  </si>
  <si>
    <t>C4H8O</t>
  </si>
  <si>
    <t>ISOBUTYRALDEHYDE</t>
  </si>
  <si>
    <t>1,2-EPOXYBUTANE</t>
  </si>
  <si>
    <t>METHYL ETHYL KETONE</t>
  </si>
  <si>
    <t>ETHYL VINYL ETHER</t>
  </si>
  <si>
    <t>TETRAHYDROFURAN</t>
  </si>
  <si>
    <t>C4H8O2</t>
  </si>
  <si>
    <t>ISOBUTYRIC ACID</t>
  </si>
  <si>
    <t>1,4-DIOXANE</t>
  </si>
  <si>
    <t>ETHYL ACETATE</t>
  </si>
  <si>
    <t>METHYL PROPIONATE</t>
  </si>
  <si>
    <t>C4H8O2S</t>
  </si>
  <si>
    <t>SULFOLANE</t>
  </si>
  <si>
    <t>C4H8S</t>
  </si>
  <si>
    <t>TETRAHYDROTHIOPHENE</t>
  </si>
  <si>
    <t>C4H9Br</t>
  </si>
  <si>
    <t>1-BROMOBUTANE</t>
  </si>
  <si>
    <t>2-BROMOBUTANE</t>
  </si>
  <si>
    <t>C4H9I</t>
  </si>
  <si>
    <t>2-IOD0-2-METHYLPROPANE</t>
  </si>
  <si>
    <t>C4H9N</t>
  </si>
  <si>
    <t>PYRROLIDINE</t>
  </si>
  <si>
    <t>C4H9NO</t>
  </si>
  <si>
    <t>N,N-DIMETHYLACETAMIDE</t>
  </si>
  <si>
    <t>MORPHOLINE</t>
  </si>
  <si>
    <t>C4H9NO2</t>
  </si>
  <si>
    <t>1-NITROBUTANE</t>
  </si>
  <si>
    <t>2-NITROBUTANE</t>
  </si>
  <si>
    <t>C4H10</t>
  </si>
  <si>
    <t>ISOBUTANE</t>
  </si>
  <si>
    <t>C4H10N2</t>
  </si>
  <si>
    <t>PIPERAZINE</t>
  </si>
  <si>
    <t>C4H10O</t>
  </si>
  <si>
    <t>DIETHYL ETHER</t>
  </si>
  <si>
    <t>METHYL-PROPYL-ETHER</t>
  </si>
  <si>
    <t>METHYL ISOPROPYL ETHER</t>
  </si>
  <si>
    <t>ISOBUTANOL</t>
  </si>
  <si>
    <t>C4H10O2</t>
  </si>
  <si>
    <t>1,3-BUTANEDIOL</t>
  </si>
  <si>
    <t>1,4-BUTANEDIOL</t>
  </si>
  <si>
    <t>2,3-BUTANEDIOL</t>
  </si>
  <si>
    <t>I-BUTYL HYDROPEROXIDE</t>
  </si>
  <si>
    <t>1,2-DIMETHOXYETHANE</t>
  </si>
  <si>
    <t>2-ETHOXYETHANOL</t>
  </si>
  <si>
    <t>C4H10O3</t>
  </si>
  <si>
    <t>DIETHYLENE GLYCOL</t>
  </si>
  <si>
    <t>DIETHYL SULFATE</t>
  </si>
  <si>
    <t>C4H10S</t>
  </si>
  <si>
    <t>ISOBUTYL MERCAPTAN</t>
  </si>
  <si>
    <t>DIETHYL SULFIDE</t>
  </si>
  <si>
    <t>ISOPROPYL-METHYL-SULFIDE</t>
  </si>
  <si>
    <t>METHYL-PROPYL-SULFIDE</t>
  </si>
  <si>
    <t>C4H10S2</t>
  </si>
  <si>
    <t>DIETHYL DISULFIDE</t>
  </si>
  <si>
    <t>C4H11N</t>
  </si>
  <si>
    <t>ISOBUTYLAMINE</t>
  </si>
  <si>
    <t>DIETHYLAMINE</t>
  </si>
  <si>
    <t>C4H11NO</t>
  </si>
  <si>
    <t>DIMETHYLETHANOLAMINE</t>
  </si>
  <si>
    <t>C4H11NO2</t>
  </si>
  <si>
    <t>DIETHANOLAMINE</t>
  </si>
  <si>
    <t>2-AMINOETHOXYETHANOL</t>
  </si>
  <si>
    <t>C4H12N2O</t>
  </si>
  <si>
    <t>N-AMINOETHYL ETHANOLAMINE</t>
  </si>
  <si>
    <t>C4H12Si</t>
  </si>
  <si>
    <t>TETRAMETHYLSILANE</t>
  </si>
  <si>
    <t>C4H13N3</t>
  </si>
  <si>
    <t>DIETHYLENE TRIAMINE</t>
  </si>
  <si>
    <t>C5Cl6</t>
  </si>
  <si>
    <t>HEXACHLOROCYCLOPENTADIENE</t>
  </si>
  <si>
    <t>C5H4O2</t>
  </si>
  <si>
    <t>FURFURAL</t>
  </si>
  <si>
    <t>C5H5N</t>
  </si>
  <si>
    <t>PYRIDINE</t>
  </si>
  <si>
    <t>C5H6</t>
  </si>
  <si>
    <t>CYCLOPENTADIENE</t>
  </si>
  <si>
    <t>2-METHYL-1-BUTENE-3-YNE</t>
  </si>
  <si>
    <t>1-PENTENE-3-YNE</t>
  </si>
  <si>
    <t>1-PENTENE-4-YNE</t>
  </si>
  <si>
    <t>C5H6N2</t>
  </si>
  <si>
    <t>GLUTARONITRILE</t>
  </si>
  <si>
    <t>C5H6O2</t>
  </si>
  <si>
    <t>FURFURYL ALCOHOL</t>
  </si>
  <si>
    <t>GLUTARIC ANHYDRIDE</t>
  </si>
  <si>
    <t>CITRACONIC ACID</t>
  </si>
  <si>
    <t>ITACONIC ACID</t>
  </si>
  <si>
    <t>C5H6S</t>
  </si>
  <si>
    <t>2-METHYLTHIOPHENE</t>
  </si>
  <si>
    <t>3-METHYLTHIOPHENE</t>
  </si>
  <si>
    <t>C5H7N</t>
  </si>
  <si>
    <t>N-METHYLPYRROLE</t>
  </si>
  <si>
    <t>C5H7NO2</t>
  </si>
  <si>
    <t>ETHYLCYANOACETATE</t>
  </si>
  <si>
    <t>C5H8</t>
  </si>
  <si>
    <t>CYCLOPENTENE</t>
  </si>
  <si>
    <t>ISOPRENE</t>
  </si>
  <si>
    <t>3-METHYL-1,2-BUTADIENE</t>
  </si>
  <si>
    <t>2-METHYL-1,3-BUTADIENE</t>
  </si>
  <si>
    <t>1,2-PENTADIENE</t>
  </si>
  <si>
    <t>1,4-PENTADIENE</t>
  </si>
  <si>
    <t>2,3-PENTADIENE</t>
  </si>
  <si>
    <t>1-PENTYNE</t>
  </si>
  <si>
    <t>2-PENTYNE</t>
  </si>
  <si>
    <t>3-METHYL-1-BUTYNE</t>
  </si>
  <si>
    <t>SPIROPENTANE</t>
  </si>
  <si>
    <t>C5H8N4O12</t>
  </si>
  <si>
    <t>PENTAERYTHRITOL TETRANITRATE</t>
  </si>
  <si>
    <t>C5H8O</t>
  </si>
  <si>
    <t>CYCLOPENTANONE</t>
  </si>
  <si>
    <t>METHYL ISOPROPENYL KETONE</t>
  </si>
  <si>
    <t>C5H8O2</t>
  </si>
  <si>
    <t>ACETYLACETONE</t>
  </si>
  <si>
    <t>ALLYL ACETATE</t>
  </si>
  <si>
    <t>ETHYL ACRYLATE</t>
  </si>
  <si>
    <t>METHYL METHACRYLATE</t>
  </si>
  <si>
    <t>VINYL PROPIONATE</t>
  </si>
  <si>
    <t>C5H8O3</t>
  </si>
  <si>
    <t>2-HYDROXYETHYL ACRYLATE</t>
  </si>
  <si>
    <t>LEVULINIC ACID</t>
  </si>
  <si>
    <t>METHYLACETOACETATE</t>
  </si>
  <si>
    <t>GLUTARIC ACID</t>
  </si>
  <si>
    <t>C5H9N</t>
  </si>
  <si>
    <t>VALERONITRILE</t>
  </si>
  <si>
    <t>C5H9NO</t>
  </si>
  <si>
    <t>N-METHYL-2-PYRROLIDONE</t>
  </si>
  <si>
    <t>L-GLUTAMIC ACID</t>
  </si>
  <si>
    <t>C5H10</t>
  </si>
  <si>
    <t>CYCLOPENTANE</t>
  </si>
  <si>
    <t>2-METHYL-1-BUTENE</t>
  </si>
  <si>
    <t>2-METHYL-2-BUTENE</t>
  </si>
  <si>
    <t>3-METHYL-1-BUTENE</t>
  </si>
  <si>
    <t>1-PENTENE</t>
  </si>
  <si>
    <t>C5H10Br2</t>
  </si>
  <si>
    <t>2,3-DIBROMO-2-METHYLBUTANE</t>
  </si>
  <si>
    <t>C5H10Cl2</t>
  </si>
  <si>
    <t>1,5-DICHLOROPENTANE</t>
  </si>
  <si>
    <t>C5H10O</t>
  </si>
  <si>
    <t>METHYL ISOPROPYL KETONE</t>
  </si>
  <si>
    <t>2-PENTANONE</t>
  </si>
  <si>
    <t>DIETHYL KETONE</t>
  </si>
  <si>
    <t>VALERALDEHYDE</t>
  </si>
  <si>
    <t>C5H10O2</t>
  </si>
  <si>
    <t>ETHYL PROPIONATE</t>
  </si>
  <si>
    <t>ISOBUTYL FORMATE</t>
  </si>
  <si>
    <t>ISOPROPYL ACETATE</t>
  </si>
  <si>
    <t>2-METHYLBUTYRIC ACID</t>
  </si>
  <si>
    <t>ISOVALERIC ACID</t>
  </si>
  <si>
    <t>VALERIC ACID</t>
  </si>
  <si>
    <t>TETRAHYDROFURFURYLALCOHOL</t>
  </si>
  <si>
    <t>C5H10O2S</t>
  </si>
  <si>
    <t>3-METHYL SULFOLANE</t>
  </si>
  <si>
    <t>C5H10O3</t>
  </si>
  <si>
    <t>DIETHYL CARBONATE</t>
  </si>
  <si>
    <t>ETHYL LACTATE</t>
  </si>
  <si>
    <t>C5H10S</t>
  </si>
  <si>
    <t>THIACYCLOHEXANE</t>
  </si>
  <si>
    <t>CYCLOPENTANETHIOL</t>
  </si>
  <si>
    <t>C5H11Br</t>
  </si>
  <si>
    <t>1-BROMOPENTANE</t>
  </si>
  <si>
    <t>C5H11CI</t>
  </si>
  <si>
    <t>1-CHLOROPENTANE</t>
  </si>
  <si>
    <t>2-CHLORO-2-METHYLBUTANE</t>
  </si>
  <si>
    <t>C5H11N</t>
  </si>
  <si>
    <t>N-METHYLPYRROLIDINE</t>
  </si>
  <si>
    <t>PIPERIDINE</t>
  </si>
  <si>
    <t>C5H11NO</t>
  </si>
  <si>
    <t>C5H12</t>
  </si>
  <si>
    <t>ISOPENTANE</t>
  </si>
  <si>
    <t>NEOPENTANE</t>
  </si>
  <si>
    <t>C5H12O</t>
  </si>
  <si>
    <t>2,2-DIMETHYL-1-PROPANOL</t>
  </si>
  <si>
    <t>2-METHYL-1-BUTANOL</t>
  </si>
  <si>
    <t>2-METHYL-2-BUTANOL</t>
  </si>
  <si>
    <t>3-METHYL-1-BUTANOL</t>
  </si>
  <si>
    <t>3-METHYL-2-BUTANOL</t>
  </si>
  <si>
    <t>1-PENTANOL</t>
  </si>
  <si>
    <t>2-PENTANOL</t>
  </si>
  <si>
    <t>3-PENTANOL</t>
  </si>
  <si>
    <t>METHYL ISOBUTYL ETHER</t>
  </si>
  <si>
    <t>ETHYLPROPYLETHER</t>
  </si>
  <si>
    <t>C5H12O2</t>
  </si>
  <si>
    <t>ETHYLENE GLYCOL MONOPROPYL ETHER</t>
  </si>
  <si>
    <t>NEOPENTYL GLYCOL</t>
  </si>
  <si>
    <t>1,5-PENTANEDIOL</t>
  </si>
  <si>
    <t>C5H12O3</t>
  </si>
  <si>
    <t>2·(2-METHOXYETHOXY)ETHANOL</t>
  </si>
  <si>
    <t>PENTAERYTHRITOL</t>
  </si>
  <si>
    <t>C5H12S</t>
  </si>
  <si>
    <t>BUTYL-METHYL-SULFIDE</t>
  </si>
  <si>
    <t>ETHYL-PROPYL-SULFIDE</t>
  </si>
  <si>
    <t>2-METHYL-2-BUTANETHIOL</t>
  </si>
  <si>
    <t>C5H13N</t>
  </si>
  <si>
    <t>C6Cl6</t>
  </si>
  <si>
    <t>HEXACHLOROBENZENE</t>
  </si>
  <si>
    <t>C6F6</t>
  </si>
  <si>
    <t>HEXAFLUOROBENZENE</t>
  </si>
  <si>
    <t>C6H3Cl2NO2</t>
  </si>
  <si>
    <t>1,2-DICHLORO-4-NITROBENZENE</t>
  </si>
  <si>
    <t>C6H3Cl3</t>
  </si>
  <si>
    <t>1,2,4-TRICHLOROBENZENE</t>
  </si>
  <si>
    <t>1,3,5-TRINITROBENZENE</t>
  </si>
  <si>
    <t>C6H4Br2</t>
  </si>
  <si>
    <t>C6H4Cl2</t>
  </si>
  <si>
    <t>C6H4F2</t>
  </si>
  <si>
    <t>C6H5Br</t>
  </si>
  <si>
    <t>BROMOBENZENE</t>
  </si>
  <si>
    <t>MONOCHLOROBENZENE</t>
  </si>
  <si>
    <t>C6H5Cl2N</t>
  </si>
  <si>
    <t>3,4-DICHLOROANILINE</t>
  </si>
  <si>
    <t>C6H5F</t>
  </si>
  <si>
    <t>FLUOROBENZENE</t>
  </si>
  <si>
    <t>C6H5I</t>
  </si>
  <si>
    <t>IODOBENZENE</t>
  </si>
  <si>
    <t>C6H5NO2</t>
  </si>
  <si>
    <t>NITROBENZENE</t>
  </si>
  <si>
    <t>C6H6</t>
  </si>
  <si>
    <t>BENZENE</t>
  </si>
  <si>
    <t>C6H6N2</t>
  </si>
  <si>
    <t>1,4-DICYAN0-2-BUTENE</t>
  </si>
  <si>
    <t>C6H6N2O2</t>
  </si>
  <si>
    <t>C6H6O</t>
  </si>
  <si>
    <t>PHENOL</t>
  </si>
  <si>
    <t>C6H6O2</t>
  </si>
  <si>
    <t>1,2-BENZENEDIOL</t>
  </si>
  <si>
    <t>1,3-BENZENEDIOL</t>
  </si>
  <si>
    <t>C6H6O3</t>
  </si>
  <si>
    <t>1,2,3-BENZENETRIOL</t>
  </si>
  <si>
    <t>C6H6S</t>
  </si>
  <si>
    <t>PHENYL MERCAPTAN</t>
  </si>
  <si>
    <t>C6H7N</t>
  </si>
  <si>
    <t>ANILINE</t>
  </si>
  <si>
    <t>2-METHYLPYRIDINE</t>
  </si>
  <si>
    <t>3-METHYLPYRIDINE</t>
  </si>
  <si>
    <t>4-METHYLPYRIDINE</t>
  </si>
  <si>
    <t>C6H8</t>
  </si>
  <si>
    <t>1,3-CYCLOHEXADIENE</t>
  </si>
  <si>
    <t>METHYLCYCLOPENTADIENE</t>
  </si>
  <si>
    <t>C6H8N2</t>
  </si>
  <si>
    <t>ADIPONITRILE</t>
  </si>
  <si>
    <t>METHYLGLUTARONITRILE</t>
  </si>
  <si>
    <t>PHENYLHYDRAZINE</t>
  </si>
  <si>
    <t>C6H8N2O</t>
  </si>
  <si>
    <t>BIS(CYANOETHYL)ETHER</t>
  </si>
  <si>
    <t>DIMETHYL MALEATE</t>
  </si>
  <si>
    <t>ASCORBIC ACID</t>
  </si>
  <si>
    <t>C6H8O7</t>
  </si>
  <si>
    <t>CITRIC ACID</t>
  </si>
  <si>
    <t>C6H10</t>
  </si>
  <si>
    <t>1-METHYLCYCLOPENTENE</t>
  </si>
  <si>
    <t>3-METHYLCYCLOPENTENE</t>
  </si>
  <si>
    <t>4-METHYLCYCLOPENTENE</t>
  </si>
  <si>
    <t>CYCLOHEXENE</t>
  </si>
  <si>
    <t>2,3-DIMETHYL-1,3-BUTADIENE</t>
  </si>
  <si>
    <t>1,5-HEXADIENE</t>
  </si>
  <si>
    <t>1-HEXYNE</t>
  </si>
  <si>
    <t>2-HEXYNE</t>
  </si>
  <si>
    <t>3-HEXYNE</t>
  </si>
  <si>
    <t>C6H10O</t>
  </si>
  <si>
    <t>CYCLOHEXANONE</t>
  </si>
  <si>
    <t>MESITYL OXIDE</t>
  </si>
  <si>
    <t>C6H10O2</t>
  </si>
  <si>
    <t>ETHYL METHACRYLA TE</t>
  </si>
  <si>
    <t>C6H10O3</t>
  </si>
  <si>
    <t>ETHYLACETOACETATE</t>
  </si>
  <si>
    <t>PROPIONIC ANHYDRIDE</t>
  </si>
  <si>
    <t>ADIPICACID</t>
  </si>
  <si>
    <t>DIETHYL OXALATE</t>
  </si>
  <si>
    <t>ETHYLENE GLYCOL DIACETATE</t>
  </si>
  <si>
    <t>ETHYLIDENE DIACETATE</t>
  </si>
  <si>
    <t>C6H11N</t>
  </si>
  <si>
    <t>HEXANENITRILE</t>
  </si>
  <si>
    <t>C6H11NO</t>
  </si>
  <si>
    <t>CYCLOHEXANONE OXIME</t>
  </si>
  <si>
    <t>C6H12</t>
  </si>
  <si>
    <t>CYCLOHEXANE</t>
  </si>
  <si>
    <t>2,3-DIMETHYL-1-BUTENE</t>
  </si>
  <si>
    <t>2,3-DIMETHYL-2-BUTENE</t>
  </si>
  <si>
    <t>3,3-DIMETHYL-1-BUTENE</t>
  </si>
  <si>
    <t>2-ETHYL-1-BUTENE</t>
  </si>
  <si>
    <t>1-HEXENE</t>
  </si>
  <si>
    <t>METHYLCYCLOPENTANE</t>
  </si>
  <si>
    <t>2-METHYL-1-PENTENE</t>
  </si>
  <si>
    <t>2-METHYL-2-PENTENE</t>
  </si>
  <si>
    <t>3-METHYL-1-PENTENE</t>
  </si>
  <si>
    <t>4-METHYL-1-PENTENE</t>
  </si>
  <si>
    <t>C6H12N2</t>
  </si>
  <si>
    <t>TRIETHYLENEDIAMINE</t>
  </si>
  <si>
    <t>C6H12O</t>
  </si>
  <si>
    <t>BUTYL VINYL ETHER</t>
  </si>
  <si>
    <t>CYCLOHEXANOL</t>
  </si>
  <si>
    <t>1-HEXANAL</t>
  </si>
  <si>
    <t>ETHYL ISOPROPYL KETONE</t>
  </si>
  <si>
    <t>2-HEXANONE</t>
  </si>
  <si>
    <t>3-HEXANONE</t>
  </si>
  <si>
    <t>METHYL ISOBUTYL KETONE</t>
  </si>
  <si>
    <t>C6H12O2</t>
  </si>
  <si>
    <t>ETHYL ISOBUTYRATE</t>
  </si>
  <si>
    <t>ISOBUTYL ACETATE</t>
  </si>
  <si>
    <t>CYCLOHEXYL PEROXIDE</t>
  </si>
  <si>
    <t>DIACETONE ALCOHOL</t>
  </si>
  <si>
    <t>2-ETHYL BUTYRIC ACID</t>
  </si>
  <si>
    <t>C6H12O3</t>
  </si>
  <si>
    <t>2-ETHOXYETHYL ACETATE</t>
  </si>
  <si>
    <t>HYDROXYCAPROIC ACID</t>
  </si>
  <si>
    <t>PARALDEHYDE</t>
  </si>
  <si>
    <t>C6H12S</t>
  </si>
  <si>
    <t>THIACYCLOHEPTANE</t>
  </si>
  <si>
    <t>C6H13N</t>
  </si>
  <si>
    <t>CYCLOHEXYLAMINE</t>
  </si>
  <si>
    <t>HEXAMETHYLENEIMINE</t>
  </si>
  <si>
    <t>C6H14</t>
  </si>
  <si>
    <t>2,2-DIMETHYLBUTANE</t>
  </si>
  <si>
    <t>2,3-DIMETHYLBUTANE</t>
  </si>
  <si>
    <t>2-METHYLPENTANE</t>
  </si>
  <si>
    <t>C6H14N2O2</t>
  </si>
  <si>
    <t>LYSINE</t>
  </si>
  <si>
    <t>C6H14O</t>
  </si>
  <si>
    <t>2-ETHYL-1-BUTANOL</t>
  </si>
  <si>
    <t>1-HEXANOL</t>
  </si>
  <si>
    <t>2-HEXANOL</t>
  </si>
  <si>
    <t>2-METHYL-1-PENTANOL</t>
  </si>
  <si>
    <t>4-METHYL-2-PENTANOL</t>
  </si>
  <si>
    <t>DIISOPROPYL ETHER</t>
  </si>
  <si>
    <t>C6H14O2</t>
  </si>
  <si>
    <t>ACETAL</t>
  </si>
  <si>
    <t>2-BUTOXYETHANOL</t>
  </si>
  <si>
    <t>1,6-HEXANEDIOL</t>
  </si>
  <si>
    <t>C6H14O2S</t>
  </si>
  <si>
    <t>C6H14O3</t>
  </si>
  <si>
    <t>DIETHYLENE GLYCOL DIMETHYL ETHER</t>
  </si>
  <si>
    <t>DIPROPYLENE GLYCOL</t>
  </si>
  <si>
    <t>TRIMETHYLOLPROPANE</t>
  </si>
  <si>
    <t>SORBITOL</t>
  </si>
  <si>
    <t>C6H14S</t>
  </si>
  <si>
    <t>BUTYL-ETHYL-SULFIDE</t>
  </si>
  <si>
    <t>ISOPROPYL-SULFIDE</t>
  </si>
  <si>
    <t>METHYL-PENTYL-SULFIDE</t>
  </si>
  <si>
    <t>PROPYL-SULFIDE</t>
  </si>
  <si>
    <t>C6H14S2</t>
  </si>
  <si>
    <t>PROPYL-DISULFIDE</t>
  </si>
  <si>
    <t>C6H15N</t>
  </si>
  <si>
    <t>DIISOPROPYLAMINE</t>
  </si>
  <si>
    <t>TRIETHYLAMINE</t>
  </si>
  <si>
    <t>C6H15NO</t>
  </si>
  <si>
    <t>6-AMINOHEXANOL</t>
  </si>
  <si>
    <t>C6H15NO2</t>
  </si>
  <si>
    <t>DIISOPROPANOLAMINE</t>
  </si>
  <si>
    <t>C6H15NO3</t>
  </si>
  <si>
    <t>TRIETHANOLAMINE</t>
  </si>
  <si>
    <t>C6H15N3</t>
  </si>
  <si>
    <t>N-AMINOETHYL PIPERAZINE</t>
  </si>
  <si>
    <t>C6H16N2</t>
  </si>
  <si>
    <t>HEXAMETHYLENEDIAMINE</t>
  </si>
  <si>
    <t>C6H18N4</t>
  </si>
  <si>
    <t>TRIETHYLENE TETRAMINE</t>
  </si>
  <si>
    <t>C6H18O3Si3</t>
  </si>
  <si>
    <t>HEXAMETHYLCYCLOTRISILOXANE</t>
  </si>
  <si>
    <t>C6H19NSi2</t>
  </si>
  <si>
    <t>HEXAMETHYLDISILAZANE</t>
  </si>
  <si>
    <t>4-CHLOR0-3-NITROBENZOTRIFLUORIDE</t>
  </si>
  <si>
    <t>C7H3Cl2F3</t>
  </si>
  <si>
    <t>2,4-DICHLOROBENZOTRIFLUORIDE</t>
  </si>
  <si>
    <t>C7H3Cl2NO</t>
  </si>
  <si>
    <t>3,4-DICHLOROPHENYL ISOCYANATE</t>
  </si>
  <si>
    <t>C7H4Cl2O</t>
  </si>
  <si>
    <t>C7H4F3NO2</t>
  </si>
  <si>
    <t>3-NITROBENZOTRIFLUORIDE</t>
  </si>
  <si>
    <t>C7H5Cl3</t>
  </si>
  <si>
    <t>BENZOTRICHLORIDE</t>
  </si>
  <si>
    <t>C7H5F3</t>
  </si>
  <si>
    <t>BENZOTRIFLUORIDE</t>
  </si>
  <si>
    <t>C7H5N</t>
  </si>
  <si>
    <t>BENZONITRILE</t>
  </si>
  <si>
    <t>2,4,6-TRINITROTOLUENE</t>
  </si>
  <si>
    <t>C7H6Cl2</t>
  </si>
  <si>
    <t>BENZYL DICHLORIDE</t>
  </si>
  <si>
    <t>2,4-DICHLOROTOLUENE</t>
  </si>
  <si>
    <t>2,4-DINITROTOLUENE</t>
  </si>
  <si>
    <t>2,5-DINITROTOLUENE</t>
  </si>
  <si>
    <t>2,6-DINITROTOLUENE</t>
  </si>
  <si>
    <t>3,4-DINITROTOLUENE</t>
  </si>
  <si>
    <t>3,5-DINITROTOLUENE</t>
  </si>
  <si>
    <t>C7H6O</t>
  </si>
  <si>
    <t>BENZALDEHYDE</t>
  </si>
  <si>
    <t>C7H6O2</t>
  </si>
  <si>
    <t>SALICYLALDEHYDE</t>
  </si>
  <si>
    <t>C7H7Br</t>
  </si>
  <si>
    <t>BENZVL CHLORIDE</t>
  </si>
  <si>
    <t>C7H7NO</t>
  </si>
  <si>
    <t>FORMANILIDE</t>
  </si>
  <si>
    <t>C7H7NO2</t>
  </si>
  <si>
    <t>C7H7NO3</t>
  </si>
  <si>
    <t>C7H8</t>
  </si>
  <si>
    <t>TOLUENE</t>
  </si>
  <si>
    <t>1,3,5-CYCLOHEPTATRIENE</t>
  </si>
  <si>
    <t>C7H8O</t>
  </si>
  <si>
    <t>ANISOLE</t>
  </si>
  <si>
    <t>BENZYL ALCOHOL</t>
  </si>
  <si>
    <t>C7H8O2</t>
  </si>
  <si>
    <t>GUAIACOL</t>
  </si>
  <si>
    <t>C7H9N</t>
  </si>
  <si>
    <t>BENZYLAMINE</t>
  </si>
  <si>
    <t>2,6-DIMETHYLPYRIDINE</t>
  </si>
  <si>
    <t>N-METHYLANILINE</t>
  </si>
  <si>
    <t>C7H10</t>
  </si>
  <si>
    <t>2-NORBORNENE</t>
  </si>
  <si>
    <t>C7H10N2</t>
  </si>
  <si>
    <t>TOLUENEDIAMINE</t>
  </si>
  <si>
    <t>C7H11NO</t>
  </si>
  <si>
    <t>CYCLOHEXYLISOCYANATE</t>
  </si>
  <si>
    <t>C7H12</t>
  </si>
  <si>
    <t>1-HEPTYNE</t>
  </si>
  <si>
    <t>C7H12O2</t>
  </si>
  <si>
    <t>ISOBUTYL ACRYLATE</t>
  </si>
  <si>
    <t>DIETHYL MALONATE</t>
  </si>
  <si>
    <t>C8H10</t>
  </si>
  <si>
    <t>C8H10O</t>
  </si>
  <si>
    <t>PHENETOLE</t>
  </si>
  <si>
    <t>2-PHENYLETHANOL</t>
  </si>
  <si>
    <t>2,3-XYLENOL</t>
  </si>
  <si>
    <t>2,4-XYLENOL</t>
  </si>
  <si>
    <t>2,5-XYLENOL</t>
  </si>
  <si>
    <t>2,6-XYLENOL</t>
  </si>
  <si>
    <t>3,4-XYLENOL</t>
  </si>
  <si>
    <t>3,5-XYLENOL</t>
  </si>
  <si>
    <t>C8H11N</t>
  </si>
  <si>
    <t>N,N-DIMETHYLANILINE</t>
  </si>
  <si>
    <t>2,4,6-TRIMETHYLPYRIDINE</t>
  </si>
  <si>
    <t>C8H11NO</t>
  </si>
  <si>
    <t>C8H12</t>
  </si>
  <si>
    <t>1,5-CYCLOOCTADIENE</t>
  </si>
  <si>
    <t>VINYLCYCLOHEXENE</t>
  </si>
  <si>
    <t>1,4-CYCLOHEXANEDICARBOXYLIC ACID</t>
  </si>
  <si>
    <t>DIETHYL MALEATE</t>
  </si>
  <si>
    <t>C8H14O2</t>
  </si>
  <si>
    <t>C8H14O3</t>
  </si>
  <si>
    <t>BUTYRIC ANHYDRIDE</t>
  </si>
  <si>
    <t>DIETHYL SUCCINATE</t>
  </si>
  <si>
    <t>C8H16</t>
  </si>
  <si>
    <t>CYCLOOCTANE</t>
  </si>
  <si>
    <t>1,1-DIMETHYLCYCLOHEXANE</t>
  </si>
  <si>
    <t>ETHYLCYCLOHEXANE</t>
  </si>
  <si>
    <t>2-ETHYL-1-HEXENE</t>
  </si>
  <si>
    <t>1-METHYL-1-ETHYLCYCLOPENTANE</t>
  </si>
  <si>
    <t>1-OCTENE</t>
  </si>
  <si>
    <t>2,4,4-TRIMETHYL-1-PENTENE</t>
  </si>
  <si>
    <t>2,4,4-TRIMETHYL-2-PENTENE</t>
  </si>
  <si>
    <t>C8H16O</t>
  </si>
  <si>
    <t>2-ETHYLHEXANAL</t>
  </si>
  <si>
    <t>1-OCTANAL</t>
  </si>
  <si>
    <t>2-OCTANONE</t>
  </si>
  <si>
    <t>C8H16O2</t>
  </si>
  <si>
    <t>ISOBUTYL ISOBUTYRATE</t>
  </si>
  <si>
    <t>DIETHYLENE GLYCOL ETHYL ETHER ACETATE</t>
  </si>
  <si>
    <t>C8H18</t>
  </si>
  <si>
    <t>2,2-DIMETHYLHEXANE</t>
  </si>
  <si>
    <t>2,3-DIMETHYLHEXANE</t>
  </si>
  <si>
    <t>2,4-DIMETHYLHEXANE</t>
  </si>
  <si>
    <t>2,5-DIMETHYLHEXANE</t>
  </si>
  <si>
    <t>3,3-DIMETHYLHEXANE</t>
  </si>
  <si>
    <t>3,4-DIMETHYLHEXANE</t>
  </si>
  <si>
    <t>3-ETHYLHEXANE</t>
  </si>
  <si>
    <t>3-ETHYL-2-METHYLPENTANE</t>
  </si>
  <si>
    <t>3-METHYL-3-ETHYLPENTANE</t>
  </si>
  <si>
    <t>2-METHYLHEPTANE</t>
  </si>
  <si>
    <t>3-METHYLHEPTANE</t>
  </si>
  <si>
    <t>4-METHYLHEPTANE</t>
  </si>
  <si>
    <t>2,2,3-TRIMETHYLPENTANE</t>
  </si>
  <si>
    <t>2,2,4-TRIMETHYLPENTANE</t>
  </si>
  <si>
    <t>2,3,3-TRIMETHYLPENTANE</t>
  </si>
  <si>
    <t>2,3,4-TRIMETHYLPENTANE</t>
  </si>
  <si>
    <t>2,2,3,3-TETRAMETHYLBUTANE</t>
  </si>
  <si>
    <t>C8H18O</t>
  </si>
  <si>
    <t>2-ETHYL-1-HEXANOL</t>
  </si>
  <si>
    <t>1-OCTANOL</t>
  </si>
  <si>
    <t>2-OCTANOL</t>
  </si>
  <si>
    <t>C8H18O2</t>
  </si>
  <si>
    <t>DI-I-BUTYL PEROXIDE</t>
  </si>
  <si>
    <t>C8H18O2S</t>
  </si>
  <si>
    <t>C8H18O3</t>
  </si>
  <si>
    <t>DIETHYLENE GLYCOL DIETHYL ETHER</t>
  </si>
  <si>
    <t>DIETHYLENE GLYCOL MONOBUTYL EHTER</t>
  </si>
  <si>
    <t>TRIETHYLENE GLYCOL DIMETHYL ETHER</t>
  </si>
  <si>
    <t>C8H18O5</t>
  </si>
  <si>
    <t>TETRAETHYLENE GLYCOL</t>
  </si>
  <si>
    <t>C9H20</t>
  </si>
  <si>
    <t>2,3,5-TRIMETHYLHEXANE</t>
  </si>
  <si>
    <t>2,4,4-TRIMETHYLHEXANE</t>
  </si>
  <si>
    <t>3,3,4-TRIMETHYLHEXANE</t>
  </si>
  <si>
    <t>2-METHYLOCTANE</t>
  </si>
  <si>
    <t>3-METHYLOCTANE</t>
  </si>
  <si>
    <t>4-METHYLOCTANE</t>
  </si>
  <si>
    <t>2,2,3,3-TETRAMETHYLPENTANE</t>
  </si>
  <si>
    <t>2,2,3,4-TETRAMETHYLPENTANE</t>
  </si>
  <si>
    <t>2,2,4,4-TETRAMETHYLPENTANE</t>
  </si>
  <si>
    <t>2,3,3,4-TETRAMETHYLPENTANE</t>
  </si>
  <si>
    <t>2,2,5-TRIMETHYLHEXANE</t>
  </si>
  <si>
    <t>C9H20O</t>
  </si>
  <si>
    <t>2,6-DIMETHYL-4-HEPTANOL</t>
  </si>
  <si>
    <t>1-NONANOL</t>
  </si>
  <si>
    <t>2-NONANOL</t>
  </si>
  <si>
    <t>C9H20S</t>
  </si>
  <si>
    <t>BUTYL-PENTYL-SULFIDE</t>
  </si>
  <si>
    <t>ETHYL-HEPTYL-SULFIDE</t>
  </si>
  <si>
    <t>HEXYL-PROPYL-SULFIDE</t>
  </si>
  <si>
    <t>METHYL-OCTYL-SULFIDE</t>
  </si>
  <si>
    <t>C9H21N</t>
  </si>
  <si>
    <t>TRIPROPYLAMINE</t>
  </si>
  <si>
    <t>C10H6O8</t>
  </si>
  <si>
    <t>PYROMELLITIC ACID</t>
  </si>
  <si>
    <t>C10H7Br</t>
  </si>
  <si>
    <t>1-BROMONAPHTHALENE</t>
  </si>
  <si>
    <t>C10H7CI</t>
  </si>
  <si>
    <t>1-CHLORONAPHTHALENE</t>
  </si>
  <si>
    <t>C10H8</t>
  </si>
  <si>
    <t>NAPHTHALENE</t>
  </si>
  <si>
    <t>AZULENE</t>
  </si>
  <si>
    <t>C10H9N</t>
  </si>
  <si>
    <t>QUINALDINE</t>
  </si>
  <si>
    <t>C10H10</t>
  </si>
  <si>
    <t>1-METHYLINDENE</t>
  </si>
  <si>
    <t>2-METHYLINDENE</t>
  </si>
  <si>
    <t>DIMETHYL TEREPHTHALATE</t>
  </si>
  <si>
    <t>C10H12</t>
  </si>
  <si>
    <t>DICYCLOPENTADIENE</t>
  </si>
  <si>
    <t>1,2,3,4-TETRAHYDRONAPHTHALENE</t>
  </si>
  <si>
    <t>C10H12O</t>
  </si>
  <si>
    <t>ANETHOLE</t>
  </si>
  <si>
    <t>DIALLYL MALEATE</t>
  </si>
  <si>
    <t>C10H14</t>
  </si>
  <si>
    <t>1,2,3,4-TETRAMETHYLBENZENE</t>
  </si>
  <si>
    <t>ISOBUTYLBENZENE</t>
  </si>
  <si>
    <t>1,2,3,5-TETRAMETHYLBENZENE</t>
  </si>
  <si>
    <t>C10H14O</t>
  </si>
  <si>
    <t>C10H14O2</t>
  </si>
  <si>
    <t>C10H15N</t>
  </si>
  <si>
    <t>N,N-DIETYHLANILINE</t>
  </si>
  <si>
    <t>C10H16</t>
  </si>
  <si>
    <t>CAMPHENE</t>
  </si>
  <si>
    <t>D-LIMONENE</t>
  </si>
  <si>
    <t>C10H16O</t>
  </si>
  <si>
    <t>CAMPHOR</t>
  </si>
  <si>
    <t>C10H18</t>
  </si>
  <si>
    <t>1-DECYNE</t>
  </si>
  <si>
    <t>SEBACIC ACID</t>
  </si>
  <si>
    <t>C10H20</t>
  </si>
  <si>
    <t>1-CYCLOPENTYLPENTANE</t>
  </si>
  <si>
    <t>1-DECENE</t>
  </si>
  <si>
    <t>C10H20O</t>
  </si>
  <si>
    <t>1-DECANAL</t>
  </si>
  <si>
    <t>C10H20O2</t>
  </si>
  <si>
    <t>2-ETHYLHEXYL ACETATE</t>
  </si>
  <si>
    <t>ISOPENTYL ISOVALERATE</t>
  </si>
  <si>
    <t>C10H22</t>
  </si>
  <si>
    <t>2-METHYLNONANE</t>
  </si>
  <si>
    <t>3-METHYLNONANE</t>
  </si>
  <si>
    <t>4-METHYLNONANE</t>
  </si>
  <si>
    <t>5-METHYLNONANE</t>
  </si>
  <si>
    <t>3-ETHYLOCTANE</t>
  </si>
  <si>
    <t>4-ETHYLOCTANE</t>
  </si>
  <si>
    <t>2,2-DIMETHYLOCTANE</t>
  </si>
  <si>
    <t>2,3-DIMETHYLOCTANE</t>
  </si>
  <si>
    <t>2,4-DIMETHYLOCTANE</t>
  </si>
  <si>
    <t>2,5-DIMETHYLOCTANE</t>
  </si>
  <si>
    <t>2,6-DIMETHYLOCTANE</t>
  </si>
  <si>
    <t>2,7-DIMETHYLOCTANE</t>
  </si>
  <si>
    <t>3,3-DIMETHYLOCTANE</t>
  </si>
  <si>
    <t>3,4-DIMETHYLOCTANE</t>
  </si>
  <si>
    <t>3,5-DIMETHYLOCTANE</t>
  </si>
  <si>
    <t>3,6-DIMETHYLOCTANE</t>
  </si>
  <si>
    <t>4,4-DIMETHYLOCTANE</t>
  </si>
  <si>
    <t>4,5-DIMETHYLOCTANE</t>
  </si>
  <si>
    <t>4-PROPYLHEPTANE</t>
  </si>
  <si>
    <t>4-ISOPROPYLHEPTANE</t>
  </si>
  <si>
    <t>3-ETHYL-2-METHYLHEPTANE</t>
  </si>
  <si>
    <t>4-ETHYL-2-METHYLHEPTANE</t>
  </si>
  <si>
    <t>5-ETHYL-2-METHYLHEPTANE</t>
  </si>
  <si>
    <t>3-ETHYL-3-METHYLHEPTANE</t>
  </si>
  <si>
    <t>4-ETHYL-3-METHYLHEPTANE</t>
  </si>
  <si>
    <t>3-ETHYL-5-METHYLHEPTANE</t>
  </si>
  <si>
    <t>3-ETHYL-4-METHYLHEPTANE</t>
  </si>
  <si>
    <t>4-ETHYL-4-METHYLHEPTANE</t>
  </si>
  <si>
    <t>2,2,3-TRIMETHYLHEPTANE</t>
  </si>
  <si>
    <t>2,2,4-TRIMETHYLHEPTANE</t>
  </si>
  <si>
    <t>2,2,5-TRIMETHYLHEPTANE</t>
  </si>
  <si>
    <t>2,2,6-TRIMETHYLHEPTANE</t>
  </si>
  <si>
    <t>2,3,3-TRIMETHYLHEPTANE</t>
  </si>
  <si>
    <t>2,3,4-TRIMETHYLHEPTANE</t>
  </si>
  <si>
    <t>2,3,5-TRIMETHYLHEPTANE</t>
  </si>
  <si>
    <t>2,3,6-TRIMETHYLHEPTANE</t>
  </si>
  <si>
    <t>2,4,4-TRIMETHYLHEPTANE</t>
  </si>
  <si>
    <t>2,4,5-TRIMETHYLHEPTANE</t>
  </si>
  <si>
    <t>2,4,6-TRIMETHYLHEPTANE</t>
  </si>
  <si>
    <t>2,5,5-TRIMETHYLHEPTANE</t>
  </si>
  <si>
    <t>3,3,4-TRIMETHYLHEPTANE</t>
  </si>
  <si>
    <t>3,3,5-TRIMETHYLHEPTANE</t>
  </si>
  <si>
    <t>3,4,4-TRIMETHYLHEPTANE</t>
  </si>
  <si>
    <t>3,4,5-TRIMETHYLHEPTANE</t>
  </si>
  <si>
    <t>3-ISOPROPYL-2-METHYLHEXANE</t>
  </si>
  <si>
    <t>3,3-DIETHYLHEXANE</t>
  </si>
  <si>
    <t>3,4-DIETHYLHEXANE</t>
  </si>
  <si>
    <t>3-ETHYL-2,2-DIMETHYLHEXANE</t>
  </si>
  <si>
    <t>4-ETHYL-2,2-DIMETHYLHEXANE</t>
  </si>
  <si>
    <t>3-ETHYL-2,3-DIMETHYLHEXANE</t>
  </si>
  <si>
    <t>4-ETHYL-2,3-DIMETHYLHEXANE</t>
  </si>
  <si>
    <t>3-ETHYL-2,4-DIMETHYLHEXANE</t>
  </si>
  <si>
    <t>4-ETHYL-2,4-DIMETHYLHEXANE</t>
  </si>
  <si>
    <t>3-ETHYL-2,5-DIMETHYLHEXANE</t>
  </si>
  <si>
    <t>4-ETHYL-3,3-DIMETHYLHEXANE</t>
  </si>
  <si>
    <t>3-ETHYL-3,4-DIMETHYLHEXANE</t>
  </si>
  <si>
    <t>2,2,3,3-TETRAMETHYLHEXANE</t>
  </si>
  <si>
    <t>2,2,3,4-TETRAMETHYLHEXANE</t>
  </si>
  <si>
    <t>2,2,3,5-TETRAMETHYLHEXANE</t>
  </si>
  <si>
    <t>2,2,4,4-TETRAMETHYLHEXANE</t>
  </si>
  <si>
    <t>2,2,4,5-TETRAMETHYLHEXANE</t>
  </si>
  <si>
    <t>2,2,5,5-TETRAMETHYLHEXANE</t>
  </si>
  <si>
    <t>2,3,3,4-TETRAMETHYLHEXANE</t>
  </si>
  <si>
    <t>2,3,3,5-TETRAMETHYLHEXANE</t>
  </si>
  <si>
    <t>2,3,4,4-TETRAMETHYLHEXANE</t>
  </si>
  <si>
    <t>2,3,4,5-TETRAMETHYLHEXANE</t>
  </si>
  <si>
    <t>3,3,4,4-TETRAMETHYLHEXANE</t>
  </si>
  <si>
    <t>2,4-DIMETHYL-3-ISOPROPYLPENTANE</t>
  </si>
  <si>
    <t>3,3-DIETHYL-2-METHYLPENTANE</t>
  </si>
  <si>
    <t>3-ETHYL-2,2,3-TRIMETHYLPENTANE</t>
  </si>
  <si>
    <t>3-ETHYL-2,2,4-TRIMETHYLPENTANE</t>
  </si>
  <si>
    <t>3-ETHYL-2,3,4-TRIMETHYLPENTANE</t>
  </si>
  <si>
    <t>2,2,3,3,4-PENTAMETHYLPENTANE</t>
  </si>
  <si>
    <t>2,2,3,4,4-PENTAMETHYLPENTANE</t>
  </si>
  <si>
    <t>C10H22O</t>
  </si>
  <si>
    <t>1-DECANOL</t>
  </si>
  <si>
    <t>ISODECANOL</t>
  </si>
  <si>
    <t>C10H22O5</t>
  </si>
  <si>
    <t>TETRAETHYLENE GLYCOL DIMETHYL ETHER</t>
  </si>
  <si>
    <t>C10H22S</t>
  </si>
  <si>
    <t>BUTYL-HEXYL-SULFIDE</t>
  </si>
  <si>
    <t>ETHYL-OCTYL-SULFIDE</t>
  </si>
  <si>
    <t>HEPTYL-PROPYL-SULFIDE</t>
  </si>
  <si>
    <t>METHYL-NONYL-SULFIDE</t>
  </si>
  <si>
    <t>PENTYL-SULFIDE</t>
  </si>
  <si>
    <t>C10H22S2</t>
  </si>
  <si>
    <t>PENTYL-DISULFIDE</t>
  </si>
  <si>
    <t>C10H23N</t>
  </si>
  <si>
    <t>C11H10</t>
  </si>
  <si>
    <t>1-METHYLNAPHTHALENE</t>
  </si>
  <si>
    <t>2-METHYLNAPHTHALENE</t>
  </si>
  <si>
    <t>C11H14O2</t>
  </si>
  <si>
    <t>C11H16</t>
  </si>
  <si>
    <t>C11H16O</t>
  </si>
  <si>
    <t>C11H20</t>
  </si>
  <si>
    <t>1-UNDECYNE</t>
  </si>
  <si>
    <t>C11H20O2</t>
  </si>
  <si>
    <t>2-ETHYLHEXYL ACRYLATE</t>
  </si>
  <si>
    <t>C11H22</t>
  </si>
  <si>
    <t>1-UNDECENE</t>
  </si>
  <si>
    <t>1-CYCLOPENTYLHEXANE</t>
  </si>
  <si>
    <t>PENTYLCYCLOHEXANE</t>
  </si>
  <si>
    <t>C11H22O</t>
  </si>
  <si>
    <t>1-UNDECANAL</t>
  </si>
  <si>
    <t>C11H24</t>
  </si>
  <si>
    <t>C11H24O</t>
  </si>
  <si>
    <t>1-UNDECANOL</t>
  </si>
  <si>
    <t>C11H24S</t>
  </si>
  <si>
    <t>UNDECYL MERCAPTAN</t>
  </si>
  <si>
    <t>BUTYL-HEPTYL-SULFIDE</t>
  </si>
  <si>
    <t>DECYL-METHYL-SULFIDE</t>
  </si>
  <si>
    <t>ETHYL-NONYL-SULFIDE</t>
  </si>
  <si>
    <t>OCTYL-PROPYL-SULFIDE</t>
  </si>
  <si>
    <t>C12H8O</t>
  </si>
  <si>
    <t>DIBENZOFURAN</t>
  </si>
  <si>
    <t>C12H9N</t>
  </si>
  <si>
    <t>DIBENZOPYRROLE</t>
  </si>
  <si>
    <t>C12H10</t>
  </si>
  <si>
    <t>ACENAPHTHENE</t>
  </si>
  <si>
    <t>BIPHENYL</t>
  </si>
  <si>
    <t>C12H10O</t>
  </si>
  <si>
    <t>DIPHENYL ETHER</t>
  </si>
  <si>
    <t>C12H11N</t>
  </si>
  <si>
    <t>DIPHENYLAMINE</t>
  </si>
  <si>
    <t>C12H11N3</t>
  </si>
  <si>
    <t>1,3-DIPHENYL TRIAZENE</t>
  </si>
  <si>
    <t>C12H12</t>
  </si>
  <si>
    <t>1,2-DIMETHYLNAPHTHALENE</t>
  </si>
  <si>
    <t>1,3-DIMETHYLNAPHTHALENE</t>
  </si>
  <si>
    <t>1,4-DIMETHYLNAPHTHALENE</t>
  </si>
  <si>
    <t>1,5-DIMETHYLNAPHTHALENE</t>
  </si>
  <si>
    <t>1,6-DIMETHYLNAPHTHALENE</t>
  </si>
  <si>
    <t>2,3-DIMETHYLNAPHTHALENE</t>
  </si>
  <si>
    <t>2,6-DIMETHYLNAPHTHALENE</t>
  </si>
  <si>
    <t>2,7-DIMETHYLNAPHTHALENE</t>
  </si>
  <si>
    <t>1-ETHYLNAPHTHALENE</t>
  </si>
  <si>
    <t>2-ETHYLNAPHTHALENE</t>
  </si>
  <si>
    <t>C12H12N2</t>
  </si>
  <si>
    <t>HYDRAZOBENZENE</t>
  </si>
  <si>
    <t>C12H14</t>
  </si>
  <si>
    <t>1,2,3-TRIMETHYLINDENE</t>
  </si>
  <si>
    <t>DIETHYL PHTHALATE</t>
  </si>
  <si>
    <t>C12H16</t>
  </si>
  <si>
    <t>CYCLOHEXYLBENZENE</t>
  </si>
  <si>
    <t>C12H18</t>
  </si>
  <si>
    <t>1,2,3-TRIETHYLBENZENE</t>
  </si>
  <si>
    <t>1,2,4-TRIETHYLBENZENE</t>
  </si>
  <si>
    <t>1,3,5-TRIETHYLBENZENE</t>
  </si>
  <si>
    <t>HEXAMETHYLBENZENE</t>
  </si>
  <si>
    <t>DIBUTYL MALEATE</t>
  </si>
  <si>
    <t>C12H22</t>
  </si>
  <si>
    <t>BICYCLOHEXYL</t>
  </si>
  <si>
    <t>1-DODECYNE</t>
  </si>
  <si>
    <t>C12H23N</t>
  </si>
  <si>
    <t>DICYCLOHEXYLAMINE</t>
  </si>
  <si>
    <t>C12H24</t>
  </si>
  <si>
    <t>1-DODECENE</t>
  </si>
  <si>
    <t>1-CYCLOPENTYLHEPTANE</t>
  </si>
  <si>
    <t>1-CYCLOHEXYLHEXANE</t>
  </si>
  <si>
    <t>C12H24O2</t>
  </si>
  <si>
    <t>C12H26</t>
  </si>
  <si>
    <t>C12H26O</t>
  </si>
  <si>
    <t>1-DODECANOL</t>
  </si>
  <si>
    <t>C12H26O3</t>
  </si>
  <si>
    <t>C12H26S</t>
  </si>
  <si>
    <t>BUTYL-OCTYL-SULFIDE</t>
  </si>
  <si>
    <t>DECYL-ETHYL-SULFIDE</t>
  </si>
  <si>
    <t>HEXYL-SULFIDE</t>
  </si>
  <si>
    <t>METHYL-UNDECYL-SULFIDE</t>
  </si>
  <si>
    <t>NONYL-PROPYL-SULFIDE</t>
  </si>
  <si>
    <t>C12H26S2</t>
  </si>
  <si>
    <t>HEXYL-DISULFIDE</t>
  </si>
  <si>
    <t>C12H27N</t>
  </si>
  <si>
    <t>DODECYLAMINE</t>
  </si>
  <si>
    <t>C13H10</t>
  </si>
  <si>
    <t>FLUORENE</t>
  </si>
  <si>
    <t>C13H10O</t>
  </si>
  <si>
    <t>BENZOPHENONE</t>
  </si>
  <si>
    <t>C13H12</t>
  </si>
  <si>
    <t>DIPHENYLMETHANE</t>
  </si>
  <si>
    <t>C13H14</t>
  </si>
  <si>
    <t>1-PROPYLNAPHTHALENE</t>
  </si>
  <si>
    <t>2-PROPYLNAPHTHALENE</t>
  </si>
  <si>
    <t>2ETHYL-3-METHYLNAPHTHALENE</t>
  </si>
  <si>
    <t>2ETHYL-6-METHYLNAPHTHALENE</t>
  </si>
  <si>
    <t>2ETHYL-7-METHYLNAPHTHALENE</t>
  </si>
  <si>
    <t>C13H20</t>
  </si>
  <si>
    <t>C13H24</t>
  </si>
  <si>
    <t>1-TRIDECYNE</t>
  </si>
  <si>
    <t>C13H26</t>
  </si>
  <si>
    <t>1-TRIDECENE</t>
  </si>
  <si>
    <t>1-CYCLOPENTYLOCTANE</t>
  </si>
  <si>
    <t>1-CYCLOHEXYLHEPTANE</t>
  </si>
  <si>
    <t>C13H26O</t>
  </si>
  <si>
    <t>1-TRIDECANAL</t>
  </si>
  <si>
    <t>C13H26O2</t>
  </si>
  <si>
    <t>METHYLDODECANOATE</t>
  </si>
  <si>
    <t>C13H28</t>
  </si>
  <si>
    <t>C13H28O</t>
  </si>
  <si>
    <t>1-TRIDECANOL</t>
  </si>
  <si>
    <t>C13H28S</t>
  </si>
  <si>
    <t>BUTYL-NONYL-SULFIDE</t>
  </si>
  <si>
    <t>DECYL-PROPYL-SULFIDE</t>
  </si>
  <si>
    <t>DODECYL-METHYL-SULFIDE</t>
  </si>
  <si>
    <t>ETHYL-UNDECYL-SULFIDE</t>
  </si>
  <si>
    <t>1-TRIDECANETHIOL</t>
  </si>
  <si>
    <t>C14H8O2</t>
  </si>
  <si>
    <t>ANTHRAQUINONE</t>
  </si>
  <si>
    <t>C14H10</t>
  </si>
  <si>
    <t>DIPHENYLACETYLENE</t>
  </si>
  <si>
    <t>PHENANTHRENE</t>
  </si>
  <si>
    <t>C14H12</t>
  </si>
  <si>
    <t>C14H12O2</t>
  </si>
  <si>
    <t>BENZYL BENZOATE</t>
  </si>
  <si>
    <t>C14H14</t>
  </si>
  <si>
    <t>1,1-DIPHENYLETHANE</t>
  </si>
  <si>
    <t>1,2-DIPHENYLETHANE</t>
  </si>
  <si>
    <t>C14H14O</t>
  </si>
  <si>
    <t>DIBENZYL ETHER</t>
  </si>
  <si>
    <t>C14H16</t>
  </si>
  <si>
    <t>2-BUTYLNAPHTHALENE</t>
  </si>
  <si>
    <t>C14H22</t>
  </si>
  <si>
    <t>1,2,3,4-TETRAETHYLBENZENE</t>
  </si>
  <si>
    <t>1,2,3,5-TETRAETHYLBENZENE</t>
  </si>
  <si>
    <t>1,2,4,5-TETRAETHYLBENZENE</t>
  </si>
  <si>
    <t>C14H22O</t>
  </si>
  <si>
    <t>C14H28</t>
  </si>
  <si>
    <t>1-TETRADECENE</t>
  </si>
  <si>
    <t>1-CYCLOPENTYLNONANE</t>
  </si>
  <si>
    <t>1-CYCLOHEXYLOCTANE</t>
  </si>
  <si>
    <t>C14H28O2</t>
  </si>
  <si>
    <t>C14H30</t>
  </si>
  <si>
    <t>C14H30O</t>
  </si>
  <si>
    <t>1-TETRADECANOL</t>
  </si>
  <si>
    <t>C14H30S</t>
  </si>
  <si>
    <t>BUTYL-DECYL-SULFIDE</t>
  </si>
  <si>
    <t>DODECYL-ETHYL-SULFIDE</t>
  </si>
  <si>
    <t>HEPTYL-SULFIDE</t>
  </si>
  <si>
    <t>METHYL-TRIDECYL-SULFIDE</t>
  </si>
  <si>
    <t>PROPYL-UNDECYL-SULFIDE</t>
  </si>
  <si>
    <t>1-TETRADECANETHIOL</t>
  </si>
  <si>
    <t>C14H30S2</t>
  </si>
  <si>
    <t>HEPTYL-DISULFIDE</t>
  </si>
  <si>
    <t>C14H31N</t>
  </si>
  <si>
    <t>TETRADECYLAMINE</t>
  </si>
  <si>
    <t>C15H10N2O2</t>
  </si>
  <si>
    <t>C15H16O2</t>
  </si>
  <si>
    <t>BISPHENOLA</t>
  </si>
  <si>
    <t>C15H18</t>
  </si>
  <si>
    <t>1-PENTYLNAPHTHALENE</t>
  </si>
  <si>
    <t>2-PENTYLNAPHTHALENE</t>
  </si>
  <si>
    <t>C15H24</t>
  </si>
  <si>
    <t>C15H24O</t>
  </si>
  <si>
    <t>NONYLPHENOL</t>
  </si>
  <si>
    <t>C15H28</t>
  </si>
  <si>
    <t>1-PENTADECYNE</t>
  </si>
  <si>
    <t>C15H30</t>
  </si>
  <si>
    <t>1-PENTADECENE</t>
  </si>
  <si>
    <t>1-CYCLOPENTYLDECANE</t>
  </si>
  <si>
    <t>1-CYCLOHEXYLNONANE</t>
  </si>
  <si>
    <t>C15H30O2</t>
  </si>
  <si>
    <t>PENTADECANOIC ACID</t>
  </si>
  <si>
    <t>C15H32</t>
  </si>
  <si>
    <t>C15H32O</t>
  </si>
  <si>
    <t>1-PENTADECANOL</t>
  </si>
  <si>
    <t>C15H32S</t>
  </si>
  <si>
    <t>BUTYL-UNDECYL-SULFIDE</t>
  </si>
  <si>
    <t>DODECYL-PROPYL-SULFIDE</t>
  </si>
  <si>
    <t>ETHYL-TRIDECYL-SULFIDE</t>
  </si>
  <si>
    <t>METHYL-TETRADECYL-SULFIDE</t>
  </si>
  <si>
    <t>1-PENTADECANETHIOL</t>
  </si>
  <si>
    <t>C16H10</t>
  </si>
  <si>
    <t>PYRENE</t>
  </si>
  <si>
    <t>C16H12</t>
  </si>
  <si>
    <t>1-PHENYLNAPHTHALENE</t>
  </si>
  <si>
    <t>C16H20</t>
  </si>
  <si>
    <t>DIBUTYL PHTHALATE</t>
  </si>
  <si>
    <t>C16H26</t>
  </si>
  <si>
    <t>PENTAETHYLBENZENE</t>
  </si>
  <si>
    <t>C16H30</t>
  </si>
  <si>
    <t>1-HEXADECYNE</t>
  </si>
  <si>
    <t>C16H32</t>
  </si>
  <si>
    <t>1-CYCLOPENTYLUNDECANE</t>
  </si>
  <si>
    <t>1-HEXADECENE</t>
  </si>
  <si>
    <t>C16H32O2</t>
  </si>
  <si>
    <t>C16H34</t>
  </si>
  <si>
    <t>C16H34O</t>
  </si>
  <si>
    <t>C16H34S</t>
  </si>
  <si>
    <t>PROPYL-TRIDECYL-SULFIDE</t>
  </si>
  <si>
    <t>1-HEXADECANETHIOL</t>
  </si>
  <si>
    <t>C16H34S2</t>
  </si>
  <si>
    <t>OCTYL-DISULFIDE</t>
  </si>
  <si>
    <t>C17H28</t>
  </si>
  <si>
    <t>C17H32</t>
  </si>
  <si>
    <t>1-HEPTADECYNE</t>
  </si>
  <si>
    <t>C17H34</t>
  </si>
  <si>
    <t>1-CYCLOPENTYLDODECANE</t>
  </si>
  <si>
    <t>1-CYCLOHEXYLUNDECANE</t>
  </si>
  <si>
    <t>1-HEPTADECENE</t>
  </si>
  <si>
    <t>C17H36</t>
  </si>
  <si>
    <t>C17H36O</t>
  </si>
  <si>
    <t>1-HEPTADECANOL</t>
  </si>
  <si>
    <t>C17H36S</t>
  </si>
  <si>
    <t>BUTYL-TRIDECYL-SULFIDE</t>
  </si>
  <si>
    <t>ETHYL-PENTADECYL-SULFIDE</t>
  </si>
  <si>
    <t>HEXADECYL-METHYL-SULFIDE</t>
  </si>
  <si>
    <t>PROPYL-TETRADECYL-SULFIDE</t>
  </si>
  <si>
    <t>1-HEPTADECANETHIOL</t>
  </si>
  <si>
    <t>C18H12</t>
  </si>
  <si>
    <t>CHRYSENE</t>
  </si>
  <si>
    <t>C18H14</t>
  </si>
  <si>
    <t>C18H15P</t>
  </si>
  <si>
    <t>TRIPHENYLPHOSPHINE</t>
  </si>
  <si>
    <t>C18H22</t>
  </si>
  <si>
    <t>2,3-DIMETHYL-2,3-DIPHENYLBUTANE</t>
  </si>
  <si>
    <t>C18H22O2</t>
  </si>
  <si>
    <t>DICUMYL PEROXIDE</t>
  </si>
  <si>
    <t>C18H30</t>
  </si>
  <si>
    <t>HEXAETHYLBENZENE</t>
  </si>
  <si>
    <t>C18H32O2</t>
  </si>
  <si>
    <t>LINOLEIC ACID</t>
  </si>
  <si>
    <t>C18H34</t>
  </si>
  <si>
    <t>1-OCTADECYNE</t>
  </si>
  <si>
    <t>C18H34O2</t>
  </si>
  <si>
    <t>OLEICACID</t>
  </si>
  <si>
    <t>DIBUTYL SEBACATE</t>
  </si>
  <si>
    <t>DIHEXYL ADIPATE</t>
  </si>
  <si>
    <t>C18H36</t>
  </si>
  <si>
    <t>1-CYCOPENTYL TRIDECANE</t>
  </si>
  <si>
    <t>1-CYCLOHEXYLDODECANE</t>
  </si>
  <si>
    <t>1-OCTADECENE</t>
  </si>
  <si>
    <t>C18H36O2</t>
  </si>
  <si>
    <t>STEARIC ACID</t>
  </si>
  <si>
    <t>C18H38</t>
  </si>
  <si>
    <t>C18H38O</t>
  </si>
  <si>
    <t>DINONYL ETHER</t>
  </si>
  <si>
    <t>C18H38S</t>
  </si>
  <si>
    <t>BUTYL-TETRADECYL-SULFIDE</t>
  </si>
  <si>
    <t>ETHYL-HEXADECYL-SULFIDE</t>
  </si>
  <si>
    <t>HEPTADECYL-METHYL-SULFIDE</t>
  </si>
  <si>
    <t>PENTADECYL-PROPYL-SULFIDE</t>
  </si>
  <si>
    <t>1-OCTADECANETHIOL</t>
  </si>
  <si>
    <t>C18H38S2</t>
  </si>
  <si>
    <t>NONYL-DISULFIDE</t>
  </si>
  <si>
    <t>C19H26</t>
  </si>
  <si>
    <t>C19H32</t>
  </si>
  <si>
    <t>C19H36</t>
  </si>
  <si>
    <t>1-NONADECYNE</t>
  </si>
  <si>
    <t>C19H36O2</t>
  </si>
  <si>
    <t>METHYL OLEATE</t>
  </si>
  <si>
    <t>C19H38</t>
  </si>
  <si>
    <t>1-CYCLOPENTYL TETRADECANE</t>
  </si>
  <si>
    <t>1-CYCLOHEXYLTRIDECANE</t>
  </si>
  <si>
    <t>C19H38O2</t>
  </si>
  <si>
    <t>NONADECANOIC ACID</t>
  </si>
  <si>
    <t>C19H40</t>
  </si>
  <si>
    <t>C19H40O</t>
  </si>
  <si>
    <t>1-NONADECANOL</t>
  </si>
  <si>
    <t>C19H40S</t>
  </si>
  <si>
    <t>BUTYL-PENTADECYL-SULFIDE</t>
  </si>
  <si>
    <t>ETHYL-HEPTADECYL-SULFIDE</t>
  </si>
  <si>
    <t>HEXADECYL-PROPYL-SULFIDE</t>
  </si>
  <si>
    <t>C20H42O</t>
  </si>
  <si>
    <t>TRIPHENYLETHYLENE</t>
  </si>
  <si>
    <t>1-EICOSYNE</t>
  </si>
  <si>
    <t>1-CYCLOPENTYLPENTADECANE</t>
  </si>
  <si>
    <t>1-EICOSANOL</t>
  </si>
  <si>
    <t>C20H42S</t>
  </si>
  <si>
    <t>BUTYL-HEXADECYL-SULFIDE</t>
  </si>
  <si>
    <t>DECYL-SULFIDE</t>
  </si>
  <si>
    <t>METHYL-NONADECYL-SULFIDE</t>
  </si>
  <si>
    <t>C21H42</t>
  </si>
  <si>
    <t>1-CYCLOPENTYLHEXADECANE</t>
  </si>
  <si>
    <t>1-CYCLOHEXYLPENTADECANE</t>
  </si>
  <si>
    <t>1-PHENYLHEXADECANE</t>
  </si>
  <si>
    <t>DIISOOCTYL PHTHALATE</t>
  </si>
  <si>
    <t>DIOCTYL PHTHALATE</t>
  </si>
  <si>
    <t>C24H42O</t>
  </si>
  <si>
    <t>DINONYLPHENOL</t>
  </si>
  <si>
    <t>ClO2</t>
  </si>
  <si>
    <t>CHLORINE DIOXIDE</t>
  </si>
  <si>
    <t>Cl2</t>
  </si>
  <si>
    <t>CHLORINE</t>
  </si>
  <si>
    <t>Cl2O</t>
  </si>
  <si>
    <t>CHLORINE MONOXIDE</t>
  </si>
  <si>
    <t>Cl2O7</t>
  </si>
  <si>
    <t>CHLORINE HEPTOXIDE</t>
  </si>
  <si>
    <t>Co</t>
  </si>
  <si>
    <t>COBALT</t>
  </si>
  <si>
    <t>CoCl2</t>
  </si>
  <si>
    <t>COBALT CHLORIDE</t>
  </si>
  <si>
    <t>Cr</t>
  </si>
  <si>
    <t>CHROMIUM</t>
  </si>
  <si>
    <t>CHROMIUM CARBONYL</t>
  </si>
  <si>
    <t>CHROMIUM OXYCHLORIDE</t>
  </si>
  <si>
    <t>Cs</t>
  </si>
  <si>
    <t>CESIUM</t>
  </si>
  <si>
    <t>CsBr</t>
  </si>
  <si>
    <t>CESIUM BROMIDE</t>
  </si>
  <si>
    <t>CESIUM CHLORIDE</t>
  </si>
  <si>
    <t>CsF</t>
  </si>
  <si>
    <t>CESIUM FLUORIDE</t>
  </si>
  <si>
    <t>CESIUM IODIDE</t>
  </si>
  <si>
    <t>Cu</t>
  </si>
  <si>
    <t>COPPER</t>
  </si>
  <si>
    <t>CuBr</t>
  </si>
  <si>
    <t>CUPROUS BROMIDE</t>
  </si>
  <si>
    <t>CUPROUS CHLORIDE</t>
  </si>
  <si>
    <t>CuCl2</t>
  </si>
  <si>
    <t>CUPRIC CHLORIDE</t>
  </si>
  <si>
    <t>COPPER IODIDE</t>
  </si>
  <si>
    <t>DEUTERIUM</t>
  </si>
  <si>
    <t>DEUTERIUM OXIDE</t>
  </si>
  <si>
    <t>F2</t>
  </si>
  <si>
    <t>FLUORINE</t>
  </si>
  <si>
    <t>F2O</t>
  </si>
  <si>
    <t>FLUORINE OXIDE</t>
  </si>
  <si>
    <t>Fe</t>
  </si>
  <si>
    <t>IRON</t>
  </si>
  <si>
    <t>FeC5O5</t>
  </si>
  <si>
    <t>IRON PENTACARBONYL</t>
  </si>
  <si>
    <t>FeCl2</t>
  </si>
  <si>
    <t>FERROUS CHLORIDE</t>
  </si>
  <si>
    <t>FeCl3</t>
  </si>
  <si>
    <t>FERRIC CHLORIDE</t>
  </si>
  <si>
    <t>Ga</t>
  </si>
  <si>
    <t>GALLIUM</t>
  </si>
  <si>
    <t>GaCl3</t>
  </si>
  <si>
    <t>GALLIUM TRICHLORIDE</t>
  </si>
  <si>
    <t>Gd</t>
  </si>
  <si>
    <t>GADOLINIUM</t>
  </si>
  <si>
    <t>Ge</t>
  </si>
  <si>
    <t>GERMANIUM</t>
  </si>
  <si>
    <t>GeBr4</t>
  </si>
  <si>
    <t>GERMANIUM BROMIDE</t>
  </si>
  <si>
    <t>GeCl4</t>
  </si>
  <si>
    <t>GERMANIUM CHLORIDE</t>
  </si>
  <si>
    <t>GeHCl3</t>
  </si>
  <si>
    <t>TRICHLORO GERMANE</t>
  </si>
  <si>
    <t>GeH4</t>
  </si>
  <si>
    <t>GERMANE</t>
  </si>
  <si>
    <t>Ge2H6</t>
  </si>
  <si>
    <t>DIGERMANE</t>
  </si>
  <si>
    <t>Ge3H8</t>
  </si>
  <si>
    <t>TRIGERMANE</t>
  </si>
  <si>
    <t>HBr</t>
  </si>
  <si>
    <t>HYDROGEN BROMIDE</t>
  </si>
  <si>
    <t>HCN</t>
  </si>
  <si>
    <t>HYDROGEN CYANIDE</t>
  </si>
  <si>
    <t>HYDROGEN CHLORIDE</t>
  </si>
  <si>
    <t>HF</t>
  </si>
  <si>
    <t>HYDROGEN FLUORIDE</t>
  </si>
  <si>
    <t>HI</t>
  </si>
  <si>
    <t>HYDROGEN IODIDE</t>
  </si>
  <si>
    <t>HNO3</t>
  </si>
  <si>
    <t>NITRIC ACID</t>
  </si>
  <si>
    <t>H2</t>
  </si>
  <si>
    <t>HYDROGEN</t>
  </si>
  <si>
    <t>H2O</t>
  </si>
  <si>
    <t>WATER</t>
  </si>
  <si>
    <t>H2O2</t>
  </si>
  <si>
    <t>HYDROGEN PEROXIDE</t>
  </si>
  <si>
    <t>H2S</t>
  </si>
  <si>
    <t>HYDROGEN SULFIDE</t>
  </si>
  <si>
    <t>SULFURIC ACID</t>
  </si>
  <si>
    <t>H2S2</t>
  </si>
  <si>
    <t>HYDROGEN DISULFIDE</t>
  </si>
  <si>
    <t>H2Se</t>
  </si>
  <si>
    <t>HYDROGEN SELENIDE</t>
  </si>
  <si>
    <t>H2Te</t>
  </si>
  <si>
    <t>HYDROGEN TELLURIDE</t>
  </si>
  <si>
    <t>He</t>
  </si>
  <si>
    <t>HELIUM-3</t>
  </si>
  <si>
    <t>HELIUM-4</t>
  </si>
  <si>
    <t>Hf</t>
  </si>
  <si>
    <t>HAFNIUM</t>
  </si>
  <si>
    <t>HgBr2</t>
  </si>
  <si>
    <t>MERCURIC BROMIDE</t>
  </si>
  <si>
    <t>MERCURIC IODIDE</t>
  </si>
  <si>
    <t>IF7</t>
  </si>
  <si>
    <t>IODINE HEPTAFLUORIDE</t>
  </si>
  <si>
    <t>IODINE</t>
  </si>
  <si>
    <t>In</t>
  </si>
  <si>
    <t>INDIUM</t>
  </si>
  <si>
    <t>Ir</t>
  </si>
  <si>
    <t>IRIDIUM</t>
  </si>
  <si>
    <t>KBr</t>
  </si>
  <si>
    <t>POTASSIUM BROMIDE</t>
  </si>
  <si>
    <t>POTASSIUM CHLORIDE</t>
  </si>
  <si>
    <t>KF</t>
  </si>
  <si>
    <t>POTASSIUM FLUORIDE</t>
  </si>
  <si>
    <t>POTASSIUM IODIDE</t>
  </si>
  <si>
    <t>KOH</t>
  </si>
  <si>
    <t>POTASSIUM HYDROXIDE</t>
  </si>
  <si>
    <t>Kr</t>
  </si>
  <si>
    <t>KRYPTON</t>
  </si>
  <si>
    <t>Li</t>
  </si>
  <si>
    <t>LITHIUM</t>
  </si>
  <si>
    <t>LiBr</t>
  </si>
  <si>
    <t>LITHIUM BROMIDE</t>
  </si>
  <si>
    <t>LITHIUM IODIDE</t>
  </si>
  <si>
    <t>Mg</t>
  </si>
  <si>
    <t>MAGNESIUM</t>
  </si>
  <si>
    <t>MgCl2</t>
  </si>
  <si>
    <t>MAGNESIUM CHLORIDE</t>
  </si>
  <si>
    <t>MgO</t>
  </si>
  <si>
    <t>MAGNESIUM OXIDE</t>
  </si>
  <si>
    <t>Mn</t>
  </si>
  <si>
    <t>MANGANESE</t>
  </si>
  <si>
    <t>MnCl2</t>
  </si>
  <si>
    <t>MANGANESE CHLORIDE</t>
  </si>
  <si>
    <t>Mo</t>
  </si>
  <si>
    <t>MOLYBDENUM</t>
  </si>
  <si>
    <t>MoF6</t>
  </si>
  <si>
    <t>MOLYBDENUM FLUORIDE</t>
  </si>
  <si>
    <t>MoO3</t>
  </si>
  <si>
    <t>MOLYBDENUM OXIDE</t>
  </si>
  <si>
    <t>NCl3</t>
  </si>
  <si>
    <t>NITROGEN TRICHLORIDE</t>
  </si>
  <si>
    <t>NF3</t>
  </si>
  <si>
    <t>NITROGEN TRIFLUORIDE</t>
  </si>
  <si>
    <t>NH3</t>
  </si>
  <si>
    <t>AMMONIA</t>
  </si>
  <si>
    <t>NH3O</t>
  </si>
  <si>
    <t>HYDROXYLAMINE</t>
  </si>
  <si>
    <t>NH4Br</t>
  </si>
  <si>
    <t>NH4I</t>
  </si>
  <si>
    <t>NH5S</t>
  </si>
  <si>
    <t>AMMONIUM HYDROGENSULFIDE</t>
  </si>
  <si>
    <t>NITRIC OXIDE</t>
  </si>
  <si>
    <t>NITROSYL CHLORIDE</t>
  </si>
  <si>
    <t>NOF</t>
  </si>
  <si>
    <t>NITROSYL FLUORIDE</t>
  </si>
  <si>
    <t>NO2</t>
  </si>
  <si>
    <t>NITROGEN DIOXIDE</t>
  </si>
  <si>
    <t>N2</t>
  </si>
  <si>
    <t>NITROGEN</t>
  </si>
  <si>
    <t>N2F4</t>
  </si>
  <si>
    <t>TETRAFLUOROHYDRAZINE</t>
  </si>
  <si>
    <t>N2H4</t>
  </si>
  <si>
    <t>HYDRAZINE</t>
  </si>
  <si>
    <t>N2O</t>
  </si>
  <si>
    <t>NITROUS OXIDE</t>
  </si>
  <si>
    <t>N2O3</t>
  </si>
  <si>
    <t>NITROGEN TRIOXIDE</t>
  </si>
  <si>
    <t>N2O5</t>
  </si>
  <si>
    <t>NITROGEN PENTOXIDE</t>
  </si>
  <si>
    <t>Na</t>
  </si>
  <si>
    <t>SODIUM</t>
  </si>
  <si>
    <t>NaBr</t>
  </si>
  <si>
    <t>SODIUM BROMIDE</t>
  </si>
  <si>
    <t>NaCN</t>
  </si>
  <si>
    <t>SODIUM CYANIDE</t>
  </si>
  <si>
    <t>NaF</t>
  </si>
  <si>
    <t>SODIUM FLUORIDE</t>
  </si>
  <si>
    <t>SODIUM IODIDE</t>
  </si>
  <si>
    <t>NaOH</t>
  </si>
  <si>
    <t>SODIUM HYDROXIDE</t>
  </si>
  <si>
    <t>SODIUM SULFATE</t>
  </si>
  <si>
    <t>Nb</t>
  </si>
  <si>
    <t>NIOBIUM</t>
  </si>
  <si>
    <t>Nd</t>
  </si>
  <si>
    <t>NEODYMIUM</t>
  </si>
  <si>
    <t>Ne</t>
  </si>
  <si>
    <t>NEON</t>
  </si>
  <si>
    <t>Ni</t>
  </si>
  <si>
    <t>NICKEL</t>
  </si>
  <si>
    <t>NiF2</t>
  </si>
  <si>
    <t>NICKEL FLUORIDE</t>
  </si>
  <si>
    <t>OXYGEN</t>
  </si>
  <si>
    <t>OZONE</t>
  </si>
  <si>
    <t>Os</t>
  </si>
  <si>
    <t>OSMIUM</t>
  </si>
  <si>
    <t>OSMIUM TETROXIDE - YELLOW</t>
  </si>
  <si>
    <t>OSMIUM TETROXIDE - WHITE</t>
  </si>
  <si>
    <t>PHOSPHORUS - WHITE</t>
  </si>
  <si>
    <t>PCl3</t>
  </si>
  <si>
    <t>PHOSPHORUS TRICHLORIDE</t>
  </si>
  <si>
    <t>PCl5</t>
  </si>
  <si>
    <t>PHOSPHORUS PENTACHLORIDE</t>
  </si>
  <si>
    <t>PH3</t>
  </si>
  <si>
    <t>PHOSPHINE</t>
  </si>
  <si>
    <t>PH4I</t>
  </si>
  <si>
    <t>PHOSPHONIUM IODIDE</t>
  </si>
  <si>
    <t>POCl3</t>
  </si>
  <si>
    <t>PHOSPHORUS OXYCHLORIDE</t>
  </si>
  <si>
    <t>PSBr3</t>
  </si>
  <si>
    <t>PHOSPHORUS THIOBROMIDE</t>
  </si>
  <si>
    <t>PSCl3</t>
  </si>
  <si>
    <t>PHOSPHORUS THIOCHLORIDE</t>
  </si>
  <si>
    <t>P4S10</t>
  </si>
  <si>
    <t>PHOSPHORUS PENTASULFIDE</t>
  </si>
  <si>
    <t>PbBr2</t>
  </si>
  <si>
    <t>LEAD BROMIDE</t>
  </si>
  <si>
    <t>PbCl2</t>
  </si>
  <si>
    <t>LEAD CHLORIDE</t>
  </si>
  <si>
    <t>PbF2</t>
  </si>
  <si>
    <t>LEAD FLUORIDE</t>
  </si>
  <si>
    <t>LEAD IODIDE</t>
  </si>
  <si>
    <t>PbO</t>
  </si>
  <si>
    <t>LEAD OXIDE</t>
  </si>
  <si>
    <t>PbS</t>
  </si>
  <si>
    <t>LEAD SULFIDE</t>
  </si>
  <si>
    <t>Pd</t>
  </si>
  <si>
    <t>PALLADIUM</t>
  </si>
  <si>
    <t>Po</t>
  </si>
  <si>
    <t>POLONIUM</t>
  </si>
  <si>
    <t>Ra</t>
  </si>
  <si>
    <t>RADIUM</t>
  </si>
  <si>
    <t>Rb</t>
  </si>
  <si>
    <t>RUBIDIUM</t>
  </si>
  <si>
    <t>RbBr</t>
  </si>
  <si>
    <t>RUBIDIUM BROMIDE</t>
  </si>
  <si>
    <t>RUBIDIUM CHLORIDE</t>
  </si>
  <si>
    <t>RUBIDIUM IODIDE</t>
  </si>
  <si>
    <t>Re2O7</t>
  </si>
  <si>
    <t>RHENIUM HEPTOXIDE</t>
  </si>
  <si>
    <t>Rh</t>
  </si>
  <si>
    <t>RHODIUM</t>
  </si>
  <si>
    <t>Ru</t>
  </si>
  <si>
    <t>RUTHENIUM</t>
  </si>
  <si>
    <t>RuF5</t>
  </si>
  <si>
    <t>RUTHENIUM PENTAFLUORIDE</t>
  </si>
  <si>
    <t>SULFUR</t>
  </si>
  <si>
    <t>SF4</t>
  </si>
  <si>
    <t>SULFUR TETRAFLUORIDE</t>
  </si>
  <si>
    <t>SF6</t>
  </si>
  <si>
    <t>SULFUR HEXAFLUORIDE</t>
  </si>
  <si>
    <t>SOBr2</t>
  </si>
  <si>
    <t>THIONYL BROMIDE</t>
  </si>
  <si>
    <t>SOCl2</t>
  </si>
  <si>
    <t>THIONYL CHLORIDE</t>
  </si>
  <si>
    <t>SOF2</t>
  </si>
  <si>
    <t>SULFUROUS OXYFLUORIDE</t>
  </si>
  <si>
    <t>SO2</t>
  </si>
  <si>
    <t>SULFUR DIOXIDE</t>
  </si>
  <si>
    <t>SO2Cl2</t>
  </si>
  <si>
    <t>SULFURYL CHLORIDE</t>
  </si>
  <si>
    <t>SO3</t>
  </si>
  <si>
    <t>SULFUR TRIOXIDE</t>
  </si>
  <si>
    <t>Sb</t>
  </si>
  <si>
    <t>ANTIMONY</t>
  </si>
  <si>
    <t>SbCl3</t>
  </si>
  <si>
    <t>ANTIMONY TRICHLORIDE</t>
  </si>
  <si>
    <t>SbCl5</t>
  </si>
  <si>
    <t>ANTIMONY PENTACHLORIDE</t>
  </si>
  <si>
    <t>SbH3</t>
  </si>
  <si>
    <t>STIBINE</t>
  </si>
  <si>
    <t>Sb2O3</t>
  </si>
  <si>
    <t>ANTIMONY TRIOXIDE</t>
  </si>
  <si>
    <t>Sc</t>
  </si>
  <si>
    <t>SCANDIUM</t>
  </si>
  <si>
    <t>Se</t>
  </si>
  <si>
    <t>SELENIUM</t>
  </si>
  <si>
    <t>SeCl4</t>
  </si>
  <si>
    <t>SELENIUM TETRACHLORIDE</t>
  </si>
  <si>
    <t>SeF6</t>
  </si>
  <si>
    <t>SELENIUM HEXAFLUORIDE</t>
  </si>
  <si>
    <t>SeO2</t>
  </si>
  <si>
    <t>SELENIUM DIOXIDE</t>
  </si>
  <si>
    <t>Si</t>
  </si>
  <si>
    <t>SILICON</t>
  </si>
  <si>
    <t>SiBrCl2F</t>
  </si>
  <si>
    <t>BROMODICHLOROFLUOROSILANE</t>
  </si>
  <si>
    <t>SiBrF3</t>
  </si>
  <si>
    <t>TRIFLUOROBROMOSILANE</t>
  </si>
  <si>
    <t>DIBROMOCHLOROFLUOROSILANE</t>
  </si>
  <si>
    <t>TRIFLUOROCHLOROSILANE</t>
  </si>
  <si>
    <t>SiCl2F2</t>
  </si>
  <si>
    <t>DICHLORODIFLUOROSILANE</t>
  </si>
  <si>
    <t>SiCl3F</t>
  </si>
  <si>
    <t>TRICHLOROFLUOROSILANE</t>
  </si>
  <si>
    <t>SiF4</t>
  </si>
  <si>
    <t>SILICON TETRAFLUORIDE</t>
  </si>
  <si>
    <t>SiHBr3</t>
  </si>
  <si>
    <t>TRIBROMOSILANE</t>
  </si>
  <si>
    <t>SiHF3</t>
  </si>
  <si>
    <t>TRIFLUOROSILANE</t>
  </si>
  <si>
    <t>SiH2Br2</t>
  </si>
  <si>
    <t>DIBROMOSILANE</t>
  </si>
  <si>
    <t>SiH2Cl2</t>
  </si>
  <si>
    <t>DICHLOROSILANE</t>
  </si>
  <si>
    <t>SiH2F2</t>
  </si>
  <si>
    <t>DIFLUOROSILANE</t>
  </si>
  <si>
    <t>DIIODOSILANE</t>
  </si>
  <si>
    <t>SiH3Br</t>
  </si>
  <si>
    <t>MONOBROMOSILANE</t>
  </si>
  <si>
    <t>MONOCHLOROSILANE</t>
  </si>
  <si>
    <t>SiH3F</t>
  </si>
  <si>
    <t>MONOFLUOROSILANE</t>
  </si>
  <si>
    <t>SiH4</t>
  </si>
  <si>
    <t>SILANE</t>
  </si>
  <si>
    <t>SiO2</t>
  </si>
  <si>
    <t>SILICON DIOXIDE</t>
  </si>
  <si>
    <t>Si2Cl6</t>
  </si>
  <si>
    <t>HEXACHLORODISILANE</t>
  </si>
  <si>
    <t>Si2F6</t>
  </si>
  <si>
    <t>HEXAFLUORODISILANE</t>
  </si>
  <si>
    <t>DISILANYL CHLORIDE</t>
  </si>
  <si>
    <t>Si2H6</t>
  </si>
  <si>
    <t>DISILANE</t>
  </si>
  <si>
    <t>Si2OCl3F3</t>
  </si>
  <si>
    <t>TRICHLOROTRIFLUORODISILOXANE</t>
  </si>
  <si>
    <t>Si2OCl6</t>
  </si>
  <si>
    <t>HEXACHLORODISILOXANE</t>
  </si>
  <si>
    <t>Si2OH6</t>
  </si>
  <si>
    <t>DISILOXANE</t>
  </si>
  <si>
    <t>Si3Cl8</t>
  </si>
  <si>
    <t>OCTACHLOROTRISILANE</t>
  </si>
  <si>
    <t>Si3H8</t>
  </si>
  <si>
    <t>TRISILANE</t>
  </si>
  <si>
    <t>Si3H9N</t>
  </si>
  <si>
    <t>TRISILAZANE</t>
  </si>
  <si>
    <t>Sm</t>
  </si>
  <si>
    <t>SAMARIUM</t>
  </si>
  <si>
    <t>Sn</t>
  </si>
  <si>
    <t>TIN</t>
  </si>
  <si>
    <t>SnBr4</t>
  </si>
  <si>
    <t>STANNIC BROMIDE</t>
  </si>
  <si>
    <t>BROMOCHLORODIFLUOROMETHANE</t>
  </si>
  <si>
    <t>CBrCl3</t>
  </si>
  <si>
    <t>BROMOTRICHLOROMETHANE</t>
  </si>
  <si>
    <t>CBrF3</t>
  </si>
  <si>
    <t>BROMOTRIFLUOROMETHANE</t>
  </si>
  <si>
    <t>CBr2F2</t>
  </si>
  <si>
    <t>DIBROMODIFLUOROMETHANE</t>
  </si>
  <si>
    <t>CCIF3</t>
  </si>
  <si>
    <t>CHLOROTRIFLUOROMETHANE</t>
  </si>
  <si>
    <t>CYANOGEN CHLORIDE</t>
  </si>
  <si>
    <t>CCl2F2</t>
  </si>
  <si>
    <t>DICHLORODIFLUOROMETHANE</t>
  </si>
  <si>
    <t>CCl2O</t>
  </si>
  <si>
    <t>PHOSGENE</t>
  </si>
  <si>
    <t>CCl3F</t>
  </si>
  <si>
    <t>TRICHLOROFLUOROMETHANE</t>
  </si>
  <si>
    <t>CCl4</t>
  </si>
  <si>
    <t>CARBON TETRACHLORIDE</t>
  </si>
  <si>
    <t>CF2O</t>
  </si>
  <si>
    <t>CARBONYL FLUORIDE</t>
  </si>
  <si>
    <t>CF4</t>
  </si>
  <si>
    <t>CARBON TETRAFLUORIDE</t>
  </si>
  <si>
    <t>CHBr3</t>
  </si>
  <si>
    <t>TRIBROMOMETHANE</t>
  </si>
  <si>
    <t>CHLORODIFLUOROMETHANE</t>
  </si>
  <si>
    <t>DICHLOROFLUOROMETHANE</t>
  </si>
  <si>
    <t>CHCl3</t>
  </si>
  <si>
    <t>CHLOROFORM</t>
  </si>
  <si>
    <t>CHF3</t>
  </si>
  <si>
    <t>TRIFLUOROMETHANE</t>
  </si>
  <si>
    <t>TRIIODOMETHANE</t>
  </si>
  <si>
    <t>CHN</t>
  </si>
  <si>
    <t>CH2BrCI</t>
  </si>
  <si>
    <t>BROMOCHLOROMETHANE</t>
  </si>
  <si>
    <t>CH2Br2</t>
  </si>
  <si>
    <t>DIBROMOMETHANE</t>
  </si>
  <si>
    <t>CHLOROFLUOROMETHANE</t>
  </si>
  <si>
    <t>CH2Cl2</t>
  </si>
  <si>
    <t>DICHLOROMETHANE</t>
  </si>
  <si>
    <t>CH2F2</t>
  </si>
  <si>
    <t>DIFLUOROMETHANE</t>
  </si>
  <si>
    <t>DIIODOMETHANE</t>
  </si>
  <si>
    <t>CH2O</t>
  </si>
  <si>
    <t>FORMALDEHYDE</t>
  </si>
  <si>
    <t>CH2O2</t>
  </si>
  <si>
    <t>FORMIC ACID</t>
  </si>
  <si>
    <t>CH3Br</t>
  </si>
  <si>
    <t>METHYL BROMIDE</t>
  </si>
  <si>
    <t>METHYL CHLORIDE</t>
  </si>
  <si>
    <t>CH3Cl3Si</t>
  </si>
  <si>
    <t>METHYL TRICHLOROSILANE</t>
  </si>
  <si>
    <t>CH3F</t>
  </si>
  <si>
    <t>METHYL FLUORIDE</t>
  </si>
  <si>
    <t>METHYL IODIDE</t>
  </si>
  <si>
    <t>CH3NO</t>
  </si>
  <si>
    <t>FORMAMIDE</t>
  </si>
  <si>
    <t>CH3NO2</t>
  </si>
  <si>
    <t>NITROMETHANE</t>
  </si>
  <si>
    <t>CH4</t>
  </si>
  <si>
    <t>METHANE</t>
  </si>
  <si>
    <t>CH4Cl2Si</t>
  </si>
  <si>
    <t>METHYL DICHLOROSILANE</t>
  </si>
  <si>
    <t>CH4O</t>
  </si>
  <si>
    <t>METHANOL</t>
  </si>
  <si>
    <t>CH4S</t>
  </si>
  <si>
    <t>METHYL MERCAPTAN</t>
  </si>
  <si>
    <t>METHYL CHLOROSILANE</t>
  </si>
  <si>
    <t>CH5N</t>
  </si>
  <si>
    <t>METHYLAMINE</t>
  </si>
  <si>
    <t>CH6Si</t>
  </si>
  <si>
    <t>METHYL SILANE</t>
  </si>
  <si>
    <t>CN4O8</t>
  </si>
  <si>
    <t>TETRANITROMETHANE</t>
  </si>
  <si>
    <t>CARBON MONOXIDE</t>
  </si>
  <si>
    <t>CARBONYL SULFIDE</t>
  </si>
  <si>
    <t>CO2</t>
  </si>
  <si>
    <t>CARBON DIOXIDE</t>
  </si>
  <si>
    <t>CS2</t>
  </si>
  <si>
    <t>CARBON DISULFIDE</t>
  </si>
  <si>
    <t>C2BrF3</t>
  </si>
  <si>
    <t>BROMOTRIFLUOROETHYLENE</t>
  </si>
  <si>
    <t>C2Br2F4</t>
  </si>
  <si>
    <t>1,2-DIBROMOTETRAFLUOROETHANE</t>
  </si>
  <si>
    <t>CHLOROTRIFLUOROETHYLENE</t>
  </si>
  <si>
    <t>CHLOROPENTAFLUOROETHANE</t>
  </si>
  <si>
    <t>C2Cl2F4</t>
  </si>
  <si>
    <t>1,2-DICHLOROTETRAFLUOROETHANE</t>
  </si>
  <si>
    <t>C2Cl3F3</t>
  </si>
  <si>
    <t>1,1,2-TRICHLOROTRIFLUOROETHANE</t>
  </si>
  <si>
    <t>C2Cl4</t>
  </si>
  <si>
    <t>TETRACHLOROETHYLENE</t>
  </si>
  <si>
    <t>C2Cl4F2</t>
  </si>
  <si>
    <t>1,1,2,2-TETRACHLORODIFLUOROETHANE</t>
  </si>
  <si>
    <t>C2Cl4O</t>
  </si>
  <si>
    <t>TRICHLOROACETYL CHLORIDE</t>
  </si>
  <si>
    <t>C2Cl6</t>
  </si>
  <si>
    <t>HEXACHLOROETHANE</t>
  </si>
  <si>
    <t>C2F4</t>
  </si>
  <si>
    <t>TETRAFLUOROETHYLENE</t>
  </si>
  <si>
    <t>C2F6</t>
  </si>
  <si>
    <t>HEXAFLUOROETHANE</t>
  </si>
  <si>
    <t>HALOTHANE</t>
  </si>
  <si>
    <t>2-CHLOR0-1,1-DIFLUOROETHYLENE</t>
  </si>
  <si>
    <t>C2HCl3</t>
  </si>
  <si>
    <t>TRICHLOROETHYLENE</t>
  </si>
  <si>
    <t>C2HCl3O</t>
  </si>
  <si>
    <t>DICHLOROACETYL CHLORIDE</t>
  </si>
  <si>
    <t>TRICHLOROACETALDEHYDE</t>
  </si>
  <si>
    <t>C2HCl5</t>
  </si>
  <si>
    <t>PENTACHLOROETHANE</t>
  </si>
  <si>
    <t>C2HF3</t>
  </si>
  <si>
    <t>TRIFLUOROETHENE</t>
  </si>
  <si>
    <t>C2HF3O2</t>
  </si>
  <si>
    <t>TRIFLUOROACETIC ACID</t>
  </si>
  <si>
    <t>C2HF5</t>
  </si>
  <si>
    <t>PENTAFLUOROETHANE</t>
  </si>
  <si>
    <t>C2H2</t>
  </si>
  <si>
    <t>ACETYLENE</t>
  </si>
  <si>
    <t>C2H2Br4</t>
  </si>
  <si>
    <t>1,1,2,2-TETRABROMOETHANE</t>
  </si>
  <si>
    <t>C2H2Cl2</t>
  </si>
  <si>
    <t>1,1-DICHLOROETHYLENE</t>
  </si>
  <si>
    <t>C2H2Cl2O</t>
  </si>
  <si>
    <t>CHLOROACETYL CHLORIDE</t>
  </si>
  <si>
    <t>DICHLOROACETALDEHYDE</t>
  </si>
  <si>
    <t>C2H2Cl2O2</t>
  </si>
  <si>
    <t>DICHLOROACETIC ACID</t>
  </si>
  <si>
    <t>C2H2Cl3F</t>
  </si>
  <si>
    <t>1,1,1-TRICHLOROFLUOROETHANE</t>
  </si>
  <si>
    <t>C2H2Cl4</t>
  </si>
  <si>
    <t>1,1,1,2-TETRACHLOROETHANE</t>
  </si>
  <si>
    <t>1,1,2,2-TETRACHLOROETHANE</t>
  </si>
  <si>
    <t>C2H2F2</t>
  </si>
  <si>
    <t>1,1-DIFLUOROETHYLENE</t>
  </si>
  <si>
    <t>C2H2F4</t>
  </si>
  <si>
    <t>1,1,1,2-TETRAFLUOROETHANE</t>
  </si>
  <si>
    <t>C2H2O</t>
  </si>
  <si>
    <t>KETENE</t>
  </si>
  <si>
    <t>C2H2O4</t>
  </si>
  <si>
    <t>OXALIC ACID</t>
  </si>
  <si>
    <t>C2H3Br</t>
  </si>
  <si>
    <t>VINYL BROMIDE</t>
  </si>
  <si>
    <t>VINYL CHLORIDE</t>
  </si>
  <si>
    <t>C2H3CIF2</t>
  </si>
  <si>
    <t>1-CHLORO-1, 1-DIFLUOROETHANE</t>
  </si>
  <si>
    <t>ACETYL CHLORIDE</t>
  </si>
  <si>
    <t>CHLOROACETALDEHYDE</t>
  </si>
  <si>
    <t>CHLOROACETIC ACID</t>
  </si>
  <si>
    <t>METHYLCHLOROFORMATE</t>
  </si>
  <si>
    <t>C2H3Cl3</t>
  </si>
  <si>
    <t>1,1,1-TRICHLOROETHANE</t>
  </si>
  <si>
    <t>1,1,2-TRICHLOROETHANE</t>
  </si>
  <si>
    <t>C2H3F</t>
  </si>
  <si>
    <t>VINYL FLUORIDE</t>
  </si>
  <si>
    <t>1,1,1-TRIFLUOROETHANE</t>
  </si>
  <si>
    <t>C2H3N</t>
  </si>
  <si>
    <t>ACETONITRILE</t>
  </si>
  <si>
    <t>C2H3NO</t>
  </si>
  <si>
    <t>METHYL ISOCYANATE</t>
  </si>
  <si>
    <t>C2H4</t>
  </si>
  <si>
    <t>ETHYLENE</t>
  </si>
  <si>
    <t>C2H4Br2</t>
  </si>
  <si>
    <t>1,1-DIBROMOETHANE</t>
  </si>
  <si>
    <t>1,2-DIBROMOETHANE</t>
  </si>
  <si>
    <t>C2H4Cl2</t>
  </si>
  <si>
    <t>1,1-DICHLOROETHANE</t>
  </si>
  <si>
    <t>1,2-DICHLOROETHANE</t>
  </si>
  <si>
    <t>C2H4Cl2O</t>
  </si>
  <si>
    <t>BIS(CHLOROMETHYL)ETHER</t>
  </si>
  <si>
    <t>C2H4F2</t>
  </si>
  <si>
    <t>1,1-DIFLUOROETHANE</t>
  </si>
  <si>
    <t>1,2-DIFLUOROETHANE</t>
  </si>
  <si>
    <t>1,2-DIIODOETHANE</t>
  </si>
  <si>
    <t>C2H4O</t>
  </si>
  <si>
    <t>ACETALDEHYDE</t>
  </si>
  <si>
    <t>ETHYLENE OXIDE</t>
  </si>
  <si>
    <t>C2H4OS</t>
  </si>
  <si>
    <t>THIOACETIC-ACID</t>
  </si>
  <si>
    <t>C2H4O2</t>
  </si>
  <si>
    <t>ACETIC ACID</t>
  </si>
  <si>
    <t>METHYL FORMATE</t>
  </si>
  <si>
    <t>C2H4S</t>
  </si>
  <si>
    <t>THIACYCLOPROPANE</t>
  </si>
  <si>
    <t>C2H5Br</t>
  </si>
  <si>
    <t>BROMOETHANE</t>
  </si>
  <si>
    <t>ETHYL CHLORIDE</t>
  </si>
  <si>
    <t>2-CHLOROETHANOL</t>
  </si>
  <si>
    <t>C2H5F</t>
  </si>
  <si>
    <t>ETHYL FLUORIDE</t>
  </si>
  <si>
    <t>ETHYL IODIDE</t>
  </si>
  <si>
    <t>C2H5N</t>
  </si>
  <si>
    <t>ETHYLENEIMINE</t>
  </si>
  <si>
    <t>C2H5NO</t>
  </si>
  <si>
    <t>ACETAMIDE</t>
  </si>
  <si>
    <t>N-METHYLFORMAMIDE</t>
  </si>
  <si>
    <t>C2H5NO2</t>
  </si>
  <si>
    <t>NITROETHANE</t>
  </si>
  <si>
    <t>C2H6</t>
  </si>
  <si>
    <t>ETHANE</t>
  </si>
  <si>
    <t>DIMETHYLALUMINUM CHLORIDE</t>
  </si>
  <si>
    <t>C2H6O</t>
  </si>
  <si>
    <t>DIMETHYL ETHER</t>
  </si>
  <si>
    <t>ETHANOL</t>
  </si>
  <si>
    <t>C2H6OS</t>
  </si>
  <si>
    <t>DIMETHYL SULFOXIDE</t>
  </si>
  <si>
    <t>ETHYLENE GLYCOL</t>
  </si>
  <si>
    <t>C2H604S</t>
  </si>
  <si>
    <t>DIMETHYL SULFATE</t>
  </si>
  <si>
    <t>C2H6S</t>
  </si>
  <si>
    <t>DIMETHYL SULFIDE</t>
  </si>
  <si>
    <t>ETHYL MERCAPTAN</t>
  </si>
  <si>
    <t>C2H6S2</t>
  </si>
  <si>
    <t>DIMETHYL DISULFIDE</t>
  </si>
  <si>
    <t>C2H7N</t>
  </si>
  <si>
    <t>DIMETHYLAMINE</t>
  </si>
  <si>
    <t>ETHYLAMINE</t>
  </si>
  <si>
    <t>C2H7NO</t>
  </si>
  <si>
    <t>MONOETHANOLAMINE</t>
  </si>
  <si>
    <t>C2H8N2</t>
  </si>
  <si>
    <t>ETHYLENEDIAMINE</t>
  </si>
  <si>
    <t>C2H8Si</t>
  </si>
  <si>
    <t>DIMETHYL SILANE</t>
  </si>
  <si>
    <t>C2N2</t>
  </si>
  <si>
    <t>CYANOGEN</t>
  </si>
  <si>
    <t>C3F6</t>
  </si>
  <si>
    <t>HEXAFLUOROPROPYLENE</t>
  </si>
  <si>
    <t>C3F6O</t>
  </si>
  <si>
    <t>HEXAFLUOROACETONE</t>
  </si>
  <si>
    <t>C3F8</t>
  </si>
  <si>
    <t>OCTAFLUOROPROPANE</t>
  </si>
  <si>
    <t>C3H2N2</t>
  </si>
  <si>
    <t>MALONONITRILE</t>
  </si>
  <si>
    <t>PROPARGYL CHLORIDE</t>
  </si>
  <si>
    <t>C3H3N</t>
  </si>
  <si>
    <t>ACRYLONITRILE</t>
  </si>
  <si>
    <t>C3H3NO</t>
  </si>
  <si>
    <t>OXAZOLE</t>
  </si>
  <si>
    <t>C3H4</t>
  </si>
  <si>
    <t>METHYLACETYLENE</t>
  </si>
  <si>
    <t>PROPADIENE</t>
  </si>
  <si>
    <t>C3H4Cl2</t>
  </si>
  <si>
    <t>2,3-DICHLOROPROPENE</t>
  </si>
  <si>
    <t>C3H4O</t>
  </si>
  <si>
    <t>ACROLEIN</t>
  </si>
  <si>
    <t>PROPARGYLALCOHOL</t>
  </si>
  <si>
    <t>ACRYLIC ACID</t>
  </si>
  <si>
    <t>C7H14</t>
  </si>
  <si>
    <t>CYCLOHEPTANE</t>
  </si>
  <si>
    <t>1,1-DIMETYLCYCLOPENTANE</t>
  </si>
  <si>
    <t>ETHYLCYCLOPENTANE</t>
  </si>
  <si>
    <t>2-ETHYL-1-PENTENE</t>
  </si>
  <si>
    <t>3-ETHYL-1-PENTENE</t>
  </si>
  <si>
    <t>1-HEPTENE</t>
  </si>
  <si>
    <t>METHYLCYCLOHEXANE</t>
  </si>
  <si>
    <t>2-METHYL-1-HEXENE</t>
  </si>
  <si>
    <t>3-METHYL-1-HEXENE</t>
  </si>
  <si>
    <t>4-METHYL-1-HEXENE</t>
  </si>
  <si>
    <t>2,3,3-TRIMETHYL-1-BUTENE</t>
  </si>
  <si>
    <t>C7H14O</t>
  </si>
  <si>
    <t>DIISOPROPYL KETONE</t>
  </si>
  <si>
    <t>2-HEPTANONE</t>
  </si>
  <si>
    <t>1-METHYLCYCLOHEXANOL</t>
  </si>
  <si>
    <t>5-METHYL-2-HEXANONE</t>
  </si>
  <si>
    <t>C7H14O2</t>
  </si>
  <si>
    <t>ETHYLISOVALERATE</t>
  </si>
  <si>
    <t>ISOPENTYL ACETATE</t>
  </si>
  <si>
    <t>C7H14O3</t>
  </si>
  <si>
    <t>ETHYL-3-ETHOXYPROPIONATE</t>
  </si>
  <si>
    <t>C7H15Br</t>
  </si>
  <si>
    <t>1-BROMOHEPTANE</t>
  </si>
  <si>
    <t>C7H15N</t>
  </si>
  <si>
    <t>N-METHYLCYCLOHEXYLAMINE</t>
  </si>
  <si>
    <t>C7H16</t>
  </si>
  <si>
    <t>2,2-DIMETHYLPENTANE</t>
  </si>
  <si>
    <t>2,3-DIMETHYLPENTANE</t>
  </si>
  <si>
    <t>2,4-DIMETHYLPENTANE</t>
  </si>
  <si>
    <t>3,3-DIMETHYLPENTANE</t>
  </si>
  <si>
    <t>3-ETHYLPENTANE</t>
  </si>
  <si>
    <t>2-METHYLHEXANE</t>
  </si>
  <si>
    <t>3-METHYLHEXANE</t>
  </si>
  <si>
    <t>2,2,3-TRIMETHYLBUTANE</t>
  </si>
  <si>
    <t>C7H16O</t>
  </si>
  <si>
    <t>1-HEPTANOL</t>
  </si>
  <si>
    <t>2-HEPTANOL</t>
  </si>
  <si>
    <t>5-METHYL-1-HEXANOL</t>
  </si>
  <si>
    <t>ISOPROPYL-TERT-BUTYL-ETHER</t>
  </si>
  <si>
    <t>C7H16S</t>
  </si>
  <si>
    <t>BUTYL-PROPYL-SULFIDE</t>
  </si>
  <si>
    <t>ETHYL-PENTYL-SULFIDE</t>
  </si>
  <si>
    <t>HEXYL-METHYL-SULFIDE</t>
  </si>
  <si>
    <t>C7H17N</t>
  </si>
  <si>
    <t>1-AMINOHEPTANE</t>
  </si>
  <si>
    <t>C8H4O3</t>
  </si>
  <si>
    <t>PHTHALIC ANHYDRIDE</t>
  </si>
  <si>
    <t>ISOPHTHALIC ACID</t>
  </si>
  <si>
    <t>PHTHALIC ACID</t>
  </si>
  <si>
    <t>C8H6S</t>
  </si>
  <si>
    <t>BENZOTHIOPHENE</t>
  </si>
  <si>
    <t>C8H7N</t>
  </si>
  <si>
    <t>INDOLE</t>
  </si>
  <si>
    <t>C8H8</t>
  </si>
  <si>
    <t>STYRENE</t>
  </si>
  <si>
    <t>1,3,5,7-CYCLOOCTATETRAENE</t>
  </si>
  <si>
    <t>C8H8O</t>
  </si>
  <si>
    <t>C8H8O2</t>
  </si>
  <si>
    <t>METHYL BENZOA TE</t>
  </si>
  <si>
    <t>C8H8O3</t>
  </si>
  <si>
    <t>METHYL SALICYLATE</t>
  </si>
  <si>
    <t>VANILLIN</t>
  </si>
  <si>
    <t>C8H9NO</t>
  </si>
  <si>
    <t>ACETANILIDE</t>
  </si>
  <si>
    <t>ETHYLBENZENE</t>
  </si>
  <si>
    <t>C8H18S</t>
  </si>
  <si>
    <t>BUTYL-SULFIDE</t>
  </si>
  <si>
    <t>ETHYL-HEXYL-SULFIDE</t>
  </si>
  <si>
    <t>HEPTYL-METHYL-SULFIDE</t>
  </si>
  <si>
    <t>PENTYL-PROPYL-SULFIDE</t>
  </si>
  <si>
    <t>C8H18S2</t>
  </si>
  <si>
    <t>BUTYL-DISULFIDE</t>
  </si>
  <si>
    <t>C8H19N</t>
  </si>
  <si>
    <t>DIISOBUTYLAMINE</t>
  </si>
  <si>
    <t>C8H23N5</t>
  </si>
  <si>
    <t>TETRAETHYLENEPENTAMINE</t>
  </si>
  <si>
    <t>OCTAMETHYLCYCLOTETRASILOXANE</t>
  </si>
  <si>
    <t>C9H4O5</t>
  </si>
  <si>
    <t>TRIMELLITIC ANHYDRIDE</t>
  </si>
  <si>
    <t>C9H6N2O2</t>
  </si>
  <si>
    <t>TOLUENE DIISOCYANATE</t>
  </si>
  <si>
    <t>C9H7N</t>
  </si>
  <si>
    <t>ISOQUINOLINE</t>
  </si>
  <si>
    <t>C9H7NO</t>
  </si>
  <si>
    <t>8-HYDROXYQUINOLINE</t>
  </si>
  <si>
    <t>C9H8</t>
  </si>
  <si>
    <t>INDENE</t>
  </si>
  <si>
    <t>C9H8O</t>
  </si>
  <si>
    <t>2-METHYLBENZOFURAN</t>
  </si>
  <si>
    <t>C9H10</t>
  </si>
  <si>
    <t>INDANE</t>
  </si>
  <si>
    <t>C9H10O2</t>
  </si>
  <si>
    <t>BENZYL ACETATE</t>
  </si>
  <si>
    <t>C9H10O3</t>
  </si>
  <si>
    <t>ETHYL VANILLIN</t>
  </si>
  <si>
    <t>C9H11NO</t>
  </si>
  <si>
    <t>C9H12</t>
  </si>
  <si>
    <t>CUMENE</t>
  </si>
  <si>
    <t>MESITYLENE</t>
  </si>
  <si>
    <t>1,2,3-TRIMETHYLBENZENE</t>
  </si>
  <si>
    <t>1,2,4-TRIMETHYLBENZENE</t>
  </si>
  <si>
    <t>C9H12O</t>
  </si>
  <si>
    <t>2-PHENYL-2-PROPANOL</t>
  </si>
  <si>
    <t>C9H12O2</t>
  </si>
  <si>
    <t>CUMENE HYDROPEROXIDE</t>
  </si>
  <si>
    <t>C9H14O</t>
  </si>
  <si>
    <t>ISOPHORONE</t>
  </si>
  <si>
    <t>GLYCERYL TRIACETATE</t>
  </si>
  <si>
    <t>C9H16</t>
  </si>
  <si>
    <t>1-NONYNE</t>
  </si>
  <si>
    <t>AZELAIC ACID</t>
  </si>
  <si>
    <t>C9H18</t>
  </si>
  <si>
    <t>BUTYLCYCLOPENTANE</t>
  </si>
  <si>
    <t>ISOPROPYLCYCLOHEXANE</t>
  </si>
  <si>
    <t>1-NONENE</t>
  </si>
  <si>
    <t>C9H18O</t>
  </si>
  <si>
    <t>DIISOBUTYL KETONE</t>
  </si>
  <si>
    <t>1-NONANAL</t>
  </si>
  <si>
    <t>C9H18O2</t>
  </si>
  <si>
    <t>3,3-DIETHYLPENTANE</t>
  </si>
  <si>
    <t>2,2-DIMETHYL-3-ETHYLPENTANE</t>
  </si>
  <si>
    <t>3-ETHYL-2,3-DIMETHYLPENTANE</t>
  </si>
  <si>
    <t>2,4-DIMETHYL-3-ETHYLPENTANE</t>
  </si>
  <si>
    <t>2,2-DIMETHYLHEPTANE</t>
  </si>
  <si>
    <t>2,6-DIMETHYLHEPTANE</t>
  </si>
  <si>
    <t>3-ETHYLHEPTANE</t>
  </si>
  <si>
    <t>4-ETHYLHEPTANE</t>
  </si>
  <si>
    <t>2,3-DIMETHYLHEPTANE</t>
  </si>
  <si>
    <t>2,4-DIMETHYLHEPTANE</t>
  </si>
  <si>
    <t>2,5-DIMETHYLHEPTANE</t>
  </si>
  <si>
    <t>3,4-DIMETHYLHEPTANE</t>
  </si>
  <si>
    <t>3,5-DIMETHYLHEPTANE</t>
  </si>
  <si>
    <t>4,4-DIMETHYLHEPTANE</t>
  </si>
  <si>
    <t>3-ETHYL-2-METHYLHEXANE</t>
  </si>
  <si>
    <t>4-ETHYL-2-METHYLHEXANE</t>
  </si>
  <si>
    <t>3-ETHYL-3-METHYLHEXANE</t>
  </si>
  <si>
    <t>3-ETHYL-4-METHYLHEXANE</t>
  </si>
  <si>
    <t>2,2,3-TRIMETHYLHEXANE</t>
  </si>
  <si>
    <t>2,2,4-TRIMETHYLHEXANE</t>
  </si>
  <si>
    <t>2,3,3-TRIMETHYLHEXANE</t>
  </si>
  <si>
    <t>2,3,4-TRIMETHYLHEXANE</t>
  </si>
  <si>
    <t xml:space="preserve">METHYL-OCTADECYL-SULFIDE </t>
  </si>
  <si>
    <t>1-NONADECANETHIOL</t>
  </si>
  <si>
    <t>ABIETIC ACID</t>
  </si>
  <si>
    <t xml:space="preserve">DEHYDROABIETYLAMINE </t>
  </si>
  <si>
    <t>1-PHENYLTETRADECANE</t>
  </si>
  <si>
    <t xml:space="preserve">1-EICOSENE </t>
  </si>
  <si>
    <t xml:space="preserve">ETHYL-OCTADECYL-SULFIDE </t>
  </si>
  <si>
    <t>HEPTADECYL-PROPYL-SULFIDE</t>
  </si>
  <si>
    <t xml:space="preserve">1-EJCOSANETHIOL </t>
  </si>
  <si>
    <t>DECYL-DISULFIDE</t>
  </si>
  <si>
    <t>1-PHENYLPENTADECANE</t>
  </si>
  <si>
    <t xml:space="preserve">1-CYCLOHEXYLHEXADECANE </t>
  </si>
  <si>
    <t>TETRAPHENYLETHYLENE</t>
  </si>
  <si>
    <t>DIISODECYL PHTHALATE</t>
  </si>
  <si>
    <t>Ag</t>
  </si>
  <si>
    <t>SILVER</t>
  </si>
  <si>
    <t>SILVER IODIDE</t>
  </si>
  <si>
    <t>Al</t>
  </si>
  <si>
    <t>ALUMINUM</t>
  </si>
  <si>
    <t>ALUMINUN BROMIDE</t>
  </si>
  <si>
    <t>ALUMINUM CHLORIDE</t>
  </si>
  <si>
    <t>ALUMINUM IODIDE</t>
  </si>
  <si>
    <t>Al2O3</t>
  </si>
  <si>
    <t>ALUMINUM OXIDE</t>
  </si>
  <si>
    <t>Ar</t>
  </si>
  <si>
    <t>ARGON</t>
  </si>
  <si>
    <t>As</t>
  </si>
  <si>
    <t>ARSENIC</t>
  </si>
  <si>
    <t>AsBr3</t>
  </si>
  <si>
    <t>ARSENIC TRIBROMIDE</t>
  </si>
  <si>
    <t>AsCl3</t>
  </si>
  <si>
    <t>ARSENIC TRICHLORIDE</t>
  </si>
  <si>
    <t>AsF3</t>
  </si>
  <si>
    <t>ARSENIC TRIFLUORIDE</t>
  </si>
  <si>
    <t>AsF5</t>
  </si>
  <si>
    <t>ARSENIC PENTAFLUORIDE</t>
  </si>
  <si>
    <t>AsH3</t>
  </si>
  <si>
    <t>ARSINE</t>
  </si>
  <si>
    <t>As2O3</t>
  </si>
  <si>
    <t>ARSENIC TRIOXIDE</t>
  </si>
  <si>
    <t>Au</t>
  </si>
  <si>
    <t>GOLD</t>
  </si>
  <si>
    <t>BORON</t>
  </si>
  <si>
    <t>BBr3</t>
  </si>
  <si>
    <t>BORON TRIBROMIDE</t>
  </si>
  <si>
    <t>BCl3</t>
  </si>
  <si>
    <t>BORON TRICHLORIDE</t>
  </si>
  <si>
    <t>BF3</t>
  </si>
  <si>
    <t>BORON TRIFLUORIDE</t>
  </si>
  <si>
    <t>B2H6</t>
  </si>
  <si>
    <t>DIBORANE</t>
  </si>
  <si>
    <t>B3N3H6</t>
  </si>
  <si>
    <t>BORINE TRIAMINE</t>
  </si>
  <si>
    <t>B4H10</t>
  </si>
  <si>
    <t>TETRABORANE</t>
  </si>
  <si>
    <t>B5H9</t>
  </si>
  <si>
    <t>PENTABORANE</t>
  </si>
  <si>
    <t>B5H11</t>
  </si>
  <si>
    <t>TETRAHYDROPENTABORANE</t>
  </si>
  <si>
    <t>B10H14</t>
  </si>
  <si>
    <t>DECABORANE</t>
  </si>
  <si>
    <t>Ba</t>
  </si>
  <si>
    <t>BARIUM</t>
  </si>
  <si>
    <t>Be</t>
  </si>
  <si>
    <t>BERYLLIUM</t>
  </si>
  <si>
    <t>BeBr2</t>
  </si>
  <si>
    <t>BERYLLIUM BROMIDE</t>
  </si>
  <si>
    <t>BeCl2</t>
  </si>
  <si>
    <t>BERYLLIUM CHLORIDE</t>
  </si>
  <si>
    <t>BERYLLIUM IODIDE</t>
  </si>
  <si>
    <t>Bi</t>
  </si>
  <si>
    <t>BISMUTH</t>
  </si>
  <si>
    <t>BiBr3</t>
  </si>
  <si>
    <t>BISMUTH TRIBROMIDE</t>
  </si>
  <si>
    <t>BiCl3</t>
  </si>
  <si>
    <t>BISMUTH TRICHLORIDE</t>
  </si>
  <si>
    <t>BrF5</t>
  </si>
  <si>
    <t>BROMINE PENTAFLUORIDE</t>
  </si>
  <si>
    <t>Br2</t>
  </si>
  <si>
    <t>BROMINE</t>
  </si>
  <si>
    <t>C</t>
  </si>
  <si>
    <t>CARBON</t>
  </si>
  <si>
    <t>CH4N2O</t>
  </si>
  <si>
    <t>UREA</t>
  </si>
  <si>
    <t>CH4N2S</t>
  </si>
  <si>
    <t>THIOUREA</t>
  </si>
  <si>
    <t>CNBr</t>
  </si>
  <si>
    <t>CYANOGEN BROMIDE</t>
  </si>
  <si>
    <t>CNF</t>
  </si>
  <si>
    <t>CYANOGEN FLUORIDE</t>
  </si>
  <si>
    <t>CARBON OXYSELENIDE</t>
  </si>
  <si>
    <t>CSeS</t>
  </si>
  <si>
    <t>CARBON SELENOSULFIDE</t>
  </si>
  <si>
    <t>Ca</t>
  </si>
  <si>
    <t>CALCIUM</t>
  </si>
  <si>
    <t>CaF2</t>
  </si>
  <si>
    <t>CALCIUM FLUORIDE</t>
  </si>
  <si>
    <t>Cd</t>
  </si>
  <si>
    <t>CADMIUM</t>
  </si>
  <si>
    <t>CdCl2</t>
  </si>
  <si>
    <t>CADMIUM CHLORIDE</t>
  </si>
  <si>
    <t>CADMIUM IODIDE</t>
  </si>
  <si>
    <t>CdO</t>
  </si>
  <si>
    <t>CADMIUM OXIDE</t>
  </si>
  <si>
    <t>CHLORINE MONOFLUORIDE</t>
  </si>
  <si>
    <t>PERCHLORYL FLUORIDE</t>
  </si>
  <si>
    <t>CHLORINE TRIFLUORIDE</t>
  </si>
  <si>
    <t>CHLORINE PENTAFLUORIDE</t>
  </si>
  <si>
    <t>CHLOROSULFONIC ACID</t>
  </si>
  <si>
    <t>C20H16</t>
  </si>
  <si>
    <t>C20H28</t>
  </si>
  <si>
    <t>C20H31N</t>
  </si>
  <si>
    <t xml:space="preserve">C20H38 </t>
  </si>
  <si>
    <t xml:space="preserve">C20H40 </t>
  </si>
  <si>
    <t>C20H42</t>
  </si>
  <si>
    <t>C20H42S2</t>
  </si>
  <si>
    <t>C21H36</t>
  </si>
  <si>
    <t>C22H38</t>
  </si>
  <si>
    <t>C22H44</t>
  </si>
  <si>
    <t>C22H44O2</t>
  </si>
  <si>
    <t>C26H2O</t>
  </si>
  <si>
    <t>C28H46O4</t>
  </si>
  <si>
    <t>C2H3F3</t>
  </si>
  <si>
    <t>No. Composto</t>
  </si>
  <si>
    <t>AMMONIUM BROMIDE</t>
  </si>
  <si>
    <t>AMMONIUM CHLORIDE</t>
  </si>
  <si>
    <t>AMMONIUM IODIDE</t>
  </si>
  <si>
    <t>4B</t>
  </si>
  <si>
    <t>7B</t>
  </si>
  <si>
    <t>9B</t>
  </si>
  <si>
    <t>10B</t>
  </si>
  <si>
    <t>6B</t>
  </si>
  <si>
    <t>171B</t>
  </si>
  <si>
    <t>173B</t>
  </si>
  <si>
    <t>174B</t>
  </si>
  <si>
    <t>177B</t>
  </si>
  <si>
    <t>175B</t>
  </si>
  <si>
    <t>259B</t>
  </si>
  <si>
    <t>262B</t>
  </si>
  <si>
    <t>261B</t>
  </si>
  <si>
    <t>265B</t>
  </si>
  <si>
    <t>12B</t>
  </si>
  <si>
    <t>13B</t>
  </si>
  <si>
    <t>17B</t>
  </si>
  <si>
    <t>14B</t>
  </si>
  <si>
    <t>15B</t>
  </si>
  <si>
    <t>16B</t>
  </si>
  <si>
    <t>20B</t>
  </si>
  <si>
    <t>18B</t>
  </si>
  <si>
    <t>37B</t>
  </si>
  <si>
    <t>38B</t>
  </si>
  <si>
    <t>40B</t>
  </si>
  <si>
    <t>41B</t>
  </si>
  <si>
    <t>43B</t>
  </si>
  <si>
    <t>44B</t>
  </si>
  <si>
    <t>45B</t>
  </si>
  <si>
    <t>46B</t>
  </si>
  <si>
    <t>32B</t>
  </si>
  <si>
    <t>23B</t>
  </si>
  <si>
    <t>24B</t>
  </si>
  <si>
    <t>25B</t>
  </si>
  <si>
    <t>26B</t>
  </si>
  <si>
    <t>48B</t>
  </si>
  <si>
    <t>47B</t>
  </si>
  <si>
    <t>273B</t>
  </si>
  <si>
    <t>68B</t>
  </si>
  <si>
    <t>69B</t>
  </si>
  <si>
    <t>71B</t>
  </si>
  <si>
    <t>72B</t>
  </si>
  <si>
    <t>65B</t>
  </si>
  <si>
    <t>66B</t>
  </si>
  <si>
    <t>49B</t>
  </si>
  <si>
    <t>60B</t>
  </si>
  <si>
    <t>61B</t>
  </si>
  <si>
    <t>57B</t>
  </si>
  <si>
    <t>59B</t>
  </si>
  <si>
    <t>62B</t>
  </si>
  <si>
    <t>51B</t>
  </si>
  <si>
    <t>58B</t>
  </si>
  <si>
    <t>89B</t>
  </si>
  <si>
    <t>90B</t>
  </si>
  <si>
    <t>91B</t>
  </si>
  <si>
    <t>92B</t>
  </si>
  <si>
    <t>93B</t>
  </si>
  <si>
    <t>80B</t>
  </si>
  <si>
    <t>79B</t>
  </si>
  <si>
    <t>82B</t>
  </si>
  <si>
    <t>73B</t>
  </si>
  <si>
    <t>81B</t>
  </si>
  <si>
    <t>76B</t>
  </si>
  <si>
    <t>75B</t>
  </si>
  <si>
    <t>77B</t>
  </si>
  <si>
    <t>86B</t>
  </si>
  <si>
    <t>87B</t>
  </si>
  <si>
    <t>88B</t>
  </si>
  <si>
    <t>83B</t>
  </si>
  <si>
    <t>84B</t>
  </si>
  <si>
    <t>94B</t>
  </si>
  <si>
    <t>98B</t>
  </si>
  <si>
    <t>97B</t>
  </si>
  <si>
    <t>95B</t>
  </si>
  <si>
    <t>96B</t>
  </si>
  <si>
    <t>63B</t>
  </si>
  <si>
    <t>54B</t>
  </si>
  <si>
    <t>55B</t>
  </si>
  <si>
    <t>56B</t>
  </si>
  <si>
    <t>36B</t>
  </si>
  <si>
    <t>100B</t>
  </si>
  <si>
    <t>101B</t>
  </si>
  <si>
    <t>31B</t>
  </si>
  <si>
    <t>275B</t>
  </si>
  <si>
    <t>284B</t>
  </si>
  <si>
    <t>277B</t>
  </si>
  <si>
    <t>285B</t>
  </si>
  <si>
    <t>286B</t>
  </si>
  <si>
    <t>118B</t>
  </si>
  <si>
    <t>287B</t>
  </si>
  <si>
    <t>297B</t>
  </si>
  <si>
    <t>296B</t>
  </si>
  <si>
    <t>300B</t>
  </si>
  <si>
    <t>108B</t>
  </si>
  <si>
    <t>107B</t>
  </si>
  <si>
    <t>103B</t>
  </si>
  <si>
    <t>104B</t>
  </si>
  <si>
    <t>112B</t>
  </si>
  <si>
    <t>110B</t>
  </si>
  <si>
    <t>111B</t>
  </si>
  <si>
    <t>117B</t>
  </si>
  <si>
    <t>113B</t>
  </si>
  <si>
    <t>114B</t>
  </si>
  <si>
    <t>115B</t>
  </si>
  <si>
    <t>22B</t>
  </si>
  <si>
    <t>137B</t>
  </si>
  <si>
    <t>135B</t>
  </si>
  <si>
    <t>136B</t>
  </si>
  <si>
    <t>294B</t>
  </si>
  <si>
    <t>299B</t>
  </si>
  <si>
    <t>295B</t>
  </si>
  <si>
    <t>184B</t>
  </si>
  <si>
    <t>126B</t>
  </si>
  <si>
    <t>120B</t>
  </si>
  <si>
    <t>122B</t>
  </si>
  <si>
    <t>121B</t>
  </si>
  <si>
    <t>131B</t>
  </si>
  <si>
    <t>123B</t>
  </si>
  <si>
    <t>124B</t>
  </si>
  <si>
    <t>128B</t>
  </si>
  <si>
    <t>132B</t>
  </si>
  <si>
    <t>129B</t>
  </si>
  <si>
    <t>133B</t>
  </si>
  <si>
    <t>172B</t>
  </si>
  <si>
    <t>144B</t>
  </si>
  <si>
    <t>143B</t>
  </si>
  <si>
    <t>142B</t>
  </si>
  <si>
    <t>145B</t>
  </si>
  <si>
    <t>105B</t>
  </si>
  <si>
    <t>106B</t>
  </si>
  <si>
    <t>152B</t>
  </si>
  <si>
    <t>228B</t>
  </si>
  <si>
    <t>229B</t>
  </si>
  <si>
    <t>230B</t>
  </si>
  <si>
    <t>231B</t>
  </si>
  <si>
    <t>232B</t>
  </si>
  <si>
    <t>233B</t>
  </si>
  <si>
    <t>154B</t>
  </si>
  <si>
    <t>155B</t>
  </si>
  <si>
    <t>158B</t>
  </si>
  <si>
    <t>160B</t>
  </si>
  <si>
    <t>161B</t>
  </si>
  <si>
    <t>162B</t>
  </si>
  <si>
    <t>163B</t>
  </si>
  <si>
    <t>164B</t>
  </si>
  <si>
    <t>139B</t>
  </si>
  <si>
    <t>141B</t>
  </si>
  <si>
    <t>165B</t>
  </si>
  <si>
    <t>166B</t>
  </si>
  <si>
    <t>167B</t>
  </si>
  <si>
    <t>288B</t>
  </si>
  <si>
    <t>289B</t>
  </si>
  <si>
    <t>290B</t>
  </si>
  <si>
    <t>200B</t>
  </si>
  <si>
    <t>201B</t>
  </si>
  <si>
    <t>202B</t>
  </si>
  <si>
    <t>204B</t>
  </si>
  <si>
    <t>199B</t>
  </si>
  <si>
    <t>125B</t>
  </si>
  <si>
    <t>178B</t>
  </si>
  <si>
    <t>182B</t>
  </si>
  <si>
    <t>181B</t>
  </si>
  <si>
    <t>190B</t>
  </si>
  <si>
    <t>168B</t>
  </si>
  <si>
    <t>170B</t>
  </si>
  <si>
    <t>188B</t>
  </si>
  <si>
    <t>179B</t>
  </si>
  <si>
    <t>180B</t>
  </si>
  <si>
    <t>187B</t>
  </si>
  <si>
    <t>301B</t>
  </si>
  <si>
    <t>208B</t>
  </si>
  <si>
    <t>211B</t>
  </si>
  <si>
    <t>210B</t>
  </si>
  <si>
    <t>206B</t>
  </si>
  <si>
    <t>207B</t>
  </si>
  <si>
    <t>234B</t>
  </si>
  <si>
    <t>34B</t>
  </si>
  <si>
    <t>74B</t>
  </si>
  <si>
    <t>50B</t>
  </si>
  <si>
    <t>217B</t>
  </si>
  <si>
    <t>220B</t>
  </si>
  <si>
    <t>212B</t>
  </si>
  <si>
    <t>221B</t>
  </si>
  <si>
    <t>216B</t>
  </si>
  <si>
    <t>226B</t>
  </si>
  <si>
    <t>222B</t>
  </si>
  <si>
    <t>223B</t>
  </si>
  <si>
    <t>215B</t>
  </si>
  <si>
    <t>235B</t>
  </si>
  <si>
    <t>147B</t>
  </si>
  <si>
    <t>148B</t>
  </si>
  <si>
    <t>149B</t>
  </si>
  <si>
    <t>151B</t>
  </si>
  <si>
    <t>150B</t>
  </si>
  <si>
    <t>237B</t>
  </si>
  <si>
    <t>244B</t>
  </si>
  <si>
    <t>245B</t>
  </si>
  <si>
    <t>238B</t>
  </si>
  <si>
    <t>239B</t>
  </si>
  <si>
    <t>240B</t>
  </si>
  <si>
    <t>242B</t>
  </si>
  <si>
    <t>247B</t>
  </si>
  <si>
    <t>248B</t>
  </si>
  <si>
    <t>305B</t>
  </si>
  <si>
    <t>266B</t>
  </si>
  <si>
    <t>267B</t>
  </si>
  <si>
    <t>271B</t>
  </si>
  <si>
    <t>269B</t>
  </si>
  <si>
    <t>268B</t>
  </si>
  <si>
    <t>292B</t>
  </si>
  <si>
    <t>272B</t>
  </si>
  <si>
    <t>293B</t>
  </si>
  <si>
    <t>280B</t>
  </si>
  <si>
    <t>1B</t>
  </si>
  <si>
    <t>3B</t>
  </si>
  <si>
    <t>191B</t>
  </si>
  <si>
    <t>192B</t>
  </si>
  <si>
    <t>193B</t>
  </si>
  <si>
    <t>195B</t>
  </si>
  <si>
    <t>197B</t>
  </si>
  <si>
    <t>196B</t>
  </si>
  <si>
    <t>198B</t>
  </si>
  <si>
    <t>307B</t>
  </si>
  <si>
    <t>263B</t>
  </si>
  <si>
    <t>249B</t>
  </si>
  <si>
    <t>255B</t>
  </si>
  <si>
    <t>251B</t>
  </si>
  <si>
    <t>250B</t>
  </si>
  <si>
    <t>257B</t>
  </si>
  <si>
    <t>130B</t>
  </si>
  <si>
    <t>254B</t>
  </si>
  <si>
    <t>256B</t>
  </si>
  <si>
    <t>33B</t>
  </si>
  <si>
    <t>183B</t>
  </si>
  <si>
    <t>35B</t>
  </si>
  <si>
    <t>252B</t>
  </si>
  <si>
    <t>253B</t>
  </si>
  <si>
    <t>53B</t>
  </si>
  <si>
    <t>306B</t>
  </si>
  <si>
    <t>281B</t>
  </si>
  <si>
    <t>116B</t>
  </si>
  <si>
    <t>278B</t>
  </si>
  <si>
    <t>298B</t>
  </si>
  <si>
    <t>274B</t>
  </si>
  <si>
    <t>276B</t>
  </si>
  <si>
    <t>283B</t>
  </si>
  <si>
    <t>119B</t>
  </si>
  <si>
    <t>302B</t>
  </si>
  <si>
    <t>303B</t>
  </si>
  <si>
    <t>52B</t>
  </si>
  <si>
    <t>127B</t>
  </si>
  <si>
    <t>T [°C]</t>
  </si>
  <si>
    <t>1-CYCLOHEXYLTETRADECANE</t>
  </si>
  <si>
    <t>1-HEXADECANOL I</t>
  </si>
  <si>
    <t>No.</t>
  </si>
  <si>
    <t>Achar Composto:</t>
  </si>
  <si>
    <t>Filtro:</t>
  </si>
  <si>
    <t>NENHUM</t>
  </si>
  <si>
    <t>TMIN [°C]</t>
  </si>
  <si>
    <t>TMAX [°C]</t>
  </si>
  <si>
    <t>MW [g/mol]</t>
  </si>
  <si>
    <t>C2H4I2</t>
  </si>
  <si>
    <t>C3H6I2</t>
  </si>
  <si>
    <t>C6H3N3O6</t>
  </si>
  <si>
    <t>C8H12O4</t>
  </si>
  <si>
    <t>C12H14O4</t>
  </si>
  <si>
    <t>C6H3CIN2O4</t>
  </si>
  <si>
    <t>1-CHLORO-2,4-DINITROBENZENE</t>
  </si>
  <si>
    <t>1-CHLORO-3-METHYLBUTANE</t>
  </si>
  <si>
    <t>1-AMINO-2-PROPANOL</t>
  </si>
  <si>
    <t>C20H40</t>
  </si>
  <si>
    <t>C10H18O4</t>
  </si>
  <si>
    <t>C7H12O4</t>
  </si>
  <si>
    <t>C8H16O4</t>
  </si>
  <si>
    <t>C10H10O4</t>
  </si>
  <si>
    <t>C9H16O4</t>
  </si>
  <si>
    <t>C18H34O4</t>
  </si>
  <si>
    <t>C20H34</t>
  </si>
  <si>
    <t>C7H5N3O6</t>
  </si>
  <si>
    <t>C7H6N2O4</t>
  </si>
  <si>
    <t>C2HClF2</t>
  </si>
  <si>
    <t>C5H11Cl</t>
  </si>
  <si>
    <t>C2H5ClO</t>
  </si>
  <si>
    <t>C3H5Cl</t>
  </si>
  <si>
    <t>C3H5I</t>
  </si>
  <si>
    <t>C7H3ClF3NO2</t>
  </si>
  <si>
    <t>C20H30O2</t>
  </si>
  <si>
    <t>C2H3ClO</t>
  </si>
  <si>
    <t>C6H10O4</t>
  </si>
  <si>
    <t>C3H5ClO</t>
  </si>
  <si>
    <t>C6H8O6</t>
  </si>
  <si>
    <t>C7H7Cl</t>
  </si>
  <si>
    <t>CBrClF2</t>
  </si>
  <si>
    <t>BUTYL-DODECYL-SULFIDE</t>
  </si>
  <si>
    <t>CO</t>
  </si>
  <si>
    <t>COS</t>
  </si>
  <si>
    <t>C2H3ClO2</t>
  </si>
  <si>
    <t>CHClF2</t>
  </si>
  <si>
    <t>CH2ClF</t>
  </si>
  <si>
    <t>C2ClF5</t>
  </si>
  <si>
    <t>C4H5Cl</t>
  </si>
  <si>
    <t>C2ClF3</t>
  </si>
  <si>
    <t>C5H6O4</t>
  </si>
  <si>
    <t>CClN</t>
  </si>
  <si>
    <t>C10H12O4</t>
  </si>
  <si>
    <t>C12H20O4</t>
  </si>
  <si>
    <t>C16H22O4</t>
  </si>
  <si>
    <t>CHCl2F</t>
  </si>
  <si>
    <t>C8H14O4</t>
  </si>
  <si>
    <t>C4H10O4S</t>
  </si>
  <si>
    <t>CH2I2</t>
  </si>
  <si>
    <t>C24H38O4</t>
  </si>
  <si>
    <t>C6H8O4</t>
  </si>
  <si>
    <t>C2H6AlCl</t>
  </si>
  <si>
    <t>C2H5Cl</t>
  </si>
  <si>
    <t>C2H5I</t>
  </si>
  <si>
    <t>C2H6O2</t>
  </si>
  <si>
    <t>C4H4O4</t>
  </si>
  <si>
    <t>C5H8O4</t>
  </si>
  <si>
    <t>C5H6O3</t>
  </si>
  <si>
    <t>C9H14O6</t>
  </si>
  <si>
    <t>C2HBrClF3</t>
  </si>
  <si>
    <t>C6H5ClO</t>
  </si>
  <si>
    <t>C8H6O4</t>
  </si>
  <si>
    <t>C3H7Cl</t>
  </si>
  <si>
    <t>C3H7I</t>
  </si>
  <si>
    <t>C5H9NO4</t>
  </si>
  <si>
    <t>C6H6ClN</t>
  </si>
  <si>
    <t>C6H4ClNO2</t>
  </si>
  <si>
    <t>C6H4N2O4</t>
  </si>
  <si>
    <t>CH3Cl</t>
  </si>
  <si>
    <t>CH5ClSi</t>
  </si>
  <si>
    <t>CH3I</t>
  </si>
  <si>
    <t>C6H5Cl</t>
  </si>
  <si>
    <t>C4H9Cl</t>
  </si>
  <si>
    <t>!306</t>
  </si>
  <si>
    <t>C7H5ClO2</t>
  </si>
  <si>
    <t>ETHYL-TETRADECYL-SULFIDE</t>
  </si>
  <si>
    <t>DIPHENYLMETHANE-4,4-DIISOCYANATE</t>
  </si>
  <si>
    <t>DIMETHYL PHTHALATE</t>
  </si>
  <si>
    <t>C8H24O4Si4</t>
  </si>
  <si>
    <t>OCTYL-SULFIDE</t>
  </si>
  <si>
    <t>C7H4ClF3</t>
  </si>
  <si>
    <t>C5H12O4</t>
  </si>
  <si>
    <t>C3H3Cl</t>
  </si>
  <si>
    <t>C6H14O6</t>
  </si>
  <si>
    <t>C4H6O4</t>
  </si>
  <si>
    <t>C4H6O6</t>
  </si>
  <si>
    <t>C8H18O4</t>
  </si>
  <si>
    <t>CHI3</t>
  </si>
  <si>
    <t>C12H27BO3</t>
  </si>
  <si>
    <t>C2H3Cl</t>
  </si>
  <si>
    <t>AlCl3</t>
  </si>
  <si>
    <t>AlI3</t>
  </si>
  <si>
    <t>AlBr3</t>
  </si>
  <si>
    <t>NH4Cl</t>
  </si>
  <si>
    <t>BeI2</t>
  </si>
  <si>
    <t>CdI2</t>
  </si>
  <si>
    <t>COSe</t>
  </si>
  <si>
    <t>CsCl</t>
  </si>
  <si>
    <t>CsI</t>
  </si>
  <si>
    <t>ClF</t>
  </si>
  <si>
    <t>ClF5</t>
  </si>
  <si>
    <t>ClF3</t>
  </si>
  <si>
    <t>ClHO3S</t>
  </si>
  <si>
    <t>CrC6O6</t>
  </si>
  <si>
    <t>CrO2Cl2</t>
  </si>
  <si>
    <t>CuI</t>
  </si>
  <si>
    <t>CuCl</t>
  </si>
  <si>
    <t>CNCl</t>
  </si>
  <si>
    <t>H</t>
  </si>
  <si>
    <t>HO</t>
  </si>
  <si>
    <t>SiBr2ClF</t>
  </si>
  <si>
    <t>SiH2I2</t>
  </si>
  <si>
    <t>Si2H5Cl</t>
  </si>
  <si>
    <t>HCl</t>
  </si>
  <si>
    <t>I2</t>
  </si>
  <si>
    <t>PbI2</t>
  </si>
  <si>
    <t>LiI</t>
  </si>
  <si>
    <t>HgI2</t>
  </si>
  <si>
    <t>SiH3Cl</t>
  </si>
  <si>
    <t>NOCl</t>
  </si>
  <si>
    <t>OsO4</t>
  </si>
  <si>
    <t>O2</t>
  </si>
  <si>
    <t>O3</t>
  </si>
  <si>
    <t>ClFO3</t>
  </si>
  <si>
    <t>P</t>
  </si>
  <si>
    <t>KCl</t>
  </si>
  <si>
    <t>KI</t>
  </si>
  <si>
    <t>RbCl</t>
  </si>
  <si>
    <t>RbI</t>
  </si>
  <si>
    <t>AgI</t>
  </si>
  <si>
    <t>NaI</t>
  </si>
  <si>
    <t>Na2SO4</t>
  </si>
  <si>
    <t>S</t>
  </si>
  <si>
    <t>H2SO4</t>
  </si>
  <si>
    <t>SiClF3</t>
  </si>
  <si>
    <r>
      <t>d=</t>
    </r>
    <r>
      <rPr>
        <b/>
        <sz val="11"/>
        <color theme="0"/>
        <rFont val="Calibri"/>
        <family val="2"/>
        <scheme val="minor"/>
      </rPr>
      <t>A</t>
    </r>
    <r>
      <rPr>
        <b/>
        <sz val="11"/>
        <color theme="1"/>
        <rFont val="Calibri"/>
        <family val="2"/>
        <scheme val="minor"/>
      </rPr>
      <t>*</t>
    </r>
    <r>
      <rPr>
        <b/>
        <sz val="11"/>
        <color rgb="FF7030A0"/>
        <rFont val="Calibri"/>
        <family val="2"/>
        <scheme val="minor"/>
      </rPr>
      <t>B</t>
    </r>
    <r>
      <rPr>
        <b/>
        <sz val="11"/>
        <color theme="1"/>
        <rFont val="Calibri"/>
        <family val="2"/>
        <scheme val="minor"/>
      </rPr>
      <t>^{-[1-(</t>
    </r>
    <r>
      <rPr>
        <b/>
        <sz val="11"/>
        <color rgb="FFFF0066"/>
        <rFont val="Calibri"/>
        <family val="2"/>
        <scheme val="minor"/>
      </rPr>
      <t>T</t>
    </r>
    <r>
      <rPr>
        <b/>
        <sz val="11"/>
        <color theme="1"/>
        <rFont val="Calibri"/>
        <family val="2"/>
        <scheme val="minor"/>
      </rPr>
      <t>+273,15)/</t>
    </r>
    <r>
      <rPr>
        <b/>
        <sz val="11"/>
        <color theme="8" tint="-0.499984740745262"/>
        <rFont val="Calibri"/>
        <family val="2"/>
        <scheme val="minor"/>
      </rPr>
      <t>Tc</t>
    </r>
    <r>
      <rPr>
        <b/>
        <sz val="11"/>
        <color theme="1"/>
        <rFont val="Calibri"/>
        <family val="2"/>
        <scheme val="minor"/>
      </rPr>
      <t>]^</t>
    </r>
    <r>
      <rPr>
        <b/>
        <sz val="11"/>
        <color theme="6" tint="-0.499984740745262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}              [kg/m³]</t>
    </r>
  </si>
  <si>
    <t>Vmolar                                    [m³/mol]</t>
  </si>
  <si>
    <t>1-BUTANOL</t>
  </si>
  <si>
    <t>1,3-DICHLORO-TRANS-2-BUTENE</t>
  </si>
  <si>
    <t>1,4-DICHLORO-CIS-2-BUTENE</t>
  </si>
  <si>
    <t>1,4-DICHLORO-TRANS-2-BUTENE</t>
  </si>
  <si>
    <t>1-N-BUTYLNAPHTHALENE</t>
  </si>
  <si>
    <t xml:space="preserve">1-N-DECYLNAPHTHALENE </t>
  </si>
  <si>
    <t>1-N-HEXYLNAPHTHALENE</t>
  </si>
  <si>
    <t>1-N-NONYLNAPHTHALENE</t>
  </si>
  <si>
    <t>2,6-DL-TERT-BUTYL-P-CRESOL</t>
  </si>
  <si>
    <t>2-ETHYL-M-XYLENE</t>
  </si>
  <si>
    <t>2-ETHYL-P-XYLENE</t>
  </si>
  <si>
    <t>3-ETHYL-O-XYLENE</t>
  </si>
  <si>
    <t>3-METHYL-CIS-2-PENTENE</t>
  </si>
  <si>
    <t>4-ETHYL-M-XYLENE</t>
  </si>
  <si>
    <t>4-ETHYL-O-XYLENE</t>
  </si>
  <si>
    <t>4-METHYL-CIS-2-PENTENE</t>
  </si>
  <si>
    <t>5-ETHYL-M-XYLENE</t>
  </si>
  <si>
    <t>ALOHA-TERPINENE</t>
  </si>
  <si>
    <t>ALPHA-EPICHLOROHYDRIN</t>
  </si>
  <si>
    <t>ALPHA-METHYLSTYRENE</t>
  </si>
  <si>
    <t>ALPHA-PHELLANDRENE</t>
  </si>
  <si>
    <t>ALPHA-PINENE</t>
  </si>
  <si>
    <t>BETA-PHELLANDRENE</t>
  </si>
  <si>
    <t>BETA-PINENE</t>
  </si>
  <si>
    <t>BETA-PROPIOLACTONE</t>
  </si>
  <si>
    <t>CIS,CIS-1,3,5-TRIMETHYLCYCLOHEXANE</t>
  </si>
  <si>
    <t>CIS,TRANS-1,3,5-TRIMETHYLCYCLOHEXANE</t>
  </si>
  <si>
    <t>CIS,TRANS-2,4-HEXADIENE</t>
  </si>
  <si>
    <t>CIS-1,2-DICHLOROETHYLENE</t>
  </si>
  <si>
    <t>CIS-1,2-DIFLUOROETHENE</t>
  </si>
  <si>
    <t>CIS-1,2-DIMETHYLCYCLOHEXANE</t>
  </si>
  <si>
    <t>CIS-1,2-DIMETHYLCYCLOPENTANE</t>
  </si>
  <si>
    <t>CIS-1,3-DIMETHYLCYCLOHEXANE</t>
  </si>
  <si>
    <t>CIS-1,3-DIMETHYLCYCLOPENTANE</t>
  </si>
  <si>
    <t>CIS-1,3-PENTADIENE</t>
  </si>
  <si>
    <t>CIS-1,4-DIMETHYLCYCLOHEXANE</t>
  </si>
  <si>
    <t>CIS-2-BUTENE</t>
  </si>
  <si>
    <t>CIS-2-BUTENE-1,4-DIOL</t>
  </si>
  <si>
    <t>CIS-2-HEPTENE</t>
  </si>
  <si>
    <t>CIS-2-HEXENE</t>
  </si>
  <si>
    <t>CIS-2-METHYLCYCLOHEXANOL</t>
  </si>
  <si>
    <t>CIS-2-PENTENE</t>
  </si>
  <si>
    <t>CIS-3-HEPTENE</t>
  </si>
  <si>
    <t>CIS-3-HEXENE</t>
  </si>
  <si>
    <t>CIS-3-METHYLCYCLOHEXANOL</t>
  </si>
  <si>
    <t>CIS-4-METHYLCYCLOHEXANOL</t>
  </si>
  <si>
    <t>CIS-CROTONIC ACID</t>
  </si>
  <si>
    <t>CIS-CROTONITRILE</t>
  </si>
  <si>
    <t>CIS-DECAHYDRONANPHTALENE</t>
  </si>
  <si>
    <t>CIS-DICYAN0-1-BUTENE</t>
  </si>
  <si>
    <t>CIS-PROPENYLBENZENE</t>
  </si>
  <si>
    <t>CIS-STILBENE</t>
  </si>
  <si>
    <t>DIETHYLENE GLYCOL DI-N-BUTYL ETHER</t>
  </si>
  <si>
    <t>DI-N-HEXYL ETHER</t>
  </si>
  <si>
    <t>DI-N-OCTYL ETHER</t>
  </si>
  <si>
    <t>DI-N-PROPYLAMINE</t>
  </si>
  <si>
    <t>DI-SEC-BUTYL ETHER</t>
  </si>
  <si>
    <t>DI-TART-BUTYL ETHER</t>
  </si>
  <si>
    <t>DL-N-BUTYL ETHER</t>
  </si>
  <si>
    <t>DL-N-BUTYL SULFONE</t>
  </si>
  <si>
    <t>DL-N-BUTYLAMINE</t>
  </si>
  <si>
    <t>DL-N-PENTYL ETHER</t>
  </si>
  <si>
    <t>DL-N-PROPYL ETHER</t>
  </si>
  <si>
    <t>DL-N-PROPYL SULFONE</t>
  </si>
  <si>
    <t>EPSILON-CAPROLACTAM</t>
  </si>
  <si>
    <t>EPSILON-CAPROLACTONE</t>
  </si>
  <si>
    <t>ETHYL N-BUTYRA TE</t>
  </si>
  <si>
    <t>GAMMA-BUTYROLACTONE</t>
  </si>
  <si>
    <t>GAMMA-TERPINENE</t>
  </si>
  <si>
    <t>I O-CHLOROPHENOL</t>
  </si>
  <si>
    <t>I O-TERT-BUTYLPHENOL</t>
  </si>
  <si>
    <t>M-CHLOROANILINE</t>
  </si>
  <si>
    <t>M-CHLOROBENZOYL CHLORIDE</t>
  </si>
  <si>
    <t>M-CHLORONITROBENZENE</t>
  </si>
  <si>
    <t>M-CHLOROPHENOL</t>
  </si>
  <si>
    <t>M-CRESOL</t>
  </si>
  <si>
    <t>M-CYMENE</t>
  </si>
  <si>
    <t>M-DIBROMOBENZENE</t>
  </si>
  <si>
    <t>M-DICHLOROBENZENE</t>
  </si>
  <si>
    <t>M-DIETHYLBENZENE</t>
  </si>
  <si>
    <t>M-DIFLUOROBENZENE</t>
  </si>
  <si>
    <t>M-DIISOPROPYLBENZENE</t>
  </si>
  <si>
    <t>M-DINITROBENZENE</t>
  </si>
  <si>
    <t>M-DIVINYLBENZENE</t>
  </si>
  <si>
    <t>METHYL N-BUTYRATE</t>
  </si>
  <si>
    <t>METHYL SEC-BUTYL ETHER</t>
  </si>
  <si>
    <t>METHYL TERT-BUTYL ETHER</t>
  </si>
  <si>
    <t>METHYL TERT-PENTYL ETHER</t>
  </si>
  <si>
    <t>METHYL-PENTADECYL-SULFIDE (</t>
  </si>
  <si>
    <t>M-ETHYLTOLUENE</t>
  </si>
  <si>
    <t>M-METHYLSTYRENE</t>
  </si>
  <si>
    <t>M-NITROANILINE</t>
  </si>
  <si>
    <t>M-NITROTOLUENE</t>
  </si>
  <si>
    <t>M-PHENYLENEDIAMINE</t>
  </si>
  <si>
    <t>M-TERPHENYL</t>
  </si>
  <si>
    <t>M-TOLUIDINE</t>
  </si>
  <si>
    <t>M-XYLENE</t>
  </si>
  <si>
    <t>N-BUTANE</t>
  </si>
  <si>
    <t>N-BUTYL ACETATE</t>
  </si>
  <si>
    <t>N-BUTYL ACRYLATE</t>
  </si>
  <si>
    <t>N-BUTYL BENZOATE</t>
  </si>
  <si>
    <t>N-BUTYL CHLORIDE</t>
  </si>
  <si>
    <t>N-BUTYL ETHYL ETHER</t>
  </si>
  <si>
    <t>N-BUTYL FORMATE</t>
  </si>
  <si>
    <t>N-BUTYL ISOCYANATE</t>
  </si>
  <si>
    <t>N-BUTYL MERCAPTAN</t>
  </si>
  <si>
    <t>N-BUTYL METHACRYLATE</t>
  </si>
  <si>
    <t>N-BUTYL N-BUTYRATE</t>
  </si>
  <si>
    <t>N-BUTYL NONANOATE</t>
  </si>
  <si>
    <t>N-BUTYL PROPIONATE</t>
  </si>
  <si>
    <t>N-BUTYL STEARA TE</t>
  </si>
  <si>
    <t>N-BUTYL VALERATE</t>
  </si>
  <si>
    <t>N-BUTYLAMINE</t>
  </si>
  <si>
    <t>N-BUTYLBENZENE</t>
  </si>
  <si>
    <t>N-BUTYLCYCLOHEXANE</t>
  </si>
  <si>
    <t>N-BUTYRALDEHYDE</t>
  </si>
  <si>
    <t>N-BUTYRIC ACID</t>
  </si>
  <si>
    <t>N-BUTYRONITRILE</t>
  </si>
  <si>
    <t>N-DECANE</t>
  </si>
  <si>
    <t>N-DECANOIC ACID</t>
  </si>
  <si>
    <t>N-DECYL MERCAPTAN</t>
  </si>
  <si>
    <t>N-DECYLAMINE</t>
  </si>
  <si>
    <t>N-DECYLBENZENE</t>
  </si>
  <si>
    <t>N-DECYLCYCLOHEXANE</t>
  </si>
  <si>
    <t>N-DODECANE</t>
  </si>
  <si>
    <t>N-DODECANOIC ACID</t>
  </si>
  <si>
    <t>N-DODECYL MERCAPTAN</t>
  </si>
  <si>
    <t>N-DODECYLBENZENE</t>
  </si>
  <si>
    <t>N-EICOSANE</t>
  </si>
  <si>
    <t>N-HEPTADECANE</t>
  </si>
  <si>
    <t>N-HEPTANE</t>
  </si>
  <si>
    <t>N-HEPTANOIC ACID</t>
  </si>
  <si>
    <t>N-HEPTYL MERCAPTAN</t>
  </si>
  <si>
    <t>N-HEPTYLBENZENE</t>
  </si>
  <si>
    <t>N-HEXADECANE \</t>
  </si>
  <si>
    <t>N-HEXADECANOIC ACID</t>
  </si>
  <si>
    <t>N-HEXANE</t>
  </si>
  <si>
    <t>N-HEXANOIC ACID</t>
  </si>
  <si>
    <t>N-HEXYL ACETATE</t>
  </si>
  <si>
    <t>N-HEXYLAMINE</t>
  </si>
  <si>
    <t>N-HEXYLBENZENE</t>
  </si>
  <si>
    <t>N-HEXYLMERCAPTAN</t>
  </si>
  <si>
    <t>N-NONADECANE</t>
  </si>
  <si>
    <t>N-NONANE</t>
  </si>
  <si>
    <t>N-NONANOIC ACID</t>
  </si>
  <si>
    <t>N-NONYL MERCAPTAN</t>
  </si>
  <si>
    <t>N-NONYLAMINE</t>
  </si>
  <si>
    <t>N-NONYLBENZENE</t>
  </si>
  <si>
    <t>N-OCTADECANE</t>
  </si>
  <si>
    <t>N-OCTANE</t>
  </si>
  <si>
    <t>N-OCTANOIC ACID</t>
  </si>
  <si>
    <t>N-OCTYL FORMATE</t>
  </si>
  <si>
    <t>N-OCTYL MERCAPTAN</t>
  </si>
  <si>
    <t>N-OCTYLAMINE</t>
  </si>
  <si>
    <t>N-OCTYLBENZENE</t>
  </si>
  <si>
    <t>N-PENTADECANE</t>
  </si>
  <si>
    <t>N-PENTANE</t>
  </si>
  <si>
    <t>N-PENTYL ACETATE</t>
  </si>
  <si>
    <t>N-PENTYL FORMATE</t>
  </si>
  <si>
    <t>N-PENTYL MERCAPTAN</t>
  </si>
  <si>
    <t>N-PENTYLAMINE</t>
  </si>
  <si>
    <t>N-PENTYLBENZENE</t>
  </si>
  <si>
    <t>N-PROPANOL</t>
  </si>
  <si>
    <t>N-PROPIONALDEHYDE</t>
  </si>
  <si>
    <t>N-PROPYL ACETATE</t>
  </si>
  <si>
    <t>N-PROPYL ACRYLATE</t>
  </si>
  <si>
    <t>N-PROPYL CHLORIDE</t>
  </si>
  <si>
    <t>N-PROPYL FORMATE</t>
  </si>
  <si>
    <t>N-PROPYL IODIDE</t>
  </si>
  <si>
    <t>N-PROPYL METHACRYLATE</t>
  </si>
  <si>
    <t>N-PROPYL N-BUTYRATE</t>
  </si>
  <si>
    <t>N-PROPYL PROPIONATE</t>
  </si>
  <si>
    <t>N-PROPYLAMINE</t>
  </si>
  <si>
    <t>N-PROPYLBENZENE</t>
  </si>
  <si>
    <t>N-PROPYLCYCLOHEXANE</t>
  </si>
  <si>
    <t>N-PROPYLCYCLOPENTANE</t>
  </si>
  <si>
    <t>N-PROPYLMERCAPTAN</t>
  </si>
  <si>
    <t>N-TETRADECANE</t>
  </si>
  <si>
    <t>N-TETRADECANOIC ACID</t>
  </si>
  <si>
    <t>N-TRIDECANE</t>
  </si>
  <si>
    <t>N-TRIDECYLBENZENE</t>
  </si>
  <si>
    <t>N-UNDECANE</t>
  </si>
  <si>
    <t>N-UNDECYLBENZENE</t>
  </si>
  <si>
    <t>O-CHLOROANILINE</t>
  </si>
  <si>
    <t>O-CHLOROBENZOIC ACID</t>
  </si>
  <si>
    <t>O-CHLORONITROBENZENE</t>
  </si>
  <si>
    <t>O-CHLOROPHENOL</t>
  </si>
  <si>
    <t>O-CHLOROTOLUENE</t>
  </si>
  <si>
    <t>O-CRESOL</t>
  </si>
  <si>
    <t>O-CYMENE</t>
  </si>
  <si>
    <t>O-DICHLOROBENZENE</t>
  </si>
  <si>
    <t>O-DIETHYLBENZENE</t>
  </si>
  <si>
    <t>O-DIFLUOROBENZENE</t>
  </si>
  <si>
    <t>O-DINITROBENZENE</t>
  </si>
  <si>
    <t>O-ETHYLANILINE</t>
  </si>
  <si>
    <t>O-ETHYLTOLUENE</t>
  </si>
  <si>
    <t>O-METHYLSTYRENE</t>
  </si>
  <si>
    <t>O-NITROANILINE</t>
  </si>
  <si>
    <t>O-NITROANISOLE</t>
  </si>
  <si>
    <t>O-NITROTOLUENE</t>
  </si>
  <si>
    <t>O-PHENYLENEDIAMINE</t>
  </si>
  <si>
    <t>O-TERPHENYL</t>
  </si>
  <si>
    <t>O-TOLUIC ACID</t>
  </si>
  <si>
    <t>O-TOLUIDINE</t>
  </si>
  <si>
    <t>O-XYLENE</t>
  </si>
  <si>
    <t>P-AMINOAZOBENZENE</t>
  </si>
  <si>
    <t>P-AMINODIPHENYL</t>
  </si>
  <si>
    <t>P-BROMOTOLUENE</t>
  </si>
  <si>
    <t>P-CHLOROANILINE</t>
  </si>
  <si>
    <t>P-CHLOROBENZOTRIFLUORIDE</t>
  </si>
  <si>
    <t>P-CHLORONITROBENZENE</t>
  </si>
  <si>
    <t>P-CHLOROTOLUENE</t>
  </si>
  <si>
    <t>P-CYMENE</t>
  </si>
  <si>
    <t>P-DICHLOROBENZENE</t>
  </si>
  <si>
    <t>P-DIETHYLBENZENE</t>
  </si>
  <si>
    <t>P-DIFLUOROBENZENE</t>
  </si>
  <si>
    <t>P-DIISOPROPYLBENZENE</t>
  </si>
  <si>
    <t>P-DIMETHYLAMINOBENZALDEHYDE</t>
  </si>
  <si>
    <t>P-DINITROBENZENE</t>
  </si>
  <si>
    <t>P-ETHYLPHENOL</t>
  </si>
  <si>
    <t>P-ETHYLTOLUENE</t>
  </si>
  <si>
    <t>P-HYDROQUINONE</t>
  </si>
  <si>
    <t>P-HYDROXYBENZALDEHYDE</t>
  </si>
  <si>
    <t>P-METHOXYPHENOL</t>
  </si>
  <si>
    <t>P-METHYLSTYRENE</t>
  </si>
  <si>
    <t>P-NITROANILINE</t>
  </si>
  <si>
    <t>P-NITROTOLUENE</t>
  </si>
  <si>
    <t>P-PHENETIDINE</t>
  </si>
  <si>
    <t>P-PHENYLENEDIAMINE</t>
  </si>
  <si>
    <t>P-TERPHENYL</t>
  </si>
  <si>
    <t>P-TERT-AMYLPHENOL</t>
  </si>
  <si>
    <t>P-TERT-BUTYLCATECHOL</t>
  </si>
  <si>
    <t>P-TERT-OCTYLPHENOL</t>
  </si>
  <si>
    <t>P-TOLUALDEHYDE</t>
  </si>
  <si>
    <t>P-TOLUIC ACID</t>
  </si>
  <si>
    <t>P-XYLENE</t>
  </si>
  <si>
    <t>SEC-BUTANOL</t>
  </si>
  <si>
    <t>SEC-BUTYL ACETATE</t>
  </si>
  <si>
    <t>SEC-BUTYL CHLORIDE</t>
  </si>
  <si>
    <t>SEC-BUTYL MERCAPTAN</t>
  </si>
  <si>
    <t>SEC-BUTYLAMINE</t>
  </si>
  <si>
    <t>SEC-BUTYLBENZENE</t>
  </si>
  <si>
    <t>TART-BUTYL ACETATE</t>
  </si>
  <si>
    <t>TERT-BUTANOL</t>
  </si>
  <si>
    <t>TERT-BUTYL CHLORIDE</t>
  </si>
  <si>
    <t>TERT-BUTYL MERCAPTAN</t>
  </si>
  <si>
    <t>TERT-BUTYLAMINE</t>
  </si>
  <si>
    <t>TERT-BUTYLBENZENE</t>
  </si>
  <si>
    <t>TERT-BUTYLFORMAMIDE</t>
  </si>
  <si>
    <t>TERT-OCTYL MERCAPTAN</t>
  </si>
  <si>
    <t>TERT-PENTYL-ALCOHOL</t>
  </si>
  <si>
    <t>TRANS,TRANS-2,4-HEXADIENE</t>
  </si>
  <si>
    <t>TRANS-1,2-DICHLOROETHYLENE</t>
  </si>
  <si>
    <t>TRANS-1,2-DIFLUOROETHENE</t>
  </si>
  <si>
    <t>TRANS-1,2-DIMETHYLCYCLOHEXANE</t>
  </si>
  <si>
    <t>TRANS-1,2-DIMETHYLCYCLOPENTANE</t>
  </si>
  <si>
    <t>TRANS-1,3-DIMETHYLCYCLOHEXANE</t>
  </si>
  <si>
    <t>TRANS-1,3-DIMETHYLCYCLOPENTANE</t>
  </si>
  <si>
    <t>TRANS-1,3-PENTADIENE</t>
  </si>
  <si>
    <t>TRANS-1,4-DIMETHYLCYCLOHEXANE</t>
  </si>
  <si>
    <t>TRANS-2-0CTENE</t>
  </si>
  <si>
    <t>TRANS-2-BUTENE</t>
  </si>
  <si>
    <t>TRANS-2-BUTENE-1,4-DIOL</t>
  </si>
  <si>
    <t>TRANS-2-HEPTENE</t>
  </si>
  <si>
    <t>TRANS-2-HEXENE</t>
  </si>
  <si>
    <t>TRANS-2-METHYLCYCLOHEXANOL</t>
  </si>
  <si>
    <t>TRANS-2-PENTENE</t>
  </si>
  <si>
    <t>TRANS-3-0CTENE</t>
  </si>
  <si>
    <t>TRANS-3-HEPTENE</t>
  </si>
  <si>
    <t>TRANS-3-HEXENE</t>
  </si>
  <si>
    <t>TRANS-3-METHYL-2-PENTENE</t>
  </si>
  <si>
    <t>TRANS-3-METHYLCYCLOHEXANOL</t>
  </si>
  <si>
    <t>TRANS-4-METHYLCYCLOHEXANOL</t>
  </si>
  <si>
    <t>TRANS-4-OCTENE</t>
  </si>
  <si>
    <t>TRANS-CROTONALDEHYDE</t>
  </si>
  <si>
    <t>TRANS-CROTONIC ACID</t>
  </si>
  <si>
    <t>TRANS-CROTONITRILE</t>
  </si>
  <si>
    <t>TRANS-DECAHYDRONAPHTHALENE</t>
  </si>
  <si>
    <t>TRANS-DICYAN0-1-BUTENE</t>
  </si>
  <si>
    <t>TRANS-PROPENYLBENZENE</t>
  </si>
  <si>
    <t>TRANS-STILBENE</t>
  </si>
  <si>
    <t>TRL-N-BUTYL BORATE</t>
  </si>
  <si>
    <t>TRL-N-BUTYLAMINE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</si>
</sst>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0"/>
    <numFmt numFmtId="165" formatCode="0.0000"/>
    <numFmt numFmtId="166" formatCode="0.000"/>
    <numFmt numFmtId="167" formatCode="0.0000000000"/>
    <numFmt numFmtId="168" formatCode="0.000000000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231F1F"/>
      <name val="Courier New"/>
      <family val="3"/>
    </font>
    <font>
      <b/>
      <sz val="8"/>
      <color rgb="FF231F1F"/>
      <name val="Arial"/>
      <family val="2"/>
    </font>
    <font>
      <b/>
      <sz val="8"/>
      <color rgb="FF231F1F"/>
      <name val="Times New Roman"/>
      <family val="1"/>
    </font>
    <font>
      <b/>
      <sz val="8"/>
      <color theme="6" tint="-0.499984740745262"/>
      <name val="Courier New"/>
      <family val="3"/>
    </font>
    <font>
      <b/>
      <sz val="8"/>
      <color theme="6" tint="-0.499984740745262"/>
      <name val="Arial"/>
      <family val="2"/>
    </font>
    <font>
      <b/>
      <sz val="8"/>
      <color theme="6" tint="-0.499984740745262"/>
      <name val="Times New Roman"/>
      <family val="1"/>
    </font>
    <font>
      <b/>
      <sz val="11"/>
      <color rgb="FF231F1F"/>
      <name val="Courier New"/>
      <family val="3"/>
    </font>
    <font>
      <b/>
      <sz val="8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rgb="FF7030A0"/>
      <name val="Arial"/>
      <family val="2"/>
    </font>
    <font>
      <b/>
      <sz val="11"/>
      <color rgb="FF7030A0"/>
      <name val="Calibri"/>
      <family val="2"/>
      <scheme val="minor"/>
    </font>
    <font>
      <b/>
      <sz val="22"/>
      <color theme="6" tint="-0.499984740745262"/>
      <name val="Times New Roman"/>
      <family val="1"/>
    </font>
    <font>
      <b/>
      <sz val="11"/>
      <color theme="6" tint="-0.499984740745262"/>
      <name val="Calibri"/>
      <family val="2"/>
      <scheme val="minor"/>
    </font>
    <font>
      <b/>
      <sz val="20"/>
      <color theme="8" tint="-0.499984740745262"/>
      <name val="Arial"/>
      <family val="2"/>
    </font>
    <font>
      <b/>
      <sz val="11"/>
      <color theme="8" tint="-0.499984740745262"/>
      <name val="Calibri"/>
      <family val="2"/>
      <scheme val="minor"/>
    </font>
    <font>
      <b/>
      <sz val="24"/>
      <color theme="0"/>
      <name val="Courier New"/>
      <family val="3"/>
    </font>
    <font>
      <b/>
      <sz val="14"/>
      <color rgb="FFFF0066"/>
      <name val="Calibri"/>
      <family val="2"/>
      <scheme val="minor"/>
    </font>
    <font>
      <b/>
      <sz val="11"/>
      <color rgb="FFFF0066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FF0066"/>
      <name val="Courier New"/>
      <family val="3"/>
    </font>
    <font>
      <b/>
      <sz val="10"/>
      <color rgb="FF231F1F"/>
      <name val="Arial"/>
      <family val="2"/>
    </font>
    <font>
      <b/>
      <sz val="16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0" fillId="0" borderId="0" xfId="0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vertical="center" wrapText="1"/>
    </xf>
    <xf numFmtId="164" fontId="6" fillId="0" borderId="1" xfId="0" applyNumberFormat="1" applyFont="1" applyBorder="1" applyAlignment="1">
      <alignment horizontal="center" vertical="center" wrapText="1"/>
    </xf>
    <xf numFmtId="165" fontId="6" fillId="0" borderId="1" xfId="0" applyNumberFormat="1" applyFont="1" applyBorder="1" applyAlignment="1">
      <alignment horizontal="center" vertical="center" wrapText="1"/>
    </xf>
    <xf numFmtId="2" fontId="6" fillId="0" borderId="1" xfId="0" applyNumberFormat="1" applyFont="1" applyBorder="1" applyAlignment="1">
      <alignment horizontal="center" vertical="center" wrapText="1"/>
    </xf>
    <xf numFmtId="0" fontId="7" fillId="0" borderId="1" xfId="0" applyFont="1" applyBorder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center" vertical="center" wrapText="1"/>
    </xf>
    <xf numFmtId="164" fontId="3" fillId="0" borderId="1" xfId="0" applyNumberFormat="1" applyFont="1" applyBorder="1" applyAlignment="1">
      <alignment horizontal="center" vertical="center" wrapText="1"/>
    </xf>
    <xf numFmtId="165" fontId="3" fillId="0" borderId="1" xfId="0" applyNumberFormat="1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 wrapText="1"/>
    </xf>
    <xf numFmtId="164" fontId="4" fillId="0" borderId="1" xfId="0" applyNumberFormat="1" applyFont="1" applyBorder="1" applyAlignment="1">
      <alignment horizontal="center" vertical="center" wrapText="1"/>
    </xf>
    <xf numFmtId="2" fontId="4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/>
    <xf numFmtId="0" fontId="3" fillId="0" borderId="1" xfId="0" applyFont="1" applyBorder="1" applyAlignment="1">
      <alignment vertical="center"/>
    </xf>
    <xf numFmtId="164" fontId="3" fillId="0" borderId="1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/>
    </xf>
    <xf numFmtId="164" fontId="9" fillId="0" borderId="1" xfId="0" applyNumberFormat="1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/>
    </xf>
    <xf numFmtId="2" fontId="9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164" fontId="3" fillId="0" borderId="1" xfId="0" applyNumberFormat="1" applyFont="1" applyBorder="1" applyAlignment="1">
      <alignment horizontal="center"/>
    </xf>
    <xf numFmtId="165" fontId="3" fillId="0" borderId="1" xfId="0" applyNumberFormat="1" applyFont="1" applyBorder="1" applyAlignment="1">
      <alignment horizontal="center"/>
    </xf>
    <xf numFmtId="2" fontId="3" fillId="0" borderId="1" xfId="0" applyNumberFormat="1" applyFont="1" applyFill="1" applyBorder="1" applyAlignment="1">
      <alignment horizontal="center" vertical="center" wrapText="1"/>
    </xf>
    <xf numFmtId="164" fontId="3" fillId="0" borderId="1" xfId="0" applyNumberFormat="1" applyFont="1" applyFill="1" applyBorder="1" applyAlignment="1">
      <alignment horizontal="center" vertical="center" wrapText="1"/>
    </xf>
    <xf numFmtId="165" fontId="4" fillId="0" borderId="1" xfId="0" applyNumberFormat="1" applyFont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 wrapText="1"/>
    </xf>
    <xf numFmtId="0" fontId="0" fillId="0" borderId="0" xfId="0" applyBorder="1"/>
    <xf numFmtId="0" fontId="1" fillId="2" borderId="4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/>
    </xf>
    <xf numFmtId="0" fontId="12" fillId="2" borderId="3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 wrapText="1"/>
    </xf>
    <xf numFmtId="0" fontId="19" fillId="2" borderId="1" xfId="0" applyFont="1" applyFill="1" applyBorder="1" applyAlignment="1">
      <alignment horizontal="center" vertical="center" wrapText="1"/>
    </xf>
    <xf numFmtId="0" fontId="20" fillId="2" borderId="4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 wrapText="1"/>
    </xf>
    <xf numFmtId="0" fontId="23" fillId="2" borderId="4" xfId="0" applyFont="1" applyFill="1" applyBorder="1" applyAlignment="1">
      <alignment horizontal="center" vertical="center" wrapText="1"/>
    </xf>
    <xf numFmtId="0" fontId="22" fillId="3" borderId="10" xfId="0" applyFont="1" applyFill="1" applyBorder="1" applyAlignment="1">
      <alignment horizontal="center" vertical="center"/>
    </xf>
    <xf numFmtId="2" fontId="24" fillId="0" borderId="5" xfId="0" applyNumberFormat="1" applyFont="1" applyFill="1" applyBorder="1" applyAlignment="1">
      <alignment horizontal="center" vertical="center" wrapText="1"/>
    </xf>
    <xf numFmtId="0" fontId="10" fillId="2" borderId="12" xfId="0" applyFont="1" applyFill="1" applyBorder="1" applyAlignment="1">
      <alignment horizontal="center" vertical="center"/>
    </xf>
    <xf numFmtId="166" fontId="9" fillId="0" borderId="1" xfId="0" applyNumberFormat="1" applyFont="1" applyBorder="1" applyAlignment="1">
      <alignment horizontal="center"/>
    </xf>
    <xf numFmtId="166" fontId="3" fillId="0" borderId="1" xfId="0" applyNumberFormat="1" applyFont="1" applyBorder="1" applyAlignment="1">
      <alignment horizontal="center" vertical="center" wrapText="1"/>
    </xf>
    <xf numFmtId="166" fontId="4" fillId="0" borderId="1" xfId="0" applyNumberFormat="1" applyFont="1" applyBorder="1" applyAlignment="1">
      <alignment horizontal="center" vertical="center" wrapText="1"/>
    </xf>
    <xf numFmtId="166" fontId="3" fillId="0" borderId="1" xfId="0" applyNumberFormat="1" applyFont="1" applyBorder="1" applyAlignment="1">
      <alignment horizontal="center" vertical="center"/>
    </xf>
    <xf numFmtId="166" fontId="9" fillId="0" borderId="1" xfId="0" applyNumberFormat="1" applyFont="1" applyBorder="1" applyAlignment="1">
      <alignment horizontal="center" vertical="center" wrapText="1"/>
    </xf>
    <xf numFmtId="166" fontId="3" fillId="0" borderId="1" xfId="0" applyNumberFormat="1" applyFont="1" applyBorder="1" applyAlignment="1">
      <alignment horizontal="center"/>
    </xf>
    <xf numFmtId="166" fontId="6" fillId="0" borderId="1" xfId="0" applyNumberFormat="1" applyFont="1" applyBorder="1" applyAlignment="1">
      <alignment horizontal="center" vertical="center" wrapText="1"/>
    </xf>
    <xf numFmtId="0" fontId="22" fillId="3" borderId="1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wrapText="1"/>
    </xf>
    <xf numFmtId="168" fontId="26" fillId="3" borderId="11" xfId="0" applyNumberFormat="1" applyFont="1" applyFill="1" applyBorder="1" applyAlignment="1">
      <alignment horizontal="center" vertical="center"/>
    </xf>
    <xf numFmtId="167" fontId="25" fillId="3" borderId="2" xfId="0" applyNumberFormat="1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center" vertical="center"/>
    </xf>
    <xf numFmtId="0" fontId="10" fillId="2" borderId="8" xfId="0" applyFont="1" applyFill="1" applyBorder="1" applyAlignment="1">
      <alignment horizontal="left" vertical="center"/>
    </xf>
    <xf numFmtId="0" fontId="10" fillId="2" borderId="9" xfId="0" applyFont="1" applyFill="1" applyBorder="1" applyAlignment="1">
      <alignment horizontal="left" vertical="center"/>
    </xf>
    <xf numFmtId="2" fontId="0" fillId="0" borderId="0" xfId="0" applyNumberFormat="1"/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6" tint="-0.499984740745262"/>
      </font>
    </dxf>
  </dxfs>
  <tableStyles count="0" defaultTableStyle="TableStyleMedium2" defaultPivotStyle="PivotStyleLight16"/>
  <colors>
    <mruColors>
      <color rgb="FFFF0066"/>
      <color rgb="FFC75F0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0</xdr:row>
      <xdr:rowOff>47626</xdr:rowOff>
    </xdr:from>
    <xdr:to>
      <xdr:col>4</xdr:col>
      <xdr:colOff>447675</xdr:colOff>
      <xdr:row>1</xdr:row>
      <xdr:rowOff>295275</xdr:rowOff>
    </xdr:to>
    <xdr:sp macro="[0]!Achar" textlink="">
      <xdr:nvSpPr>
        <xdr:cNvPr id="2" name="Retângulo 1"/>
        <xdr:cNvSpPr/>
      </xdr:nvSpPr>
      <xdr:spPr>
        <a:xfrm>
          <a:off x="3714750" y="47626"/>
          <a:ext cx="942975" cy="342899"/>
        </a:xfrm>
        <a:prstGeom prst="rect">
          <a:avLst/>
        </a:prstGeom>
        <a:solidFill>
          <a:schemeClr val="accent1">
            <a:alpha val="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C75F09"/>
              </a:solidFill>
            </a:rPr>
            <a:t>Filtrar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P1563"/>
  <sheetViews>
    <sheetView tabSelected="1" topLeftCell="D1" workbookViewId="0">
      <selection activeCell="K10" sqref="K10"/>
    </sheetView>
  </sheetViews>
  <sheetFormatPr defaultRowHeight="0" customHeight="1" zeroHeight="1" x14ac:dyDescent="0.25"/>
  <cols>
    <col min="1" max="1" width="6.85546875" style="1" customWidth="1"/>
    <col min="2" max="2" width="11.140625" bestFit="1" customWidth="1"/>
    <col min="3" max="3" width="35.7109375" bestFit="1" customWidth="1"/>
    <col min="4" max="4" width="9.42578125" style="3" customWidth="1"/>
    <col min="5" max="5" width="9.140625" style="3" customWidth="1"/>
    <col min="6" max="6" width="9" style="3" customWidth="1"/>
    <col min="7" max="7" width="8.5703125" style="3" customWidth="1"/>
    <col min="8" max="8" width="8.28515625" style="3" bestFit="1" customWidth="1"/>
    <col min="9" max="9" width="8" style="3" customWidth="1"/>
    <col min="10" max="10" width="10" style="3" customWidth="1"/>
    <col min="11" max="11" width="33.28515625" customWidth="1"/>
    <col min="12" max="12" width="11" customWidth="1"/>
    <col min="13" max="13" width="15.85546875" customWidth="1"/>
    <col min="14" max="15" width="10.7109375" customWidth="1"/>
    <col min="16" max="16" width="29.7109375" customWidth="1"/>
  </cols>
  <sheetData>
    <row r="1" spans="1:16" ht="7.5" customHeight="1" thickBot="1" x14ac:dyDescent="0.3"/>
    <row r="2" spans="1:16" ht="33.75" customHeight="1" thickBot="1" x14ac:dyDescent="0.3">
      <c r="A2" s="63" t="s">
        <v>2222</v>
      </c>
      <c r="B2" s="64"/>
      <c r="C2" s="40"/>
      <c r="F2" s="41" t="s">
        <v>2223</v>
      </c>
      <c r="G2" s="65" t="s">
        <v>2224</v>
      </c>
      <c r="H2" s="65"/>
      <c r="I2" s="66"/>
      <c r="J2" s="51"/>
      <c r="K2" s="47" t="s">
        <v>2364</v>
      </c>
      <c r="L2" s="46" t="s">
        <v>2218</v>
      </c>
      <c r="M2" s="37" t="s">
        <v>1963</v>
      </c>
      <c r="N2" s="48" t="s">
        <v>2225</v>
      </c>
      <c r="O2" s="48" t="s">
        <v>2226</v>
      </c>
      <c r="P2" s="60" t="s">
        <v>2365</v>
      </c>
    </row>
    <row r="3" spans="1:16" ht="47.25" customHeight="1" thickBot="1" x14ac:dyDescent="0.3">
      <c r="A3" s="35" t="s">
        <v>2221</v>
      </c>
      <c r="B3" s="35" t="s">
        <v>1</v>
      </c>
      <c r="C3" s="39" t="s">
        <v>2</v>
      </c>
      <c r="D3" s="45" t="s">
        <v>3</v>
      </c>
      <c r="E3" s="42" t="s">
        <v>4</v>
      </c>
      <c r="F3" s="43" t="s">
        <v>5</v>
      </c>
      <c r="G3" s="44" t="s">
        <v>6</v>
      </c>
      <c r="H3" s="35" t="s">
        <v>7</v>
      </c>
      <c r="I3" s="35" t="s">
        <v>8</v>
      </c>
      <c r="J3" s="35" t="s">
        <v>2227</v>
      </c>
      <c r="K3" s="61">
        <f>IF(($L$3+273.15)&gt;=VLOOKUP($M$3,A4:I1563,7,FALSE),VLOOKUP($M$3,A4:I1563,4,FALSE),VLOOKUP($M$3,A4:I1563,4,FALSE)*VLOOKUP($M$3,A4:I1563,5,FALSE)^(-((1-($L$3+273.15)/VLOOKUP($M$3,A4:I1563,7,FALSE))^VLOOKUP($M$3,A4:I1563,6,FALSE))))*1000</f>
        <v>1027.4529145286854</v>
      </c>
      <c r="L3" s="50">
        <v>25</v>
      </c>
      <c r="M3" s="38" t="s">
        <v>2217</v>
      </c>
      <c r="N3" s="49">
        <f>VLOOKUP($M$3,A4:I1563,8,FALSE)-273.15</f>
        <v>1.0000000000047748E-2</v>
      </c>
      <c r="O3" s="59">
        <f>VLOOKUP($M$3,A4:I1563,9,FALSE)-273.15</f>
        <v>373.98</v>
      </c>
      <c r="P3" s="62">
        <f>K3/(VLOOKUP($M$3,A4:J1563,10,FALSE)/1000)</f>
        <v>57017.364846208948</v>
      </c>
    </row>
    <row r="4" spans="1:16" ht="17.25" customHeight="1" x14ac:dyDescent="0.25">
      <c r="A4" s="4">
        <v>81</v>
      </c>
      <c r="B4" s="5" t="s">
        <v>1581</v>
      </c>
      <c r="C4" s="5" t="s">
        <v>1582</v>
      </c>
      <c r="D4" s="16">
        <v>0.50078999999999985</v>
      </c>
      <c r="E4" s="16">
        <v>0.25970000000000004</v>
      </c>
      <c r="F4" s="17">
        <v>0.28570000000000007</v>
      </c>
      <c r="G4" s="18">
        <v>624</v>
      </c>
      <c r="H4" s="18">
        <v>202.94</v>
      </c>
      <c r="I4" s="18">
        <v>624</v>
      </c>
      <c r="J4" s="52">
        <v>167.84800000000001</v>
      </c>
    </row>
    <row r="5" spans="1:16" ht="17.25" customHeight="1" x14ac:dyDescent="0.25">
      <c r="A5" s="4">
        <v>86</v>
      </c>
      <c r="B5" s="5" t="s">
        <v>1586</v>
      </c>
      <c r="C5" s="5" t="s">
        <v>1587</v>
      </c>
      <c r="D5" s="16">
        <v>0.49834000000000001</v>
      </c>
      <c r="E5" s="16">
        <v>0.24141000000000012</v>
      </c>
      <c r="F5" s="17">
        <v>0.31372</v>
      </c>
      <c r="G5" s="18">
        <v>380</v>
      </c>
      <c r="H5" s="18">
        <v>172.15</v>
      </c>
      <c r="I5" s="18">
        <v>380</v>
      </c>
      <c r="J5" s="53">
        <v>102.03</v>
      </c>
    </row>
    <row r="6" spans="1:16" ht="17.25" customHeight="1" x14ac:dyDescent="0.25">
      <c r="A6" s="4">
        <v>96</v>
      </c>
      <c r="B6" s="5" t="s">
        <v>1601</v>
      </c>
      <c r="C6" s="5" t="s">
        <v>1602</v>
      </c>
      <c r="D6" s="16">
        <v>0.47476000000000007</v>
      </c>
      <c r="E6" s="16">
        <v>0.27258000000000004</v>
      </c>
      <c r="F6" s="17">
        <v>0.29333000000000009</v>
      </c>
      <c r="G6" s="18">
        <v>545</v>
      </c>
      <c r="H6" s="18">
        <v>242.75</v>
      </c>
      <c r="I6" s="18">
        <v>545</v>
      </c>
      <c r="J6" s="53">
        <v>133.4</v>
      </c>
      <c r="K6" s="36"/>
    </row>
    <row r="7" spans="1:16" ht="17.25" customHeight="1" x14ac:dyDescent="0.25">
      <c r="A7" s="4">
        <v>80</v>
      </c>
      <c r="B7" s="5" t="s">
        <v>1579</v>
      </c>
      <c r="C7" s="5" t="s">
        <v>1580</v>
      </c>
      <c r="D7" s="16">
        <v>0.51434999999999986</v>
      </c>
      <c r="E7" s="16">
        <v>0.25</v>
      </c>
      <c r="F7" s="17">
        <v>0.28570999999999991</v>
      </c>
      <c r="G7" s="18">
        <v>565</v>
      </c>
      <c r="H7" s="18">
        <v>173</v>
      </c>
      <c r="I7" s="18">
        <v>565</v>
      </c>
      <c r="J7" s="53">
        <v>187.375</v>
      </c>
    </row>
    <row r="8" spans="1:16" ht="17.25" customHeight="1" x14ac:dyDescent="0.25">
      <c r="A8" s="6">
        <v>99</v>
      </c>
      <c r="B8" s="5" t="s">
        <v>1962</v>
      </c>
      <c r="C8" s="5" t="s">
        <v>1606</v>
      </c>
      <c r="D8" s="16">
        <v>0.42934000000000005</v>
      </c>
      <c r="E8" s="19">
        <v>0.2621</v>
      </c>
      <c r="F8" s="17">
        <v>0.26249999999999996</v>
      </c>
      <c r="G8" s="18">
        <v>346.25</v>
      </c>
      <c r="H8" s="18">
        <v>161.65</v>
      </c>
      <c r="I8" s="20">
        <v>346.25</v>
      </c>
      <c r="J8" s="54">
        <v>84.04</v>
      </c>
    </row>
    <row r="9" spans="1:16" ht="17.25" customHeight="1" x14ac:dyDescent="0.25">
      <c r="A9" s="4">
        <v>73</v>
      </c>
      <c r="B9" s="5" t="s">
        <v>1570</v>
      </c>
      <c r="C9" s="5" t="s">
        <v>1571</v>
      </c>
      <c r="D9" s="16">
        <v>0.86180999999999996</v>
      </c>
      <c r="E9" s="16">
        <v>0.26029999999999998</v>
      </c>
      <c r="F9" s="17">
        <v>0.21399999999999997</v>
      </c>
      <c r="G9" s="18">
        <v>824</v>
      </c>
      <c r="H9" s="18">
        <v>273.14999999999998</v>
      </c>
      <c r="I9" s="18">
        <v>824</v>
      </c>
      <c r="J9" s="53">
        <v>345.68</v>
      </c>
    </row>
    <row r="10" spans="1:16" ht="17.25" customHeight="1" x14ac:dyDescent="0.25">
      <c r="A10" s="4">
        <v>58</v>
      </c>
      <c r="B10" s="5" t="s">
        <v>1543</v>
      </c>
      <c r="C10" s="5" t="s">
        <v>1544</v>
      </c>
      <c r="D10" s="16">
        <v>0.57238999999999995</v>
      </c>
      <c r="E10" s="16">
        <v>0.26740000000000008</v>
      </c>
      <c r="F10" s="17">
        <v>0.28570000000000007</v>
      </c>
      <c r="G10" s="18">
        <v>551</v>
      </c>
      <c r="H10" s="18">
        <v>299.14999999999998</v>
      </c>
      <c r="I10" s="18">
        <v>551</v>
      </c>
      <c r="J10" s="53">
        <v>203.83</v>
      </c>
    </row>
    <row r="11" spans="1:16" ht="17.25" customHeight="1" x14ac:dyDescent="0.25">
      <c r="A11" s="4">
        <v>82</v>
      </c>
      <c r="B11" s="5" t="s">
        <v>1581</v>
      </c>
      <c r="C11" s="5" t="s">
        <v>1583</v>
      </c>
      <c r="D11" s="16">
        <v>0.51649000000000012</v>
      </c>
      <c r="E11" s="16">
        <v>0.25953000000000004</v>
      </c>
      <c r="F11" s="17">
        <v>0.29593000000000003</v>
      </c>
      <c r="G11" s="18">
        <v>645</v>
      </c>
      <c r="H11" s="18">
        <v>229.35</v>
      </c>
      <c r="I11" s="18">
        <v>645</v>
      </c>
      <c r="J11" s="53">
        <v>167.84800000000001</v>
      </c>
      <c r="K11" s="67"/>
    </row>
    <row r="12" spans="1:16" ht="17.25" customHeight="1" x14ac:dyDescent="0.25">
      <c r="A12" s="4">
        <v>97</v>
      </c>
      <c r="B12" s="5" t="s">
        <v>1601</v>
      </c>
      <c r="C12" s="5" t="s">
        <v>1603</v>
      </c>
      <c r="D12" s="16">
        <v>0.47455000000000003</v>
      </c>
      <c r="E12" s="16">
        <v>0.25475000000000003</v>
      </c>
      <c r="F12" s="17">
        <v>0.31000000000000005</v>
      </c>
      <c r="G12" s="18">
        <v>602</v>
      </c>
      <c r="H12" s="18">
        <v>236.5</v>
      </c>
      <c r="I12" s="18">
        <v>602</v>
      </c>
      <c r="J12" s="53">
        <v>133.4</v>
      </c>
    </row>
    <row r="13" spans="1:16" ht="17.25" customHeight="1" x14ac:dyDescent="0.25">
      <c r="A13" s="4">
        <v>56</v>
      </c>
      <c r="B13" s="5" t="s">
        <v>1539</v>
      </c>
      <c r="C13" s="5" t="s">
        <v>1540</v>
      </c>
      <c r="D13" s="16">
        <v>0.57596000000000003</v>
      </c>
      <c r="E13" s="16">
        <v>0.27178000000000013</v>
      </c>
      <c r="F13" s="17">
        <v>0.28039999999999998</v>
      </c>
      <c r="G13" s="18">
        <v>487.25</v>
      </c>
      <c r="H13" s="18">
        <v>238.15</v>
      </c>
      <c r="I13" s="18">
        <v>487.25</v>
      </c>
      <c r="J13" s="53">
        <v>187.375</v>
      </c>
    </row>
    <row r="14" spans="1:16" ht="17.25" customHeight="1" x14ac:dyDescent="0.25">
      <c r="A14" s="4">
        <v>103</v>
      </c>
      <c r="B14" s="5" t="s">
        <v>1613</v>
      </c>
      <c r="C14" s="5" t="s">
        <v>1614</v>
      </c>
      <c r="D14" s="16">
        <v>0.68067000000000011</v>
      </c>
      <c r="E14" s="16">
        <v>0.2636400000000001</v>
      </c>
      <c r="F14" s="17">
        <v>0.2982499999999999</v>
      </c>
      <c r="G14" s="18">
        <v>628</v>
      </c>
      <c r="H14" s="18">
        <v>210.15</v>
      </c>
      <c r="I14" s="18">
        <v>628</v>
      </c>
      <c r="J14" s="53">
        <v>187.86</v>
      </c>
    </row>
    <row r="15" spans="1:16" ht="17.25" customHeight="1" x14ac:dyDescent="0.25">
      <c r="A15" s="4">
        <v>105</v>
      </c>
      <c r="B15" s="5" t="s">
        <v>1616</v>
      </c>
      <c r="C15" s="5" t="s">
        <v>1617</v>
      </c>
      <c r="D15" s="16">
        <v>0.41230999999999995</v>
      </c>
      <c r="E15" s="16">
        <v>0.26533000000000007</v>
      </c>
      <c r="F15" s="17">
        <v>0.28699999999999992</v>
      </c>
      <c r="G15" s="18">
        <v>523</v>
      </c>
      <c r="H15" s="18">
        <v>176.19</v>
      </c>
      <c r="I15" s="18">
        <v>523</v>
      </c>
      <c r="J15" s="53">
        <v>98.96</v>
      </c>
    </row>
    <row r="16" spans="1:16" ht="17.25" customHeight="1" x14ac:dyDescent="0.25">
      <c r="A16" s="4">
        <v>74</v>
      </c>
      <c r="B16" s="5" t="s">
        <v>1572</v>
      </c>
      <c r="C16" s="5" t="s">
        <v>1573</v>
      </c>
      <c r="D16" s="16">
        <v>0.43623999999999996</v>
      </c>
      <c r="E16" s="16">
        <v>0.29000000000000004</v>
      </c>
      <c r="F16" s="17">
        <v>0.28570999999999991</v>
      </c>
      <c r="G16" s="18">
        <v>482</v>
      </c>
      <c r="H16" s="18">
        <v>150.65</v>
      </c>
      <c r="I16" s="18">
        <v>482</v>
      </c>
      <c r="J16" s="53">
        <v>96.94</v>
      </c>
    </row>
    <row r="17" spans="1:10" ht="17.25" customHeight="1" x14ac:dyDescent="0.25">
      <c r="A17" s="4">
        <v>176</v>
      </c>
      <c r="B17" s="5" t="s">
        <v>37</v>
      </c>
      <c r="C17" s="5" t="s">
        <v>38</v>
      </c>
      <c r="D17" s="16">
        <v>0.38736999999999999</v>
      </c>
      <c r="E17" s="16">
        <v>0.26561000000000012</v>
      </c>
      <c r="F17" s="17">
        <v>0.28570999999999991</v>
      </c>
      <c r="G17" s="18">
        <v>560</v>
      </c>
      <c r="H17" s="18">
        <v>200</v>
      </c>
      <c r="I17" s="18">
        <v>560</v>
      </c>
      <c r="J17" s="53">
        <v>112.98569999999999</v>
      </c>
    </row>
    <row r="18" spans="1:10" ht="17.25" customHeight="1" x14ac:dyDescent="0.25">
      <c r="A18" s="4">
        <v>108</v>
      </c>
      <c r="B18" s="5" t="s">
        <v>1621</v>
      </c>
      <c r="C18" s="5" t="s">
        <v>1622</v>
      </c>
      <c r="D18" s="16">
        <v>0.36461999999999994</v>
      </c>
      <c r="E18" s="16">
        <v>0.25639999999999996</v>
      </c>
      <c r="F18" s="17">
        <v>0.27970000000000006</v>
      </c>
      <c r="G18" s="18">
        <v>386.6</v>
      </c>
      <c r="H18" s="18">
        <v>156.15</v>
      </c>
      <c r="I18" s="18">
        <v>386.6</v>
      </c>
      <c r="J18" s="53">
        <v>66.05</v>
      </c>
    </row>
    <row r="19" spans="1:10" ht="17.25" customHeight="1" x14ac:dyDescent="0.25">
      <c r="A19" s="4">
        <v>83</v>
      </c>
      <c r="B19" s="5" t="s">
        <v>1584</v>
      </c>
      <c r="C19" s="5" t="s">
        <v>1585</v>
      </c>
      <c r="D19" s="16">
        <v>0.40029000000000003</v>
      </c>
      <c r="E19" s="16">
        <v>0.23819999999999997</v>
      </c>
      <c r="F19" s="17">
        <v>0.30940000000000012</v>
      </c>
      <c r="G19" s="18">
        <v>302.8</v>
      </c>
      <c r="H19" s="18">
        <v>129.15</v>
      </c>
      <c r="I19" s="18">
        <v>302.8</v>
      </c>
      <c r="J19" s="53">
        <v>64.03</v>
      </c>
    </row>
    <row r="20" spans="1:10" ht="17.25" customHeight="1" x14ac:dyDescent="0.25">
      <c r="A20" s="4">
        <v>804</v>
      </c>
      <c r="B20" s="5" t="s">
        <v>617</v>
      </c>
      <c r="C20" s="5" t="s">
        <v>619</v>
      </c>
      <c r="D20" s="16">
        <v>0.24937000000000009</v>
      </c>
      <c r="E20" s="16">
        <v>0.25143000000000004</v>
      </c>
      <c r="F20" s="17">
        <v>0.27757999999999994</v>
      </c>
      <c r="G20" s="18">
        <v>591.15</v>
      </c>
      <c r="H20" s="18">
        <v>239.66</v>
      </c>
      <c r="I20" s="18">
        <v>591.15</v>
      </c>
      <c r="J20" s="53">
        <v>112.21</v>
      </c>
    </row>
    <row r="21" spans="1:10" ht="17.25" customHeight="1" x14ac:dyDescent="0.25">
      <c r="A21" s="4">
        <v>704</v>
      </c>
      <c r="B21" s="5" t="s">
        <v>1698</v>
      </c>
      <c r="C21" s="5" t="s">
        <v>1700</v>
      </c>
      <c r="D21" s="16">
        <v>0.27275000000000005</v>
      </c>
      <c r="E21" s="16">
        <v>0.27729000000000004</v>
      </c>
      <c r="F21" s="17">
        <v>0.30163000000000006</v>
      </c>
      <c r="G21" s="18">
        <v>547</v>
      </c>
      <c r="H21" s="18">
        <v>203.36</v>
      </c>
      <c r="I21" s="18">
        <v>547</v>
      </c>
      <c r="J21" s="53">
        <v>98.19</v>
      </c>
    </row>
    <row r="22" spans="1:10" ht="17.25" customHeight="1" x14ac:dyDescent="0.25">
      <c r="A22" s="4">
        <v>1208</v>
      </c>
      <c r="B22" s="5" t="s">
        <v>947</v>
      </c>
      <c r="C22" s="5" t="s">
        <v>948</v>
      </c>
      <c r="D22" s="16">
        <v>0.30176000000000003</v>
      </c>
      <c r="E22" s="16">
        <v>0.25065000000000004</v>
      </c>
      <c r="F22" s="17">
        <v>0.30352000000000001</v>
      </c>
      <c r="G22" s="18">
        <v>775</v>
      </c>
      <c r="H22" s="18">
        <v>255.2</v>
      </c>
      <c r="I22" s="18">
        <v>775</v>
      </c>
      <c r="J22" s="53">
        <v>182.26</v>
      </c>
    </row>
    <row r="23" spans="1:10" ht="17.25" customHeight="1" x14ac:dyDescent="0.25">
      <c r="A23" s="4">
        <v>1214</v>
      </c>
      <c r="B23" s="5" t="s">
        <v>954</v>
      </c>
      <c r="C23" s="5" t="s">
        <v>955</v>
      </c>
      <c r="D23" s="16">
        <v>0.25409999999999999</v>
      </c>
      <c r="E23" s="16">
        <v>0.2330000000000001</v>
      </c>
      <c r="F23" s="17">
        <v>0.28570999999999991</v>
      </c>
      <c r="G23" s="18">
        <v>708.2</v>
      </c>
      <c r="H23" s="18">
        <v>284.95999999999998</v>
      </c>
      <c r="I23" s="18">
        <v>708.2</v>
      </c>
      <c r="J23" s="53">
        <v>190.32</v>
      </c>
    </row>
    <row r="24" spans="1:10" ht="17.25" customHeight="1" x14ac:dyDescent="0.25">
      <c r="A24" s="4">
        <v>971</v>
      </c>
      <c r="B24" s="5" t="s">
        <v>702</v>
      </c>
      <c r="C24" s="5" t="s">
        <v>704</v>
      </c>
      <c r="D24" s="19">
        <v>0.2984</v>
      </c>
      <c r="E24" s="16">
        <v>0.25750000000000006</v>
      </c>
      <c r="F24" s="17">
        <v>0.26770000000000005</v>
      </c>
      <c r="G24" s="18">
        <v>720.15</v>
      </c>
      <c r="H24" s="18">
        <v>237.4</v>
      </c>
      <c r="I24" s="18">
        <v>720.15</v>
      </c>
      <c r="J24" s="53">
        <v>132.19999999999999</v>
      </c>
    </row>
    <row r="25" spans="1:10" ht="17.25" customHeight="1" x14ac:dyDescent="0.25">
      <c r="A25" s="4">
        <v>977</v>
      </c>
      <c r="B25" s="5" t="s">
        <v>708</v>
      </c>
      <c r="C25" s="5" t="s">
        <v>709</v>
      </c>
      <c r="D25" s="16">
        <v>0.26429999999999998</v>
      </c>
      <c r="E25" s="16">
        <v>0.2370000000000001</v>
      </c>
      <c r="F25" s="17">
        <v>0.28570999999999991</v>
      </c>
      <c r="G25" s="18">
        <v>695.1</v>
      </c>
      <c r="H25" s="18">
        <v>266.91000000000003</v>
      </c>
      <c r="I25" s="18">
        <v>695.1</v>
      </c>
      <c r="J25" s="53">
        <v>134.22</v>
      </c>
    </row>
    <row r="26" spans="1:10" ht="17.25" customHeight="1" x14ac:dyDescent="0.25">
      <c r="A26" s="4">
        <v>1215</v>
      </c>
      <c r="B26" s="5" t="s">
        <v>954</v>
      </c>
      <c r="C26" s="5" t="s">
        <v>956</v>
      </c>
      <c r="D26" s="16">
        <v>0.25350000000000006</v>
      </c>
      <c r="E26" s="16">
        <v>0.23399999999999999</v>
      </c>
      <c r="F26" s="17">
        <v>0.28570999999999991</v>
      </c>
      <c r="G26" s="18">
        <v>707.52</v>
      </c>
      <c r="H26" s="18">
        <v>284.16000000000003</v>
      </c>
      <c r="I26" s="18">
        <v>707.52</v>
      </c>
      <c r="J26" s="53">
        <v>120.19</v>
      </c>
    </row>
    <row r="27" spans="1:10" ht="17.25" customHeight="1" x14ac:dyDescent="0.25">
      <c r="A27" s="4">
        <v>991</v>
      </c>
      <c r="B27" s="5" t="s">
        <v>708</v>
      </c>
      <c r="C27" s="5" t="s">
        <v>711</v>
      </c>
      <c r="D27" s="16">
        <v>0.2777099999999999</v>
      </c>
      <c r="E27" s="16">
        <v>0.25427</v>
      </c>
      <c r="F27" s="17">
        <v>0.28570999999999991</v>
      </c>
      <c r="G27" s="18">
        <v>679</v>
      </c>
      <c r="H27" s="18">
        <v>249.46</v>
      </c>
      <c r="I27" s="18">
        <v>679</v>
      </c>
      <c r="J27" s="53">
        <v>134.22</v>
      </c>
    </row>
    <row r="28" spans="1:10" ht="17.25" customHeight="1" x14ac:dyDescent="0.25">
      <c r="A28" s="4">
        <v>507</v>
      </c>
      <c r="B28" s="5" t="s">
        <v>404</v>
      </c>
      <c r="C28" s="5" t="s">
        <v>405</v>
      </c>
      <c r="D28" s="16">
        <v>0.3975200000000001</v>
      </c>
      <c r="E28" s="16">
        <v>0.40500000000000003</v>
      </c>
      <c r="F28" s="17">
        <v>0.28570999999999991</v>
      </c>
      <c r="G28" s="18">
        <v>830</v>
      </c>
      <c r="H28" s="18">
        <v>407</v>
      </c>
      <c r="I28" s="18">
        <v>830</v>
      </c>
      <c r="J28" s="53">
        <v>126.11</v>
      </c>
    </row>
    <row r="29" spans="1:10" ht="17.25" customHeight="1" x14ac:dyDescent="0.25">
      <c r="A29" s="4">
        <v>166</v>
      </c>
      <c r="B29" s="5" t="s">
        <v>21</v>
      </c>
      <c r="C29" s="5" t="s">
        <v>22</v>
      </c>
      <c r="D29" s="16">
        <v>0.42697999999999992</v>
      </c>
      <c r="E29" s="16">
        <v>0.24649999999999994</v>
      </c>
      <c r="F29" s="17">
        <v>0.28570000000000007</v>
      </c>
      <c r="G29" s="18">
        <v>652</v>
      </c>
      <c r="H29" s="18">
        <v>258.45</v>
      </c>
      <c r="I29" s="18">
        <v>652</v>
      </c>
      <c r="J29" s="53">
        <v>147.43</v>
      </c>
    </row>
    <row r="30" spans="1:10" ht="17.25" customHeight="1" x14ac:dyDescent="0.25">
      <c r="A30" s="4">
        <v>1151</v>
      </c>
      <c r="B30" s="5" t="s">
        <v>877</v>
      </c>
      <c r="C30" s="5" t="s">
        <v>878</v>
      </c>
      <c r="D30" s="16">
        <v>0.26439999999999997</v>
      </c>
      <c r="E30" s="16">
        <v>0.246</v>
      </c>
      <c r="F30" s="17">
        <v>0.28570999999999991</v>
      </c>
      <c r="G30" s="18">
        <v>684.37</v>
      </c>
      <c r="H30" s="18">
        <v>206.66</v>
      </c>
      <c r="I30" s="18">
        <v>684.37</v>
      </c>
      <c r="J30" s="53">
        <v>162.27000000000001</v>
      </c>
    </row>
    <row r="31" spans="1:10" ht="17.25" customHeight="1" x14ac:dyDescent="0.25">
      <c r="A31" s="4">
        <v>895</v>
      </c>
      <c r="B31" s="5" t="s">
        <v>1795</v>
      </c>
      <c r="C31" s="5" t="s">
        <v>1798</v>
      </c>
      <c r="D31" s="16">
        <v>0.29062999999999994</v>
      </c>
      <c r="E31" s="16">
        <v>0.27025999999999994</v>
      </c>
      <c r="F31" s="17">
        <v>0.26079999999999992</v>
      </c>
      <c r="G31" s="18">
        <v>664.53</v>
      </c>
      <c r="H31" s="18">
        <v>247.79</v>
      </c>
      <c r="I31" s="18">
        <v>664.53</v>
      </c>
      <c r="J31" s="53">
        <v>120.19</v>
      </c>
    </row>
    <row r="32" spans="1:10" ht="17.25" customHeight="1" x14ac:dyDescent="0.25">
      <c r="A32" s="4">
        <v>1145</v>
      </c>
      <c r="B32" s="5" t="s">
        <v>872</v>
      </c>
      <c r="C32" s="5" t="s">
        <v>873</v>
      </c>
      <c r="D32" s="16">
        <v>0.29913999999999996</v>
      </c>
      <c r="E32" s="16">
        <v>0.24275000000000002</v>
      </c>
      <c r="F32" s="17">
        <v>0.28570999999999991</v>
      </c>
      <c r="G32" s="18">
        <v>726</v>
      </c>
      <c r="H32" s="18">
        <v>344.65</v>
      </c>
      <c r="I32" s="18">
        <v>726</v>
      </c>
      <c r="J32" s="53">
        <v>158.24</v>
      </c>
    </row>
    <row r="33" spans="1:10" ht="17.25" customHeight="1" x14ac:dyDescent="0.25">
      <c r="A33" s="4">
        <v>1216</v>
      </c>
      <c r="B33" s="5" t="s">
        <v>954</v>
      </c>
      <c r="C33" s="5" t="s">
        <v>957</v>
      </c>
      <c r="D33" s="16">
        <v>0.25269999999999992</v>
      </c>
      <c r="E33" s="16">
        <v>0.23399999999999999</v>
      </c>
      <c r="F33" s="17">
        <v>0.28570999999999991</v>
      </c>
      <c r="G33" s="18">
        <v>706.85</v>
      </c>
      <c r="H33" s="18">
        <v>283.16000000000003</v>
      </c>
      <c r="I33" s="18">
        <v>706.85</v>
      </c>
      <c r="J33" s="53">
        <v>190.32</v>
      </c>
    </row>
    <row r="34" spans="1:10" ht="17.25" customHeight="1" x14ac:dyDescent="0.25">
      <c r="A34" s="4">
        <v>469</v>
      </c>
      <c r="B34" s="5" t="s">
        <v>377</v>
      </c>
      <c r="C34" s="5" t="s">
        <v>378</v>
      </c>
      <c r="D34" s="16">
        <v>0.44364999999999988</v>
      </c>
      <c r="E34" s="16">
        <v>0.25239999999999996</v>
      </c>
      <c r="F34" s="17">
        <v>0.28570000000000007</v>
      </c>
      <c r="G34" s="18">
        <v>725</v>
      </c>
      <c r="H34" s="18">
        <v>290.14999999999998</v>
      </c>
      <c r="I34" s="18">
        <v>725</v>
      </c>
      <c r="J34" s="53">
        <v>181.4</v>
      </c>
    </row>
    <row r="35" spans="1:10" ht="17.25" customHeight="1" x14ac:dyDescent="0.25">
      <c r="A35" s="4">
        <v>1152</v>
      </c>
      <c r="B35" s="5" t="s">
        <v>877</v>
      </c>
      <c r="C35" s="5" t="s">
        <v>879</v>
      </c>
      <c r="D35" s="16">
        <v>0.26439999999999997</v>
      </c>
      <c r="E35" s="16">
        <v>0.246</v>
      </c>
      <c r="F35" s="17">
        <v>0.28570999999999991</v>
      </c>
      <c r="G35" s="18">
        <v>684.37</v>
      </c>
      <c r="H35" s="18">
        <v>206.66</v>
      </c>
      <c r="I35" s="18">
        <v>684.37</v>
      </c>
      <c r="J35" s="53">
        <v>162.27000000000001</v>
      </c>
    </row>
    <row r="36" spans="1:10" ht="17.25" customHeight="1" x14ac:dyDescent="0.25">
      <c r="A36" s="4">
        <v>896</v>
      </c>
      <c r="B36" s="5" t="s">
        <v>1795</v>
      </c>
      <c r="C36" s="5" t="s">
        <v>1799</v>
      </c>
      <c r="D36" s="16">
        <v>0.27966000000000002</v>
      </c>
      <c r="E36" s="16">
        <v>0.25947999999999993</v>
      </c>
      <c r="F36" s="17">
        <v>0.27723999999999993</v>
      </c>
      <c r="G36" s="18">
        <v>649.13</v>
      </c>
      <c r="H36" s="18">
        <v>229.38</v>
      </c>
      <c r="I36" s="18">
        <v>649.13</v>
      </c>
      <c r="J36" s="53">
        <v>120.19</v>
      </c>
    </row>
    <row r="37" spans="1:10" ht="17.25" customHeight="1" x14ac:dyDescent="0.25">
      <c r="A37" s="4">
        <v>504</v>
      </c>
      <c r="B37" s="5" t="s">
        <v>401</v>
      </c>
      <c r="C37" s="5" t="s">
        <v>402</v>
      </c>
      <c r="D37" s="16">
        <v>0.36704000000000003</v>
      </c>
      <c r="E37" s="16">
        <v>0.25256999999999996</v>
      </c>
      <c r="F37" s="17">
        <v>0.26690000000000014</v>
      </c>
      <c r="G37" s="18">
        <v>764</v>
      </c>
      <c r="H37" s="18">
        <v>377.6</v>
      </c>
      <c r="I37" s="18">
        <v>764</v>
      </c>
      <c r="J37" s="53">
        <v>110.11</v>
      </c>
    </row>
    <row r="38" spans="1:10" ht="17.25" customHeight="1" x14ac:dyDescent="0.25">
      <c r="A38" s="4">
        <v>255</v>
      </c>
      <c r="B38" s="5" t="s">
        <v>137</v>
      </c>
      <c r="C38" s="5" t="s">
        <v>139</v>
      </c>
      <c r="D38" s="16">
        <v>0.24699999999999989</v>
      </c>
      <c r="E38" s="16">
        <v>0.26696000000000009</v>
      </c>
      <c r="F38" s="17">
        <v>0.28570000000000007</v>
      </c>
      <c r="G38" s="18">
        <v>444</v>
      </c>
      <c r="H38" s="18">
        <v>136.94999999999999</v>
      </c>
      <c r="I38" s="18">
        <v>444</v>
      </c>
      <c r="J38" s="53">
        <v>54.09</v>
      </c>
    </row>
    <row r="39" spans="1:10" ht="17.25" customHeight="1" x14ac:dyDescent="0.25">
      <c r="A39" s="4">
        <v>290</v>
      </c>
      <c r="B39" s="5" t="s">
        <v>172</v>
      </c>
      <c r="C39" s="5" t="s">
        <v>173</v>
      </c>
      <c r="D39" s="16">
        <v>0.69269999999999987</v>
      </c>
      <c r="E39" s="16">
        <v>0.32499999999999996</v>
      </c>
      <c r="F39" s="17">
        <v>0.28570999999999991</v>
      </c>
      <c r="G39" s="18">
        <v>659.28</v>
      </c>
      <c r="H39" s="18">
        <v>207.76</v>
      </c>
      <c r="I39" s="18">
        <v>659.28</v>
      </c>
      <c r="J39" s="53">
        <v>215.91</v>
      </c>
    </row>
    <row r="40" spans="1:10" ht="17.25" customHeight="1" x14ac:dyDescent="0.25">
      <c r="A40" s="4">
        <v>104</v>
      </c>
      <c r="B40" s="5" t="s">
        <v>1613</v>
      </c>
      <c r="C40" s="5" t="s">
        <v>1615</v>
      </c>
      <c r="D40" s="16">
        <v>0.71465999999999985</v>
      </c>
      <c r="E40" s="16">
        <v>0.26634000000000002</v>
      </c>
      <c r="F40" s="17">
        <v>0.28570999999999991</v>
      </c>
      <c r="G40" s="18">
        <v>650.15</v>
      </c>
      <c r="H40" s="18">
        <v>282.94</v>
      </c>
      <c r="I40" s="18">
        <v>650.15</v>
      </c>
      <c r="J40" s="53">
        <v>187.86</v>
      </c>
    </row>
    <row r="41" spans="1:10" ht="17.25" customHeight="1" x14ac:dyDescent="0.25">
      <c r="A41" s="4">
        <v>175</v>
      </c>
      <c r="B41" s="5" t="s">
        <v>35</v>
      </c>
      <c r="C41" s="5" t="s">
        <v>36</v>
      </c>
      <c r="D41" s="16">
        <v>0.76339999999999986</v>
      </c>
      <c r="E41" s="16">
        <v>0.33000000000000007</v>
      </c>
      <c r="F41" s="17">
        <v>0.28570999999999991</v>
      </c>
      <c r="G41" s="18">
        <v>634.11</v>
      </c>
      <c r="H41" s="18">
        <v>217.96</v>
      </c>
      <c r="I41" s="18">
        <v>634.11</v>
      </c>
      <c r="J41" s="53">
        <v>201.89</v>
      </c>
    </row>
    <row r="42" spans="1:10" ht="17.25" customHeight="1" x14ac:dyDescent="0.25">
      <c r="A42" s="4">
        <v>52</v>
      </c>
      <c r="B42" s="5" t="s">
        <v>1533</v>
      </c>
      <c r="C42" s="5" t="s">
        <v>1534</v>
      </c>
      <c r="D42" s="16">
        <v>0.76194000000000006</v>
      </c>
      <c r="E42" s="16">
        <v>0.26171999999999995</v>
      </c>
      <c r="F42" s="17">
        <v>0.26547000000000009</v>
      </c>
      <c r="G42" s="18">
        <v>487.8</v>
      </c>
      <c r="H42" s="18">
        <v>162.65</v>
      </c>
      <c r="I42" s="18">
        <v>487.8</v>
      </c>
      <c r="J42" s="53">
        <v>259.82</v>
      </c>
    </row>
    <row r="43" spans="1:10" ht="17.25" customHeight="1" x14ac:dyDescent="0.25">
      <c r="A43" s="4">
        <v>468</v>
      </c>
      <c r="B43" s="5" t="s">
        <v>375</v>
      </c>
      <c r="C43" s="5" t="s">
        <v>376</v>
      </c>
      <c r="D43" s="16">
        <v>0.44040999999999997</v>
      </c>
      <c r="E43" s="16">
        <v>0.24309000000000003</v>
      </c>
      <c r="F43" s="17">
        <v>0.27432999999999996</v>
      </c>
      <c r="G43" s="18">
        <v>758</v>
      </c>
      <c r="H43" s="18">
        <v>315.64999999999998</v>
      </c>
      <c r="I43" s="18">
        <v>758</v>
      </c>
      <c r="J43" s="53">
        <v>192</v>
      </c>
    </row>
    <row r="44" spans="1:10" ht="17.25" customHeight="1" x14ac:dyDescent="0.25">
      <c r="A44" s="4">
        <v>106</v>
      </c>
      <c r="B44" s="5" t="s">
        <v>1616</v>
      </c>
      <c r="C44" s="5" t="s">
        <v>1618</v>
      </c>
      <c r="D44" s="16">
        <v>0.46500999999999992</v>
      </c>
      <c r="E44" s="16">
        <v>0.28742000000000001</v>
      </c>
      <c r="F44" s="17">
        <v>0.31041000000000007</v>
      </c>
      <c r="G44" s="18">
        <v>561</v>
      </c>
      <c r="H44" s="18">
        <v>237.49</v>
      </c>
      <c r="I44" s="18">
        <v>561</v>
      </c>
      <c r="J44" s="53">
        <v>98.96</v>
      </c>
    </row>
    <row r="45" spans="1:10" ht="17.25" customHeight="1" x14ac:dyDescent="0.25">
      <c r="A45" s="4">
        <v>177</v>
      </c>
      <c r="B45" s="5" t="s">
        <v>37</v>
      </c>
      <c r="C45" s="5" t="s">
        <v>39</v>
      </c>
      <c r="D45" s="16">
        <v>0.38661000000000012</v>
      </c>
      <c r="E45" s="16">
        <v>0.26055000000000006</v>
      </c>
      <c r="F45" s="17">
        <v>0.28570999999999991</v>
      </c>
      <c r="G45" s="18">
        <v>572</v>
      </c>
      <c r="H45" s="18">
        <v>172.71</v>
      </c>
      <c r="I45" s="18">
        <v>572</v>
      </c>
      <c r="J45" s="53">
        <v>112.99</v>
      </c>
    </row>
    <row r="46" spans="1:10" ht="17.25" customHeight="1" x14ac:dyDescent="0.25">
      <c r="A46" s="4">
        <v>55</v>
      </c>
      <c r="B46" s="5" t="s">
        <v>1537</v>
      </c>
      <c r="C46" s="5" t="s">
        <v>1538</v>
      </c>
      <c r="D46" s="16">
        <v>0.57269999999999999</v>
      </c>
      <c r="E46" s="16">
        <v>0.26920000000000011</v>
      </c>
      <c r="F46" s="17">
        <v>0.27449999999999997</v>
      </c>
      <c r="G46" s="18">
        <v>418.85</v>
      </c>
      <c r="H46" s="18">
        <v>179.15</v>
      </c>
      <c r="I46" s="18">
        <v>418.85</v>
      </c>
      <c r="J46" s="53">
        <v>170.92</v>
      </c>
    </row>
    <row r="47" spans="1:10" ht="17.25" customHeight="1" x14ac:dyDescent="0.25">
      <c r="A47" s="4">
        <v>109</v>
      </c>
      <c r="B47" s="5" t="s">
        <v>1621</v>
      </c>
      <c r="C47" s="5" t="s">
        <v>1623</v>
      </c>
      <c r="D47" s="16">
        <v>0.32623999999999986</v>
      </c>
      <c r="E47" s="16">
        <v>0.22209999999999996</v>
      </c>
      <c r="F47" s="17">
        <v>0.28570000000000007</v>
      </c>
      <c r="G47" s="18">
        <v>476</v>
      </c>
      <c r="H47" s="18">
        <v>215</v>
      </c>
      <c r="I47" s="18">
        <v>476</v>
      </c>
      <c r="J47" s="53">
        <v>66.05</v>
      </c>
    </row>
    <row r="48" spans="1:10" ht="17.25" customHeight="1" x14ac:dyDescent="0.25">
      <c r="A48" s="4">
        <v>293</v>
      </c>
      <c r="B48" s="5" t="s">
        <v>177</v>
      </c>
      <c r="C48" s="5" t="s">
        <v>178</v>
      </c>
      <c r="D48" s="16">
        <v>0.72770000000000001</v>
      </c>
      <c r="E48" s="16">
        <v>0.26500000000000012</v>
      </c>
      <c r="F48" s="17">
        <v>0.28570999999999991</v>
      </c>
      <c r="G48" s="18">
        <v>726.41</v>
      </c>
      <c r="H48" s="18">
        <v>279.06</v>
      </c>
      <c r="I48" s="18">
        <v>726.41</v>
      </c>
      <c r="J48" s="53">
        <v>309.92</v>
      </c>
    </row>
    <row r="49" spans="1:10" ht="17.25" customHeight="1" x14ac:dyDescent="0.25">
      <c r="A49" s="4">
        <v>110</v>
      </c>
      <c r="B49" s="5" t="s">
        <v>2228</v>
      </c>
      <c r="C49" s="5" t="s">
        <v>1624</v>
      </c>
      <c r="D49" s="16">
        <v>0.87129999999999996</v>
      </c>
      <c r="E49" s="16">
        <v>0.24500000000000011</v>
      </c>
      <c r="F49" s="17">
        <v>0.28570999999999991</v>
      </c>
      <c r="G49" s="18">
        <v>749.91</v>
      </c>
      <c r="H49" s="18">
        <v>356.16</v>
      </c>
      <c r="I49" s="18">
        <v>749.91</v>
      </c>
      <c r="J49" s="53">
        <v>281.86</v>
      </c>
    </row>
    <row r="50" spans="1:10" ht="17.25" customHeight="1" x14ac:dyDescent="0.25">
      <c r="A50" s="4">
        <v>180</v>
      </c>
      <c r="B50" s="5" t="s">
        <v>2229</v>
      </c>
      <c r="C50" s="5" t="s">
        <v>42</v>
      </c>
      <c r="D50" s="16">
        <v>0.74509999999999987</v>
      </c>
      <c r="E50" s="16">
        <v>0.24199999999999999</v>
      </c>
      <c r="F50" s="17">
        <v>0.28570999999999991</v>
      </c>
      <c r="G50" s="18">
        <v>780.49</v>
      </c>
      <c r="H50" s="18">
        <v>253.16</v>
      </c>
      <c r="I50" s="18">
        <v>780.49</v>
      </c>
      <c r="J50" s="53">
        <v>285.89</v>
      </c>
    </row>
    <row r="51" spans="1:10" ht="17.25" customHeight="1" x14ac:dyDescent="0.25">
      <c r="A51" s="4">
        <v>335</v>
      </c>
      <c r="B51" s="5" t="s">
        <v>216</v>
      </c>
      <c r="C51" s="5" t="s">
        <v>221</v>
      </c>
      <c r="D51" s="16">
        <v>0.2988599999999999</v>
      </c>
      <c r="E51" s="16">
        <v>0.26183000000000001</v>
      </c>
      <c r="F51" s="17">
        <v>0.28570999999999991</v>
      </c>
      <c r="G51" s="18">
        <v>536.15</v>
      </c>
      <c r="H51" s="18">
        <v>215.15</v>
      </c>
      <c r="I51" s="18">
        <v>536.15</v>
      </c>
      <c r="J51" s="53">
        <v>90.12</v>
      </c>
    </row>
    <row r="52" spans="1:10" ht="17.25" customHeight="1" x14ac:dyDescent="0.25">
      <c r="A52" s="4">
        <v>1132</v>
      </c>
      <c r="B52" s="5" t="s">
        <v>859</v>
      </c>
      <c r="C52" s="5" t="s">
        <v>860</v>
      </c>
      <c r="D52" s="16">
        <v>0.29600000000000004</v>
      </c>
      <c r="E52" s="16">
        <v>0.24299999999999988</v>
      </c>
      <c r="F52" s="17">
        <v>0.28570999999999991</v>
      </c>
      <c r="G52" s="18">
        <v>775.34</v>
      </c>
      <c r="H52" s="18">
        <v>272.16000000000003</v>
      </c>
      <c r="I52" s="18">
        <v>775.34</v>
      </c>
      <c r="J52" s="53">
        <v>156.22</v>
      </c>
    </row>
    <row r="53" spans="1:10" ht="17.25" customHeight="1" x14ac:dyDescent="0.25">
      <c r="A53" s="4">
        <v>1209</v>
      </c>
      <c r="B53" s="5" t="s">
        <v>947</v>
      </c>
      <c r="C53" s="5" t="s">
        <v>949</v>
      </c>
      <c r="D53" s="16">
        <v>0.30031000000000008</v>
      </c>
      <c r="E53" s="16">
        <v>0.248</v>
      </c>
      <c r="F53" s="17">
        <v>0.29000000000000004</v>
      </c>
      <c r="G53" s="18">
        <v>780</v>
      </c>
      <c r="H53" s="18">
        <v>324.33999999999997</v>
      </c>
      <c r="I53" s="18">
        <v>780</v>
      </c>
      <c r="J53" s="53">
        <v>182.26</v>
      </c>
    </row>
    <row r="54" spans="1:10" ht="17.25" customHeight="1" x14ac:dyDescent="0.25">
      <c r="A54" s="4">
        <v>296</v>
      </c>
      <c r="B54" s="5" t="s">
        <v>179</v>
      </c>
      <c r="C54" s="5" t="s">
        <v>181</v>
      </c>
      <c r="D54" s="16">
        <v>0.28218999999999994</v>
      </c>
      <c r="E54" s="16">
        <v>0.25649999999999995</v>
      </c>
      <c r="F54" s="17">
        <v>0.28570000000000007</v>
      </c>
      <c r="G54" s="18">
        <v>526</v>
      </c>
      <c r="H54" s="18">
        <v>123.15</v>
      </c>
      <c r="I54" s="18">
        <v>526</v>
      </c>
      <c r="J54" s="53">
        <v>72.11</v>
      </c>
    </row>
    <row r="55" spans="1:10" ht="17.25" customHeight="1" x14ac:dyDescent="0.25">
      <c r="A55" s="4">
        <v>378</v>
      </c>
      <c r="B55" s="5" t="s">
        <v>272</v>
      </c>
      <c r="C55" s="5" t="s">
        <v>277</v>
      </c>
      <c r="D55" s="16">
        <v>0.24680999999999997</v>
      </c>
      <c r="E55" s="16">
        <v>0.26439999999999997</v>
      </c>
      <c r="F55" s="17">
        <v>0.28786</v>
      </c>
      <c r="G55" s="18">
        <v>500</v>
      </c>
      <c r="H55" s="18">
        <v>135.88999999999999</v>
      </c>
      <c r="I55" s="18">
        <v>500</v>
      </c>
      <c r="J55" s="53">
        <v>68.12</v>
      </c>
    </row>
    <row r="56" spans="1:10" ht="17.25" customHeight="1" x14ac:dyDescent="0.25">
      <c r="A56" s="4">
        <v>230</v>
      </c>
      <c r="B56" s="5" t="s">
        <v>99</v>
      </c>
      <c r="C56" s="5" t="s">
        <v>100</v>
      </c>
      <c r="D56" s="16">
        <v>0.23458000000000001</v>
      </c>
      <c r="E56" s="16">
        <v>0.21184000000000003</v>
      </c>
      <c r="F56" s="17">
        <v>0.25619999999999998</v>
      </c>
      <c r="G56" s="18">
        <v>587</v>
      </c>
      <c r="H56" s="18">
        <v>236.53</v>
      </c>
      <c r="I56" s="18">
        <v>587</v>
      </c>
      <c r="J56" s="53">
        <v>74.12</v>
      </c>
    </row>
    <row r="57" spans="1:10" ht="17.25" customHeight="1" x14ac:dyDescent="0.25">
      <c r="A57" s="4">
        <v>217</v>
      </c>
      <c r="B57" s="5" t="s">
        <v>83</v>
      </c>
      <c r="C57" s="5" t="s">
        <v>86</v>
      </c>
      <c r="D57" s="16">
        <v>0.31838999999999995</v>
      </c>
      <c r="E57" s="16">
        <v>0.26106000000000007</v>
      </c>
      <c r="F57" s="17">
        <v>0.20459000000000005</v>
      </c>
      <c r="G57" s="18">
        <v>626</v>
      </c>
      <c r="H57" s="18">
        <v>213.15</v>
      </c>
      <c r="I57" s="18">
        <v>626</v>
      </c>
      <c r="J57" s="53">
        <v>76.09</v>
      </c>
    </row>
    <row r="58" spans="1:10" ht="17.25" customHeight="1" x14ac:dyDescent="0.25">
      <c r="A58" s="4">
        <v>185</v>
      </c>
      <c r="B58" s="5" t="s">
        <v>43</v>
      </c>
      <c r="C58" s="5" t="s">
        <v>47</v>
      </c>
      <c r="D58" s="16">
        <v>0.31225999999999998</v>
      </c>
      <c r="E58" s="16">
        <v>0.27634000000000003</v>
      </c>
      <c r="F58" s="17">
        <v>0.29353000000000007</v>
      </c>
      <c r="G58" s="18">
        <v>482.25</v>
      </c>
      <c r="H58" s="18">
        <v>161.22</v>
      </c>
      <c r="I58" s="18">
        <v>482.25</v>
      </c>
      <c r="J58" s="53">
        <v>58.08</v>
      </c>
    </row>
    <row r="59" spans="1:10" ht="17.25" customHeight="1" x14ac:dyDescent="0.25">
      <c r="A59" s="4">
        <v>769</v>
      </c>
      <c r="B59" s="5" t="s">
        <v>1752</v>
      </c>
      <c r="C59" s="5" t="s">
        <v>1754</v>
      </c>
      <c r="D59" s="16">
        <v>0.30149999999999988</v>
      </c>
      <c r="E59" s="16">
        <v>0.26800000000000002</v>
      </c>
      <c r="F59" s="17">
        <v>0.28570999999999991</v>
      </c>
      <c r="G59" s="18">
        <v>642.54999999999995</v>
      </c>
      <c r="H59" s="18">
        <v>266.16000000000003</v>
      </c>
      <c r="I59" s="18">
        <v>642.54999999999995</v>
      </c>
      <c r="J59" s="53">
        <v>104.15</v>
      </c>
    </row>
    <row r="60" spans="1:10" ht="17.25" customHeight="1" x14ac:dyDescent="0.25">
      <c r="A60" s="4">
        <v>681</v>
      </c>
      <c r="B60" s="5" t="s">
        <v>571</v>
      </c>
      <c r="C60" s="5" t="s">
        <v>573</v>
      </c>
      <c r="D60" s="16">
        <v>0.29800000000000004</v>
      </c>
      <c r="E60" s="16">
        <v>0.26600000000000001</v>
      </c>
      <c r="F60" s="17">
        <v>0.28570999999999991</v>
      </c>
      <c r="G60" s="18">
        <v>593.9</v>
      </c>
      <c r="H60" s="18">
        <v>193.66</v>
      </c>
      <c r="I60" s="18">
        <v>593.9</v>
      </c>
      <c r="J60" s="53">
        <v>92.14</v>
      </c>
    </row>
    <row r="61" spans="1:10" ht="17.25" customHeight="1" x14ac:dyDescent="0.25">
      <c r="A61" s="4">
        <v>1153</v>
      </c>
      <c r="B61" s="5" t="s">
        <v>877</v>
      </c>
      <c r="C61" s="5" t="s">
        <v>880</v>
      </c>
      <c r="D61" s="16">
        <v>0.27069999999999994</v>
      </c>
      <c r="E61" s="16">
        <v>0.24699999999999989</v>
      </c>
      <c r="F61" s="17">
        <v>0.28570999999999991</v>
      </c>
      <c r="G61" s="18">
        <v>682.28</v>
      </c>
      <c r="H61" s="18">
        <v>206.66</v>
      </c>
      <c r="I61" s="18">
        <v>682.28</v>
      </c>
      <c r="J61" s="53">
        <v>162.27000000000001</v>
      </c>
    </row>
    <row r="62" spans="1:10" ht="17.25" customHeight="1" x14ac:dyDescent="0.25">
      <c r="A62" s="4">
        <v>470</v>
      </c>
      <c r="B62" s="5" t="s">
        <v>2230</v>
      </c>
      <c r="C62" s="5" t="s">
        <v>379</v>
      </c>
      <c r="D62" s="16">
        <v>0.40975000000000006</v>
      </c>
      <c r="E62" s="16">
        <v>0.21100000000000008</v>
      </c>
      <c r="F62" s="17">
        <v>0.28570999999999991</v>
      </c>
      <c r="G62" s="18">
        <v>1005</v>
      </c>
      <c r="H62" s="20">
        <v>398.4</v>
      </c>
      <c r="I62" s="18">
        <v>1005</v>
      </c>
      <c r="J62" s="53">
        <v>213.1</v>
      </c>
    </row>
    <row r="63" spans="1:10" ht="17.25" customHeight="1" x14ac:dyDescent="0.25">
      <c r="A63" s="4">
        <v>505</v>
      </c>
      <c r="B63" s="5" t="s">
        <v>401</v>
      </c>
      <c r="C63" s="5" t="s">
        <v>403</v>
      </c>
      <c r="D63" s="16">
        <v>0.36704999999999988</v>
      </c>
      <c r="E63" s="16">
        <v>0.25652000000000008</v>
      </c>
      <c r="F63" s="17">
        <v>0.24326999999999988</v>
      </c>
      <c r="G63" s="18">
        <v>810</v>
      </c>
      <c r="H63" s="18">
        <v>382</v>
      </c>
      <c r="I63" s="18">
        <v>810</v>
      </c>
      <c r="J63" s="53">
        <v>110.11</v>
      </c>
    </row>
    <row r="64" spans="1:10" ht="17.25" customHeight="1" x14ac:dyDescent="0.25">
      <c r="A64" s="4">
        <v>256</v>
      </c>
      <c r="B64" s="5" t="s">
        <v>137</v>
      </c>
      <c r="C64" s="5" t="s">
        <v>140</v>
      </c>
      <c r="D64" s="16">
        <v>0.24597000000000002</v>
      </c>
      <c r="E64" s="16">
        <v>0.27227000000000001</v>
      </c>
      <c r="F64" s="17">
        <v>0.29074</v>
      </c>
      <c r="G64" s="18">
        <v>425.37</v>
      </c>
      <c r="H64" s="18">
        <v>164.25</v>
      </c>
      <c r="I64" s="18">
        <v>425.37</v>
      </c>
      <c r="J64" s="53">
        <v>54.09</v>
      </c>
    </row>
    <row r="65" spans="1:10" ht="17.25" customHeight="1" x14ac:dyDescent="0.25">
      <c r="A65" s="4">
        <v>331</v>
      </c>
      <c r="B65" s="5" t="s">
        <v>216</v>
      </c>
      <c r="C65" s="5" t="s">
        <v>217</v>
      </c>
      <c r="D65" s="16">
        <v>0.32440999999999987</v>
      </c>
      <c r="E65" s="16">
        <v>0.25980000000000003</v>
      </c>
      <c r="F65" s="17">
        <v>0.28570000000000007</v>
      </c>
      <c r="G65" s="18">
        <v>643</v>
      </c>
      <c r="H65" s="18">
        <v>196.15</v>
      </c>
      <c r="I65" s="18">
        <v>643</v>
      </c>
      <c r="J65" s="53">
        <v>90.12</v>
      </c>
    </row>
    <row r="66" spans="1:10" ht="17.25" customHeight="1" x14ac:dyDescent="0.25">
      <c r="A66" s="4">
        <v>513</v>
      </c>
      <c r="B66" s="5" t="s">
        <v>413</v>
      </c>
      <c r="C66" s="5" t="s">
        <v>414</v>
      </c>
      <c r="D66" s="16">
        <v>0.28927000000000014</v>
      </c>
      <c r="E66" s="16">
        <v>0.25873999999999997</v>
      </c>
      <c r="F66" s="17">
        <v>0.31489999999999996</v>
      </c>
      <c r="G66" s="18">
        <v>558</v>
      </c>
      <c r="H66" s="18">
        <v>161</v>
      </c>
      <c r="I66" s="18">
        <v>558</v>
      </c>
      <c r="J66" s="53">
        <v>80.13</v>
      </c>
    </row>
    <row r="67" spans="1:10" ht="17.25" customHeight="1" x14ac:dyDescent="0.25">
      <c r="A67" s="4">
        <v>178</v>
      </c>
      <c r="B67" s="5" t="s">
        <v>37</v>
      </c>
      <c r="C67" s="5" t="s">
        <v>40</v>
      </c>
      <c r="D67" s="16">
        <v>0.38826999999999989</v>
      </c>
      <c r="E67" s="16">
        <v>0.26224000000000003</v>
      </c>
      <c r="F67" s="17">
        <v>0.27099999999999991</v>
      </c>
      <c r="G67" s="18">
        <v>603</v>
      </c>
      <c r="H67" s="18">
        <v>173.65</v>
      </c>
      <c r="I67" s="18">
        <v>603</v>
      </c>
      <c r="J67" s="53">
        <v>112.99</v>
      </c>
    </row>
    <row r="68" spans="1:10" ht="17.25" customHeight="1" x14ac:dyDescent="0.25">
      <c r="A68" s="4">
        <v>259</v>
      </c>
      <c r="B68" s="5" t="s">
        <v>143</v>
      </c>
      <c r="C68" s="5" t="s">
        <v>2367</v>
      </c>
      <c r="D68" s="16">
        <v>0.3846099999999999</v>
      </c>
      <c r="E68" s="16">
        <v>0.26733999999999991</v>
      </c>
      <c r="F68" s="17">
        <v>0.27883000000000013</v>
      </c>
      <c r="G68" s="18">
        <v>618</v>
      </c>
      <c r="H68" s="18">
        <v>276</v>
      </c>
      <c r="I68" s="18">
        <v>618</v>
      </c>
      <c r="J68" s="53">
        <v>125</v>
      </c>
    </row>
    <row r="69" spans="1:10" ht="17.25" customHeight="1" x14ac:dyDescent="0.25">
      <c r="A69" s="4">
        <v>1133</v>
      </c>
      <c r="B69" s="5" t="s">
        <v>859</v>
      </c>
      <c r="C69" s="5" t="s">
        <v>861</v>
      </c>
      <c r="D69" s="16">
        <v>0.29380000000000006</v>
      </c>
      <c r="E69" s="16">
        <v>0.24399999999999999</v>
      </c>
      <c r="F69" s="17">
        <v>0.28570999999999991</v>
      </c>
      <c r="G69" s="18">
        <v>773.76</v>
      </c>
      <c r="H69" s="18">
        <v>269.16000000000003</v>
      </c>
      <c r="I69" s="18">
        <v>773.76</v>
      </c>
      <c r="J69" s="53">
        <v>156.22</v>
      </c>
    </row>
    <row r="70" spans="1:10" ht="17.25" customHeight="1" x14ac:dyDescent="0.25">
      <c r="A70" s="4">
        <v>1131</v>
      </c>
      <c r="B70" s="5" t="s">
        <v>857</v>
      </c>
      <c r="C70" s="5" t="s">
        <v>858</v>
      </c>
      <c r="D70" s="16">
        <v>0.30750999999999995</v>
      </c>
      <c r="E70" s="16">
        <v>0.25800000000000001</v>
      </c>
      <c r="F70" s="17">
        <v>0.28570999999999991</v>
      </c>
      <c r="G70" s="18">
        <v>845</v>
      </c>
      <c r="H70" s="18">
        <v>372</v>
      </c>
      <c r="I70" s="18">
        <v>845</v>
      </c>
      <c r="J70" s="53">
        <v>197.24</v>
      </c>
    </row>
    <row r="71" spans="1:10" ht="17.25" customHeight="1" x14ac:dyDescent="0.25">
      <c r="A71" s="4">
        <v>218</v>
      </c>
      <c r="B71" s="5" t="s">
        <v>83</v>
      </c>
      <c r="C71" s="5" t="s">
        <v>87</v>
      </c>
      <c r="D71" s="16">
        <v>0.32831999999999995</v>
      </c>
      <c r="E71" s="16">
        <v>0.25079999999999991</v>
      </c>
      <c r="F71" s="17">
        <v>0.28570000000000007</v>
      </c>
      <c r="G71" s="18">
        <v>658</v>
      </c>
      <c r="H71" s="18">
        <v>246.45</v>
      </c>
      <c r="I71" s="18">
        <v>658</v>
      </c>
      <c r="J71" s="53">
        <v>76.09</v>
      </c>
    </row>
    <row r="72" spans="1:10" ht="17.25" customHeight="1" x14ac:dyDescent="0.25">
      <c r="A72" s="4">
        <v>186</v>
      </c>
      <c r="B72" s="5" t="s">
        <v>43</v>
      </c>
      <c r="C72" s="5" t="s">
        <v>48</v>
      </c>
      <c r="D72" s="16">
        <v>0.30472999999999995</v>
      </c>
      <c r="E72" s="16">
        <v>0.25347000000000008</v>
      </c>
      <c r="F72" s="17">
        <v>0.28570999999999991</v>
      </c>
      <c r="G72" s="18">
        <v>520</v>
      </c>
      <c r="H72" s="18">
        <v>255</v>
      </c>
      <c r="I72" s="18">
        <v>520</v>
      </c>
      <c r="J72" s="53">
        <v>58.08</v>
      </c>
    </row>
    <row r="73" spans="1:10" ht="17.25" customHeight="1" x14ac:dyDescent="0.25">
      <c r="A73" s="4">
        <v>332</v>
      </c>
      <c r="B73" s="5" t="s">
        <v>216</v>
      </c>
      <c r="C73" s="5" t="s">
        <v>218</v>
      </c>
      <c r="D73" s="16">
        <v>0.31557999999999997</v>
      </c>
      <c r="E73" s="16">
        <v>0.25130999999999992</v>
      </c>
      <c r="F73" s="17">
        <v>0.28570000000000007</v>
      </c>
      <c r="G73" s="18">
        <v>667</v>
      </c>
      <c r="H73" s="18">
        <v>293.05</v>
      </c>
      <c r="I73" s="18">
        <v>667</v>
      </c>
      <c r="J73" s="53">
        <v>90.12</v>
      </c>
    </row>
    <row r="74" spans="1:10" ht="17.25" customHeight="1" x14ac:dyDescent="0.25">
      <c r="A74" s="4">
        <v>798</v>
      </c>
      <c r="B74" s="5" t="s">
        <v>2231</v>
      </c>
      <c r="C74" s="5" t="s">
        <v>611</v>
      </c>
      <c r="D74" s="16">
        <v>0.37054000000000009</v>
      </c>
      <c r="E74" s="16">
        <v>0.21500000000000008</v>
      </c>
      <c r="F74" s="17">
        <v>0.28570999999999991</v>
      </c>
      <c r="G74" s="18">
        <v>889</v>
      </c>
      <c r="H74" s="18">
        <v>585.65</v>
      </c>
      <c r="I74" s="18">
        <v>889</v>
      </c>
      <c r="J74" s="53">
        <v>172.18</v>
      </c>
    </row>
    <row r="75" spans="1:10" ht="17.25" customHeight="1" x14ac:dyDescent="0.25">
      <c r="A75" s="4">
        <v>292</v>
      </c>
      <c r="B75" s="5" t="s">
        <v>175</v>
      </c>
      <c r="C75" s="5" t="s">
        <v>176</v>
      </c>
      <c r="D75" s="16">
        <v>0.37030000000000007</v>
      </c>
      <c r="E75" s="16">
        <v>0.25940000000000007</v>
      </c>
      <c r="F75" s="17">
        <v>0.29729000000000005</v>
      </c>
      <c r="G75" s="18">
        <v>641</v>
      </c>
      <c r="H75" s="18">
        <v>235.85</v>
      </c>
      <c r="I75" s="18">
        <v>641</v>
      </c>
      <c r="J75" s="53">
        <v>127.01</v>
      </c>
    </row>
    <row r="76" spans="1:10" ht="17.25" customHeight="1" x14ac:dyDescent="0.25">
      <c r="A76" s="4">
        <v>260</v>
      </c>
      <c r="B76" s="5" t="s">
        <v>143</v>
      </c>
      <c r="C76" s="5" t="s">
        <v>2368</v>
      </c>
      <c r="D76" s="16">
        <v>0.36467999999999989</v>
      </c>
      <c r="E76" s="16">
        <v>0.24347999999999992</v>
      </c>
      <c r="F76" s="17">
        <v>0.28570999999999991</v>
      </c>
      <c r="G76" s="18">
        <v>640</v>
      </c>
      <c r="H76" s="18">
        <v>225.15</v>
      </c>
      <c r="I76" s="18">
        <v>640</v>
      </c>
      <c r="J76" s="53">
        <v>125</v>
      </c>
    </row>
    <row r="77" spans="1:10" ht="17.25" customHeight="1" x14ac:dyDescent="0.25">
      <c r="A77" s="4">
        <v>261</v>
      </c>
      <c r="B77" s="5" t="s">
        <v>143</v>
      </c>
      <c r="C77" s="5" t="s">
        <v>2369</v>
      </c>
      <c r="D77" s="16">
        <v>0.36248000000000014</v>
      </c>
      <c r="E77" s="16">
        <v>0.24269999999999992</v>
      </c>
      <c r="F77" s="17">
        <v>0.28570000000000007</v>
      </c>
      <c r="G77" s="18">
        <v>646</v>
      </c>
      <c r="H77" s="18">
        <v>274.14999999999998</v>
      </c>
      <c r="I77" s="18">
        <v>646</v>
      </c>
      <c r="J77" s="53">
        <v>125</v>
      </c>
    </row>
    <row r="78" spans="1:10" ht="17.25" customHeight="1" x14ac:dyDescent="0.25">
      <c r="A78" s="6">
        <v>499</v>
      </c>
      <c r="B78" s="5" t="s">
        <v>396</v>
      </c>
      <c r="C78" s="5" t="s">
        <v>397</v>
      </c>
      <c r="D78" s="16">
        <v>0.24885000000000002</v>
      </c>
      <c r="E78" s="16">
        <v>0.20039999999999991</v>
      </c>
      <c r="F78" s="17">
        <v>0.28570999999999991</v>
      </c>
      <c r="G78" s="18">
        <v>755</v>
      </c>
      <c r="H78" s="18">
        <v>349</v>
      </c>
      <c r="I78" s="18">
        <v>755</v>
      </c>
      <c r="J78" s="53">
        <v>106.13</v>
      </c>
    </row>
    <row r="79" spans="1:10" ht="17.25" customHeight="1" x14ac:dyDescent="0.25">
      <c r="A79" s="4">
        <v>1134</v>
      </c>
      <c r="B79" s="5" t="s">
        <v>859</v>
      </c>
      <c r="C79" s="5" t="s">
        <v>862</v>
      </c>
      <c r="D79" s="16">
        <v>0.29559999999999986</v>
      </c>
      <c r="E79" s="16">
        <v>0.24299999999999988</v>
      </c>
      <c r="F79" s="17">
        <v>0.28570999999999991</v>
      </c>
      <c r="G79" s="18">
        <v>776.78</v>
      </c>
      <c r="H79" s="18">
        <v>280.82</v>
      </c>
      <c r="I79" s="18">
        <v>776.78</v>
      </c>
      <c r="J79" s="53">
        <v>156.22</v>
      </c>
    </row>
    <row r="80" spans="1:10" ht="17.25" customHeight="1" x14ac:dyDescent="0.25">
      <c r="A80" s="4">
        <v>304</v>
      </c>
      <c r="B80" s="5" t="s">
        <v>185</v>
      </c>
      <c r="C80" s="5" t="s">
        <v>187</v>
      </c>
      <c r="D80" s="16">
        <v>0.37017999999999995</v>
      </c>
      <c r="E80" s="16">
        <v>0.28129999999999988</v>
      </c>
      <c r="F80" s="17">
        <v>0.30469999999999997</v>
      </c>
      <c r="G80" s="18">
        <v>587</v>
      </c>
      <c r="H80" s="18">
        <v>284.95</v>
      </c>
      <c r="I80" s="18">
        <v>587</v>
      </c>
      <c r="J80" s="53">
        <v>88.1</v>
      </c>
    </row>
    <row r="81" spans="1:10" ht="17.25" customHeight="1" x14ac:dyDescent="0.25">
      <c r="A81" s="4">
        <v>381</v>
      </c>
      <c r="B81" s="5" t="s">
        <v>272</v>
      </c>
      <c r="C81" s="5" t="s">
        <v>278</v>
      </c>
      <c r="D81" s="16">
        <v>0.22482000000000002</v>
      </c>
      <c r="E81" s="16">
        <v>0.22720999999999991</v>
      </c>
      <c r="F81" s="17">
        <v>0.33729999999999993</v>
      </c>
      <c r="G81" s="18">
        <v>479</v>
      </c>
      <c r="H81" s="18">
        <v>124.86</v>
      </c>
      <c r="I81" s="18">
        <v>479</v>
      </c>
      <c r="J81" s="53">
        <v>68.12</v>
      </c>
    </row>
    <row r="82" spans="1:10" ht="17.25" customHeight="1" x14ac:dyDescent="0.25">
      <c r="A82" s="4">
        <v>796</v>
      </c>
      <c r="B82" s="5" t="s">
        <v>608</v>
      </c>
      <c r="C82" s="5" t="s">
        <v>609</v>
      </c>
      <c r="D82" s="16">
        <v>0.29559000000000002</v>
      </c>
      <c r="E82" s="16">
        <v>0.25914999999999999</v>
      </c>
      <c r="F82" s="17">
        <v>0.34755000000000003</v>
      </c>
      <c r="G82" s="18">
        <v>645</v>
      </c>
      <c r="H82" s="18">
        <v>203.98</v>
      </c>
      <c r="I82" s="18">
        <v>645</v>
      </c>
      <c r="J82" s="53">
        <v>108.18</v>
      </c>
    </row>
    <row r="83" spans="1:10" ht="17.25" customHeight="1" x14ac:dyDescent="0.25">
      <c r="A83" s="4">
        <v>411</v>
      </c>
      <c r="B83" s="5" t="s">
        <v>313</v>
      </c>
      <c r="C83" s="5" t="s">
        <v>314</v>
      </c>
      <c r="D83" s="16">
        <v>0.33397999999999994</v>
      </c>
      <c r="E83" s="16">
        <v>0.24438000000000004</v>
      </c>
      <c r="F83" s="17">
        <v>0.28570999999999991</v>
      </c>
      <c r="G83" s="18">
        <v>663</v>
      </c>
      <c r="H83" s="18">
        <v>200.35</v>
      </c>
      <c r="I83" s="18">
        <v>663</v>
      </c>
      <c r="J83" s="53">
        <v>141.04</v>
      </c>
    </row>
    <row r="84" spans="1:10" ht="17.25" customHeight="1" x14ac:dyDescent="0.25">
      <c r="A84" s="4">
        <v>1135</v>
      </c>
      <c r="B84" s="5" t="s">
        <v>859</v>
      </c>
      <c r="C84" s="5" t="s">
        <v>863</v>
      </c>
      <c r="D84" s="16">
        <v>0.29959999999999987</v>
      </c>
      <c r="E84" s="16">
        <v>0.24399999999999999</v>
      </c>
      <c r="F84" s="17">
        <v>0.28570999999999991</v>
      </c>
      <c r="G84" s="18">
        <v>773.47</v>
      </c>
      <c r="H84" s="18">
        <v>355.16</v>
      </c>
      <c r="I84" s="18">
        <v>773.47</v>
      </c>
      <c r="J84" s="53">
        <v>156.22</v>
      </c>
    </row>
    <row r="85" spans="1:10" ht="17.25" customHeight="1" x14ac:dyDescent="0.25">
      <c r="A85" s="4">
        <v>530</v>
      </c>
      <c r="B85" s="5" t="s">
        <v>426</v>
      </c>
      <c r="C85" s="5" t="s">
        <v>432</v>
      </c>
      <c r="D85" s="16">
        <v>0.24231000000000003</v>
      </c>
      <c r="E85" s="16">
        <v>0.26618999999999993</v>
      </c>
      <c r="F85" s="17">
        <v>0.26770000000000005</v>
      </c>
      <c r="G85" s="18">
        <v>507</v>
      </c>
      <c r="H85" s="18">
        <v>132.47</v>
      </c>
      <c r="I85" s="18">
        <v>507</v>
      </c>
      <c r="J85" s="53">
        <v>82.14</v>
      </c>
    </row>
    <row r="86" spans="1:10" ht="17.25" customHeight="1" x14ac:dyDescent="0.25">
      <c r="A86" s="4">
        <v>456</v>
      </c>
      <c r="B86" s="5" t="s">
        <v>359</v>
      </c>
      <c r="C86" s="5" t="s">
        <v>362</v>
      </c>
      <c r="D86" s="16">
        <v>0.30820000000000003</v>
      </c>
      <c r="E86" s="16">
        <v>0.25063999999999997</v>
      </c>
      <c r="F86" s="17">
        <v>0.28570000000000007</v>
      </c>
      <c r="G86" s="18">
        <v>673</v>
      </c>
      <c r="H86" s="18">
        <v>257.14999999999998</v>
      </c>
      <c r="I86" s="18">
        <v>673</v>
      </c>
      <c r="J86" s="53">
        <v>104.15</v>
      </c>
    </row>
    <row r="87" spans="1:10" ht="17.25" customHeight="1" x14ac:dyDescent="0.25">
      <c r="A87" s="4">
        <v>1136</v>
      </c>
      <c r="B87" s="5" t="s">
        <v>859</v>
      </c>
      <c r="C87" s="5" t="s">
        <v>864</v>
      </c>
      <c r="D87" s="16">
        <v>0.29400000000000004</v>
      </c>
      <c r="E87" s="16">
        <v>0.24500000000000011</v>
      </c>
      <c r="F87" s="17">
        <v>0.28570999999999991</v>
      </c>
      <c r="G87" s="18">
        <v>770.6</v>
      </c>
      <c r="H87" s="18">
        <v>259.16000000000003</v>
      </c>
      <c r="I87" s="18">
        <v>770.6</v>
      </c>
      <c r="J87" s="53">
        <v>156.22</v>
      </c>
    </row>
    <row r="88" spans="1:10" ht="17.25" customHeight="1" x14ac:dyDescent="0.25">
      <c r="A88" s="4">
        <v>613</v>
      </c>
      <c r="B88" s="5" t="s">
        <v>502</v>
      </c>
      <c r="C88" s="5" t="s">
        <v>505</v>
      </c>
      <c r="D88" s="16">
        <v>0.30486999999999997</v>
      </c>
      <c r="E88" s="16">
        <v>0.25119999999999987</v>
      </c>
      <c r="F88" s="17">
        <v>0.28570000000000007</v>
      </c>
      <c r="G88" s="18">
        <v>670</v>
      </c>
      <c r="H88" s="18">
        <v>315.14999999999998</v>
      </c>
      <c r="I88" s="18">
        <v>670</v>
      </c>
      <c r="J88" s="53">
        <v>118.17</v>
      </c>
    </row>
    <row r="89" spans="1:10" ht="17.25" customHeight="1" x14ac:dyDescent="0.25">
      <c r="A89" s="4">
        <v>226</v>
      </c>
      <c r="B89" s="5" t="s">
        <v>96</v>
      </c>
      <c r="C89" s="5" t="s">
        <v>2236</v>
      </c>
      <c r="D89" s="16">
        <v>0.27017999999999986</v>
      </c>
      <c r="E89" s="16">
        <v>0.23106999999999989</v>
      </c>
      <c r="F89" s="17">
        <v>0.22134000000000009</v>
      </c>
      <c r="G89" s="18">
        <v>614</v>
      </c>
      <c r="H89" s="18">
        <v>274.89</v>
      </c>
      <c r="I89" s="18">
        <v>614</v>
      </c>
      <c r="J89" s="53">
        <v>75.11</v>
      </c>
    </row>
    <row r="90" spans="1:10" ht="17.25" customHeight="1" x14ac:dyDescent="0.25">
      <c r="A90" s="4">
        <v>759</v>
      </c>
      <c r="B90" s="5" t="s">
        <v>1742</v>
      </c>
      <c r="C90" s="5" t="s">
        <v>1743</v>
      </c>
      <c r="D90" s="16">
        <v>0.24462000000000006</v>
      </c>
      <c r="E90" s="16">
        <v>0.25289000000000006</v>
      </c>
      <c r="F90" s="17">
        <v>0.26588000000000012</v>
      </c>
      <c r="G90" s="18">
        <v>607</v>
      </c>
      <c r="H90" s="18">
        <v>254.15</v>
      </c>
      <c r="I90" s="18">
        <v>607</v>
      </c>
      <c r="J90" s="53">
        <v>115.22</v>
      </c>
    </row>
    <row r="91" spans="1:10" ht="17.25" customHeight="1" x14ac:dyDescent="0.25">
      <c r="A91" s="4">
        <v>310</v>
      </c>
      <c r="B91" s="5" t="s">
        <v>194</v>
      </c>
      <c r="C91" s="5" t="s">
        <v>195</v>
      </c>
      <c r="D91" s="16">
        <v>0.42952999999999997</v>
      </c>
      <c r="E91" s="16">
        <v>0.26278000000000001</v>
      </c>
      <c r="F91" s="17">
        <v>0.28909000000000007</v>
      </c>
      <c r="G91" s="18">
        <v>577</v>
      </c>
      <c r="H91" s="18">
        <v>160.75</v>
      </c>
      <c r="I91" s="18">
        <v>577</v>
      </c>
      <c r="J91" s="53">
        <v>137.02000000000001</v>
      </c>
    </row>
    <row r="92" spans="1:10" ht="17.25" customHeight="1" x14ac:dyDescent="0.25">
      <c r="A92" s="4">
        <v>740</v>
      </c>
      <c r="B92" s="5" t="s">
        <v>1720</v>
      </c>
      <c r="C92" s="5" t="s">
        <v>1721</v>
      </c>
      <c r="D92" s="16">
        <v>0.37782000000000004</v>
      </c>
      <c r="E92" s="16">
        <v>0.26974000000000009</v>
      </c>
      <c r="F92" s="17">
        <v>0.28570999999999991</v>
      </c>
      <c r="G92" s="18">
        <v>651</v>
      </c>
      <c r="H92" s="18">
        <v>217.05</v>
      </c>
      <c r="I92" s="18">
        <v>651</v>
      </c>
      <c r="J92" s="53">
        <v>179.1</v>
      </c>
    </row>
    <row r="93" spans="1:10" ht="17.25" customHeight="1" x14ac:dyDescent="0.25">
      <c r="A93" s="4">
        <v>960</v>
      </c>
      <c r="B93" s="5" t="s">
        <v>689</v>
      </c>
      <c r="C93" s="5" t="s">
        <v>690</v>
      </c>
      <c r="D93" s="16">
        <v>0.45710000000000006</v>
      </c>
      <c r="E93" s="16">
        <v>0.26056999999999997</v>
      </c>
      <c r="F93" s="17">
        <v>0.30298999999999987</v>
      </c>
      <c r="G93" s="18">
        <v>824</v>
      </c>
      <c r="H93" s="18">
        <v>279.35000000000002</v>
      </c>
      <c r="I93" s="18">
        <v>824</v>
      </c>
      <c r="J93" s="53">
        <v>207.07</v>
      </c>
    </row>
    <row r="94" spans="1:10" ht="17.25" customHeight="1" x14ac:dyDescent="0.25">
      <c r="A94" s="4">
        <v>431</v>
      </c>
      <c r="B94" s="5" t="s">
        <v>336</v>
      </c>
      <c r="C94" s="5" t="s">
        <v>337</v>
      </c>
      <c r="D94" s="16">
        <v>0.46229999999999993</v>
      </c>
      <c r="E94" s="16">
        <v>0.30299999999999994</v>
      </c>
      <c r="F94" s="17">
        <v>0.28570999999999991</v>
      </c>
      <c r="G94" s="18">
        <v>564.76</v>
      </c>
      <c r="H94" s="18">
        <v>185.26</v>
      </c>
      <c r="I94" s="18">
        <v>564.76</v>
      </c>
      <c r="J94" s="53">
        <v>151.04</v>
      </c>
    </row>
    <row r="95" spans="1:10" ht="17.25" customHeight="1" x14ac:dyDescent="0.25">
      <c r="A95" s="4">
        <v>195</v>
      </c>
      <c r="B95" s="5" t="s">
        <v>61</v>
      </c>
      <c r="C95" s="5" t="s">
        <v>62</v>
      </c>
      <c r="D95" s="16">
        <v>0.46239000000000008</v>
      </c>
      <c r="E95" s="16">
        <v>0.26021000000000005</v>
      </c>
      <c r="F95" s="17">
        <v>0.29164999999999996</v>
      </c>
      <c r="G95" s="18">
        <v>544</v>
      </c>
      <c r="H95" s="18">
        <v>163.15</v>
      </c>
      <c r="I95" s="18">
        <v>544</v>
      </c>
      <c r="J95" s="53">
        <v>122.99</v>
      </c>
    </row>
    <row r="96" spans="1:10" ht="17.25" customHeight="1" x14ac:dyDescent="0.25">
      <c r="A96" s="4">
        <v>285</v>
      </c>
      <c r="B96" s="5" t="s">
        <v>168</v>
      </c>
      <c r="C96" s="5" t="s">
        <v>169</v>
      </c>
      <c r="D96" s="16">
        <v>0.23224</v>
      </c>
      <c r="E96" s="16">
        <v>0.26629999999999998</v>
      </c>
      <c r="F96" s="17">
        <v>0.28529999999999989</v>
      </c>
      <c r="G96" s="18">
        <v>419.59</v>
      </c>
      <c r="H96" s="18">
        <v>87.8</v>
      </c>
      <c r="I96" s="18">
        <v>419.59</v>
      </c>
      <c r="J96" s="53">
        <v>56.11</v>
      </c>
    </row>
    <row r="97" spans="1:10" ht="17.25" customHeight="1" x14ac:dyDescent="0.25">
      <c r="A97" s="4">
        <v>467</v>
      </c>
      <c r="B97" s="5" t="s">
        <v>2233</v>
      </c>
      <c r="C97" s="5" t="s">
        <v>2234</v>
      </c>
      <c r="D97" s="16">
        <v>0.42376999999999998</v>
      </c>
      <c r="E97" s="16">
        <v>0.23584000000000005</v>
      </c>
      <c r="F97" s="17">
        <v>0.24219999999999997</v>
      </c>
      <c r="G97" s="18">
        <v>813.77</v>
      </c>
      <c r="H97" s="18">
        <v>326.55</v>
      </c>
      <c r="I97" s="18">
        <v>813.77</v>
      </c>
      <c r="J97" s="53">
        <v>306.01</v>
      </c>
    </row>
    <row r="98" spans="1:10" s="2" customFormat="1" ht="17.25" customHeight="1" x14ac:dyDescent="0.25">
      <c r="A98" s="4">
        <v>433</v>
      </c>
      <c r="B98" s="5" t="s">
        <v>338</v>
      </c>
      <c r="C98" s="5" t="s">
        <v>2235</v>
      </c>
      <c r="D98" s="16">
        <v>0.29190000000000005</v>
      </c>
      <c r="E98" s="16">
        <v>0.2589999999999999</v>
      </c>
      <c r="F98" s="17">
        <v>0.28570999999999991</v>
      </c>
      <c r="G98" s="18">
        <v>558.87</v>
      </c>
      <c r="H98" s="18">
        <v>168.76</v>
      </c>
      <c r="I98" s="18">
        <v>558.87</v>
      </c>
      <c r="J98" s="53">
        <v>210.06</v>
      </c>
    </row>
    <row r="99" spans="1:10" ht="17.25" customHeight="1" x14ac:dyDescent="0.25">
      <c r="A99" s="4">
        <v>91</v>
      </c>
      <c r="B99" s="5" t="s">
        <v>1595</v>
      </c>
      <c r="C99" s="5" t="s">
        <v>1596</v>
      </c>
      <c r="D99" s="16">
        <v>0.42636000000000007</v>
      </c>
      <c r="E99" s="16">
        <v>0.24537000000000009</v>
      </c>
      <c r="F99" s="17">
        <v>0.29800000000000004</v>
      </c>
      <c r="G99" s="18">
        <v>410.2</v>
      </c>
      <c r="H99" s="18">
        <v>142.35</v>
      </c>
      <c r="I99" s="18">
        <v>410.2</v>
      </c>
      <c r="J99" s="53">
        <v>100.49</v>
      </c>
    </row>
    <row r="100" spans="1:10" ht="17.25" customHeight="1" x14ac:dyDescent="0.25">
      <c r="A100" s="4">
        <v>961</v>
      </c>
      <c r="B100" s="5" t="s">
        <v>691</v>
      </c>
      <c r="C100" s="5" t="s">
        <v>692</v>
      </c>
      <c r="D100" s="16">
        <v>0.37470000000000003</v>
      </c>
      <c r="E100" s="16">
        <v>0.26597000000000004</v>
      </c>
      <c r="F100" s="17">
        <v>0.31458999999999993</v>
      </c>
      <c r="G100" s="18">
        <v>785</v>
      </c>
      <c r="H100" s="18">
        <v>269.14999999999998</v>
      </c>
      <c r="I100" s="18">
        <v>785</v>
      </c>
      <c r="J100" s="53">
        <v>162.62</v>
      </c>
    </row>
    <row r="101" spans="1:10" ht="17.25" customHeight="1" x14ac:dyDescent="0.25">
      <c r="A101" s="4">
        <v>432</v>
      </c>
      <c r="B101" s="5" t="s">
        <v>338</v>
      </c>
      <c r="C101" s="5" t="s">
        <v>339</v>
      </c>
      <c r="D101" s="16">
        <v>0.30284</v>
      </c>
      <c r="E101" s="16">
        <v>0.26950000000000007</v>
      </c>
      <c r="F101" s="17">
        <v>0.28039999999999998</v>
      </c>
      <c r="G101" s="18">
        <v>568</v>
      </c>
      <c r="H101" s="18">
        <v>174.15</v>
      </c>
      <c r="I101" s="18">
        <v>568</v>
      </c>
      <c r="J101" s="53">
        <v>106.59</v>
      </c>
    </row>
    <row r="102" spans="1:10" ht="17.25" customHeight="1" x14ac:dyDescent="0.25">
      <c r="A102" s="4">
        <v>1303</v>
      </c>
      <c r="B102" s="5" t="s">
        <v>1060</v>
      </c>
      <c r="C102" s="5" t="s">
        <v>1062</v>
      </c>
      <c r="D102" s="16">
        <v>0.20369999999999999</v>
      </c>
      <c r="E102" s="16">
        <v>0.20199999999999996</v>
      </c>
      <c r="F102" s="17">
        <v>0.28570999999999991</v>
      </c>
      <c r="G102" s="18">
        <v>772.83</v>
      </c>
      <c r="H102" s="18">
        <v>285.66000000000003</v>
      </c>
      <c r="I102" s="18">
        <v>772.83</v>
      </c>
      <c r="J102" s="53">
        <v>252.48</v>
      </c>
    </row>
    <row r="103" spans="1:10" ht="17.25" customHeight="1" x14ac:dyDescent="0.25">
      <c r="A103" s="4">
        <v>1190</v>
      </c>
      <c r="B103" s="5" t="s">
        <v>922</v>
      </c>
      <c r="C103" s="5" t="s">
        <v>925</v>
      </c>
      <c r="D103" s="16">
        <v>0.23049999999999993</v>
      </c>
      <c r="E103" s="16">
        <v>0.23100000000000009</v>
      </c>
      <c r="F103" s="17">
        <v>0.28570999999999991</v>
      </c>
      <c r="G103" s="18">
        <v>708.63</v>
      </c>
      <c r="H103" s="18">
        <v>242.66</v>
      </c>
      <c r="I103" s="18">
        <v>708.63</v>
      </c>
      <c r="J103" s="53">
        <v>182.34</v>
      </c>
    </row>
    <row r="104" spans="1:10" ht="17.25" customHeight="1" x14ac:dyDescent="0.25">
      <c r="A104" s="4">
        <v>1354</v>
      </c>
      <c r="B104" s="21" t="s">
        <v>1958</v>
      </c>
      <c r="C104" s="21" t="s">
        <v>1851</v>
      </c>
      <c r="D104" s="16">
        <v>0.25709999999999988</v>
      </c>
      <c r="E104" s="16">
        <v>0.18199999999999994</v>
      </c>
      <c r="F104" s="17">
        <v>0.28570999999999991</v>
      </c>
      <c r="G104" s="18">
        <v>813.42</v>
      </c>
      <c r="H104" s="18">
        <v>306.76</v>
      </c>
      <c r="I104" s="18">
        <v>813.42</v>
      </c>
      <c r="J104" s="53">
        <v>308.58</v>
      </c>
    </row>
    <row r="105" spans="1:10" ht="17.25" customHeight="1" x14ac:dyDescent="0.25">
      <c r="A105" s="4">
        <v>1161</v>
      </c>
      <c r="B105" s="5" t="s">
        <v>888</v>
      </c>
      <c r="C105" s="5" t="s">
        <v>891</v>
      </c>
      <c r="D105" s="16">
        <v>0.26279999999999992</v>
      </c>
      <c r="E105" s="16">
        <v>0.23799999999999999</v>
      </c>
      <c r="F105" s="17">
        <v>0.28570999999999991</v>
      </c>
      <c r="G105" s="18">
        <v>691.81</v>
      </c>
      <c r="H105" s="18">
        <v>263.60000000000002</v>
      </c>
      <c r="I105" s="18">
        <v>691.81</v>
      </c>
      <c r="J105" s="53">
        <v>168.32</v>
      </c>
    </row>
    <row r="106" spans="1:10" ht="17.25" customHeight="1" x14ac:dyDescent="0.25">
      <c r="A106" s="4">
        <v>1243</v>
      </c>
      <c r="B106" s="5" t="s">
        <v>989</v>
      </c>
      <c r="C106" s="5" t="s">
        <v>992</v>
      </c>
      <c r="D106" s="16">
        <v>0.21930000000000005</v>
      </c>
      <c r="E106" s="16">
        <v>0.21900000000000008</v>
      </c>
      <c r="F106" s="17">
        <v>0.28570999999999991</v>
      </c>
      <c r="G106" s="18">
        <v>737.79</v>
      </c>
      <c r="H106" s="18">
        <v>262.95999999999998</v>
      </c>
      <c r="I106" s="18">
        <v>737.79</v>
      </c>
      <c r="J106" s="53">
        <v>210.4</v>
      </c>
    </row>
    <row r="107" spans="1:10" ht="17.25" customHeight="1" x14ac:dyDescent="0.25">
      <c r="A107" s="4">
        <v>1220</v>
      </c>
      <c r="B107" s="5" t="s">
        <v>959</v>
      </c>
      <c r="C107" s="5" t="s">
        <v>962</v>
      </c>
      <c r="D107" s="16">
        <v>0.22489999999999988</v>
      </c>
      <c r="E107" s="16">
        <v>0.22500000000000009</v>
      </c>
      <c r="F107" s="17">
        <v>0.28570999999999991</v>
      </c>
      <c r="G107" s="18">
        <v>723.61</v>
      </c>
      <c r="H107" s="18">
        <v>253.46</v>
      </c>
      <c r="I107" s="18">
        <v>723.61</v>
      </c>
      <c r="J107" s="53">
        <v>196.37</v>
      </c>
    </row>
    <row r="108" spans="1:10" ht="17.25" customHeight="1" x14ac:dyDescent="0.25">
      <c r="A108" s="4">
        <v>1352</v>
      </c>
      <c r="B108" s="22" t="s">
        <v>1104</v>
      </c>
      <c r="C108" s="21" t="s">
        <v>1106</v>
      </c>
      <c r="D108" s="16">
        <v>0.25740000000000007</v>
      </c>
      <c r="E108" s="16">
        <v>0.18700000000000006</v>
      </c>
      <c r="F108" s="17">
        <v>0.28570999999999991</v>
      </c>
      <c r="G108" s="18">
        <v>803.46</v>
      </c>
      <c r="H108" s="18">
        <v>302.16000000000003</v>
      </c>
      <c r="I108" s="18">
        <v>803.46</v>
      </c>
      <c r="J108" s="53">
        <v>294.56</v>
      </c>
    </row>
    <row r="109" spans="1:10" ht="17.25" customHeight="1" x14ac:dyDescent="0.25">
      <c r="A109" s="4">
        <v>1338</v>
      </c>
      <c r="B109" s="21" t="s">
        <v>2237</v>
      </c>
      <c r="C109" s="22" t="s">
        <v>2219</v>
      </c>
      <c r="D109" s="23">
        <v>0.19429999999999992</v>
      </c>
      <c r="E109" s="23">
        <v>0.19199999999999995</v>
      </c>
      <c r="F109" s="24">
        <v>0.28570999999999991</v>
      </c>
      <c r="G109" s="25">
        <v>792.82</v>
      </c>
      <c r="H109" s="25">
        <v>297.16000000000003</v>
      </c>
      <c r="I109" s="18">
        <v>792.82</v>
      </c>
      <c r="J109" s="53">
        <v>280.52999999999997</v>
      </c>
    </row>
    <row r="110" spans="1:10" ht="17.25" customHeight="1" x14ac:dyDescent="0.25">
      <c r="A110" s="4">
        <v>1321</v>
      </c>
      <c r="B110" s="5" t="s">
        <v>1083</v>
      </c>
      <c r="C110" s="5" t="s">
        <v>1085</v>
      </c>
      <c r="D110" s="16">
        <v>0.19900000000000007</v>
      </c>
      <c r="E110" s="16">
        <v>0.19700000000000006</v>
      </c>
      <c r="F110" s="17">
        <v>0.28570999999999991</v>
      </c>
      <c r="G110" s="18">
        <v>783.38</v>
      </c>
      <c r="H110" s="18">
        <v>291.66000000000003</v>
      </c>
      <c r="I110" s="18">
        <v>783.38</v>
      </c>
      <c r="J110" s="53">
        <v>266.5</v>
      </c>
    </row>
    <row r="111" spans="1:10" ht="17.25" customHeight="1" x14ac:dyDescent="0.25">
      <c r="A111" s="4">
        <v>1277</v>
      </c>
      <c r="B111" s="5" t="s">
        <v>1028</v>
      </c>
      <c r="C111" s="5" t="s">
        <v>1030</v>
      </c>
      <c r="D111" s="16">
        <v>0.20920000000000005</v>
      </c>
      <c r="E111" s="16">
        <v>0.20799999999999996</v>
      </c>
      <c r="F111" s="17">
        <v>0.28570999999999991</v>
      </c>
      <c r="G111" s="18">
        <v>761.74</v>
      </c>
      <c r="H111" s="18">
        <v>278.95999999999998</v>
      </c>
      <c r="I111" s="18">
        <v>761.74</v>
      </c>
      <c r="J111" s="53">
        <v>238.45</v>
      </c>
    </row>
    <row r="112" spans="1:10" ht="17.25" customHeight="1" x14ac:dyDescent="0.25">
      <c r="A112" s="4">
        <v>1320</v>
      </c>
      <c r="B112" s="5" t="s">
        <v>1083</v>
      </c>
      <c r="C112" s="5" t="s">
        <v>1084</v>
      </c>
      <c r="D112" s="16">
        <v>0.20219999999999994</v>
      </c>
      <c r="E112" s="16">
        <v>0.20100000000000007</v>
      </c>
      <c r="F112" s="17">
        <v>0.28570999999999991</v>
      </c>
      <c r="G112" s="18">
        <v>772</v>
      </c>
      <c r="H112" s="18">
        <v>282</v>
      </c>
      <c r="I112" s="18">
        <v>772</v>
      </c>
      <c r="J112" s="53">
        <v>266.5</v>
      </c>
    </row>
    <row r="113" spans="1:10" ht="17.25" customHeight="1" x14ac:dyDescent="0.25">
      <c r="A113" s="4">
        <v>1242</v>
      </c>
      <c r="B113" s="5" t="s">
        <v>989</v>
      </c>
      <c r="C113" s="5" t="s">
        <v>991</v>
      </c>
      <c r="D113" s="16">
        <v>0.21839999999999993</v>
      </c>
      <c r="E113" s="16">
        <v>0.21900000000000008</v>
      </c>
      <c r="F113" s="17">
        <v>0.28570999999999991</v>
      </c>
      <c r="G113" s="18">
        <v>730.64</v>
      </c>
      <c r="H113" s="18">
        <v>251.03</v>
      </c>
      <c r="I113" s="18">
        <v>730.64</v>
      </c>
      <c r="J113" s="53">
        <v>210.4</v>
      </c>
    </row>
    <row r="114" spans="1:10" ht="17.25" customHeight="1" x14ac:dyDescent="0.25">
      <c r="A114" s="4">
        <v>1276</v>
      </c>
      <c r="B114" s="5" t="s">
        <v>1028</v>
      </c>
      <c r="C114" s="5" t="s">
        <v>1029</v>
      </c>
      <c r="D114" s="16">
        <v>0.20750000000000002</v>
      </c>
      <c r="E114" s="16">
        <v>0.20700000000000007</v>
      </c>
      <c r="F114" s="17">
        <v>0.28570999999999991</v>
      </c>
      <c r="G114" s="18">
        <v>755.17</v>
      </c>
      <c r="H114" s="18">
        <v>268.16000000000003</v>
      </c>
      <c r="I114" s="18">
        <v>755.17</v>
      </c>
      <c r="J114" s="53">
        <v>238.45</v>
      </c>
    </row>
    <row r="115" spans="1:10" ht="17.25" customHeight="1" x14ac:dyDescent="0.25">
      <c r="A115" s="4">
        <v>1160</v>
      </c>
      <c r="B115" s="5" t="s">
        <v>888</v>
      </c>
      <c r="C115" s="5" t="s">
        <v>890</v>
      </c>
      <c r="D115" s="16">
        <v>0.2379</v>
      </c>
      <c r="E115" s="16">
        <v>0.2370000000000001</v>
      </c>
      <c r="F115" s="17">
        <v>0.28570999999999991</v>
      </c>
      <c r="G115" s="18">
        <v>679</v>
      </c>
      <c r="H115" s="18">
        <v>220</v>
      </c>
      <c r="I115" s="18">
        <v>679</v>
      </c>
      <c r="J115" s="53">
        <v>168.32</v>
      </c>
    </row>
    <row r="116" spans="1:10" ht="17.25" customHeight="1" x14ac:dyDescent="0.25">
      <c r="A116" s="4">
        <v>1351</v>
      </c>
      <c r="B116" s="22" t="s">
        <v>1104</v>
      </c>
      <c r="C116" s="22" t="s">
        <v>1105</v>
      </c>
      <c r="D116" s="16">
        <v>0.18809999999999993</v>
      </c>
      <c r="E116" s="16">
        <v>0.18599999999999994</v>
      </c>
      <c r="F116" s="17">
        <v>0.28570999999999991</v>
      </c>
      <c r="G116" s="18">
        <v>797.25</v>
      </c>
      <c r="H116" s="18">
        <v>294.31599999999997</v>
      </c>
      <c r="I116" s="18">
        <v>797.25</v>
      </c>
      <c r="J116" s="53">
        <v>294.56</v>
      </c>
    </row>
    <row r="117" spans="1:10" ht="17.25" customHeight="1" x14ac:dyDescent="0.25">
      <c r="A117" s="4">
        <v>1113</v>
      </c>
      <c r="B117" s="5" t="s">
        <v>831</v>
      </c>
      <c r="C117" s="5" t="s">
        <v>833</v>
      </c>
      <c r="D117" s="16">
        <v>0.24</v>
      </c>
      <c r="E117" s="16">
        <v>0.24299999999999988</v>
      </c>
      <c r="F117" s="17">
        <v>0.28570999999999991</v>
      </c>
      <c r="G117" s="18">
        <v>667.67</v>
      </c>
      <c r="H117" s="18">
        <v>200.16</v>
      </c>
      <c r="I117" s="18">
        <v>667.67</v>
      </c>
      <c r="J117" s="53">
        <v>154.29</v>
      </c>
    </row>
    <row r="118" spans="1:10" ht="17.25" customHeight="1" x14ac:dyDescent="0.25">
      <c r="A118" s="4">
        <v>1219</v>
      </c>
      <c r="B118" s="5" t="s">
        <v>959</v>
      </c>
      <c r="C118" s="5" t="s">
        <v>961</v>
      </c>
      <c r="D118" s="16">
        <v>0.2238</v>
      </c>
      <c r="E118" s="16">
        <v>0.22500000000000009</v>
      </c>
      <c r="F118" s="17">
        <v>0.28570999999999991</v>
      </c>
      <c r="G118" s="18">
        <v>716.95</v>
      </c>
      <c r="H118" s="18">
        <v>244.16</v>
      </c>
      <c r="I118" s="18">
        <v>716.95</v>
      </c>
      <c r="J118" s="53">
        <v>196.37</v>
      </c>
    </row>
    <row r="119" spans="1:10" ht="17.25" customHeight="1" x14ac:dyDescent="0.25">
      <c r="A119" s="4">
        <v>1189</v>
      </c>
      <c r="B119" s="5" t="s">
        <v>922</v>
      </c>
      <c r="C119" s="5" t="s">
        <v>924</v>
      </c>
      <c r="D119" s="16">
        <v>0.22920000000000007</v>
      </c>
      <c r="E119" s="16">
        <v>0.23100000000000009</v>
      </c>
      <c r="F119" s="17">
        <v>0.28570999999999991</v>
      </c>
      <c r="G119" s="18">
        <v>702.06</v>
      </c>
      <c r="H119" s="18">
        <v>229.16</v>
      </c>
      <c r="I119" s="18">
        <v>702.06</v>
      </c>
      <c r="J119" s="53">
        <v>182.34</v>
      </c>
    </row>
    <row r="120" spans="1:10" ht="17.25" customHeight="1" x14ac:dyDescent="0.25">
      <c r="A120" s="4">
        <v>1337</v>
      </c>
      <c r="B120" s="21" t="s">
        <v>1953</v>
      </c>
      <c r="C120" s="22" t="s">
        <v>1098</v>
      </c>
      <c r="D120" s="23">
        <v>0.19320000000000004</v>
      </c>
      <c r="E120" s="23">
        <v>0.19100000000000006</v>
      </c>
      <c r="F120" s="24">
        <v>0.28570999999999991</v>
      </c>
      <c r="G120" s="25">
        <v>780</v>
      </c>
      <c r="H120" s="25">
        <v>290</v>
      </c>
      <c r="I120" s="18">
        <v>780</v>
      </c>
      <c r="J120" s="53">
        <v>280.52999999999997</v>
      </c>
    </row>
    <row r="121" spans="1:10" ht="17.25" customHeight="1" x14ac:dyDescent="0.25">
      <c r="A121" s="4">
        <v>1012</v>
      </c>
      <c r="B121" s="5" t="s">
        <v>724</v>
      </c>
      <c r="C121" s="5" t="s">
        <v>725</v>
      </c>
      <c r="D121" s="16">
        <v>0.24629999999999996</v>
      </c>
      <c r="E121" s="16">
        <v>0.25</v>
      </c>
      <c r="F121" s="17">
        <v>0.28570999999999991</v>
      </c>
      <c r="G121" s="18">
        <v>647.49</v>
      </c>
      <c r="H121" s="18">
        <v>190.16</v>
      </c>
      <c r="I121" s="18">
        <v>647.49</v>
      </c>
      <c r="J121" s="53">
        <v>140.26</v>
      </c>
    </row>
    <row r="122" spans="1:10" ht="17.25" customHeight="1" x14ac:dyDescent="0.25">
      <c r="A122" s="4">
        <v>1261</v>
      </c>
      <c r="B122" s="5" t="s">
        <v>1014</v>
      </c>
      <c r="C122" s="5" t="s">
        <v>1015</v>
      </c>
      <c r="D122" s="26">
        <v>0.21300000000000008</v>
      </c>
      <c r="E122" s="16">
        <v>0.21300000000000008</v>
      </c>
      <c r="F122" s="17">
        <v>0.28570999999999991</v>
      </c>
      <c r="G122" s="18">
        <v>743.3</v>
      </c>
      <c r="H122" s="18">
        <v>263.16000000000003</v>
      </c>
      <c r="I122" s="18">
        <v>743.3</v>
      </c>
      <c r="J122" s="53">
        <v>224.42</v>
      </c>
    </row>
    <row r="123" spans="1:10" ht="17.25" customHeight="1" x14ac:dyDescent="0.25">
      <c r="A123" s="4">
        <v>1302</v>
      </c>
      <c r="B123" s="5" t="s">
        <v>1060</v>
      </c>
      <c r="C123" s="5" t="s">
        <v>1061</v>
      </c>
      <c r="D123" s="16">
        <v>0.20290000000000008</v>
      </c>
      <c r="E123" s="16">
        <v>0.20199999999999996</v>
      </c>
      <c r="F123" s="17">
        <v>0.28570999999999991</v>
      </c>
      <c r="G123" s="18">
        <v>766.47</v>
      </c>
      <c r="H123" s="18">
        <v>278.16000000000003</v>
      </c>
      <c r="I123" s="18">
        <v>766.47</v>
      </c>
      <c r="J123" s="53">
        <v>252.48</v>
      </c>
    </row>
    <row r="124" spans="1:10" ht="17.25" customHeight="1" x14ac:dyDescent="0.25">
      <c r="A124" s="4">
        <v>1014</v>
      </c>
      <c r="B124" s="5" t="s">
        <v>727</v>
      </c>
      <c r="C124" s="5" t="s">
        <v>728</v>
      </c>
      <c r="D124" s="16">
        <v>0.26943000000000006</v>
      </c>
      <c r="E124" s="16">
        <v>0.26956000000000002</v>
      </c>
      <c r="F124" s="17">
        <v>0.26839999999999997</v>
      </c>
      <c r="G124" s="18">
        <v>657</v>
      </c>
      <c r="H124" s="18">
        <v>267.14999999999998</v>
      </c>
      <c r="I124" s="18">
        <v>657</v>
      </c>
      <c r="J124" s="53">
        <v>156.26</v>
      </c>
    </row>
    <row r="125" spans="1:10" ht="17.25" customHeight="1" x14ac:dyDescent="0.25">
      <c r="A125" s="4">
        <v>1093</v>
      </c>
      <c r="B125" s="5" t="s">
        <v>807</v>
      </c>
      <c r="C125" s="5" t="s">
        <v>808</v>
      </c>
      <c r="D125" s="16">
        <v>0.26415999999999995</v>
      </c>
      <c r="E125" s="16">
        <v>0.26113000000000008</v>
      </c>
      <c r="F125" s="17">
        <v>0.29039999999999999</v>
      </c>
      <c r="G125" s="18">
        <v>690</v>
      </c>
      <c r="H125" s="18">
        <v>280.05</v>
      </c>
      <c r="I125" s="18">
        <v>690</v>
      </c>
      <c r="J125" s="53">
        <v>158.28</v>
      </c>
    </row>
    <row r="126" spans="1:10" ht="17.25" customHeight="1" x14ac:dyDescent="0.25">
      <c r="A126" s="4">
        <v>1013</v>
      </c>
      <c r="B126" s="5" t="s">
        <v>724</v>
      </c>
      <c r="C126" s="5" t="s">
        <v>726</v>
      </c>
      <c r="D126" s="16">
        <v>0.23981000000000008</v>
      </c>
      <c r="E126" s="16">
        <v>0.25775999999999999</v>
      </c>
      <c r="F126" s="17">
        <v>0.28561999999999999</v>
      </c>
      <c r="G126" s="18">
        <v>617.04999999999995</v>
      </c>
      <c r="H126" s="18">
        <v>206.89</v>
      </c>
      <c r="I126" s="18">
        <v>617.04999999999995</v>
      </c>
      <c r="J126" s="53">
        <v>140.26</v>
      </c>
    </row>
    <row r="127" spans="1:10" ht="17.25" customHeight="1" x14ac:dyDescent="0.25">
      <c r="A127" s="4">
        <v>1007</v>
      </c>
      <c r="B127" s="5" t="s">
        <v>721</v>
      </c>
      <c r="C127" s="5" t="s">
        <v>722</v>
      </c>
      <c r="D127" s="16">
        <v>0.24540000000000006</v>
      </c>
      <c r="E127" s="16">
        <v>0.25700000000000012</v>
      </c>
      <c r="F127" s="17">
        <v>0.28570999999999991</v>
      </c>
      <c r="G127" s="18">
        <v>632.49</v>
      </c>
      <c r="H127" s="18">
        <v>229.16</v>
      </c>
      <c r="I127" s="18">
        <v>632.49</v>
      </c>
      <c r="J127" s="53">
        <v>138.25</v>
      </c>
    </row>
    <row r="128" spans="1:10" ht="17.25" customHeight="1" x14ac:dyDescent="0.25">
      <c r="A128" s="4">
        <v>1166</v>
      </c>
      <c r="B128" s="5" t="s">
        <v>894</v>
      </c>
      <c r="C128" s="5" t="s">
        <v>895</v>
      </c>
      <c r="D128" s="16">
        <v>0.26716000000000006</v>
      </c>
      <c r="E128" s="16">
        <v>0.26218000000000008</v>
      </c>
      <c r="F128" s="17">
        <v>0.31099999999999994</v>
      </c>
      <c r="G128" s="18">
        <v>721</v>
      </c>
      <c r="H128" s="18">
        <v>296.95</v>
      </c>
      <c r="I128" s="18">
        <v>721</v>
      </c>
      <c r="J128" s="53">
        <v>186.33</v>
      </c>
    </row>
    <row r="129" spans="1:10" ht="17.25" customHeight="1" x14ac:dyDescent="0.25">
      <c r="A129" s="4">
        <v>1159</v>
      </c>
      <c r="B129" s="5" t="s">
        <v>888</v>
      </c>
      <c r="C129" s="5" t="s">
        <v>889</v>
      </c>
      <c r="D129" s="16">
        <v>0.24046999999999996</v>
      </c>
      <c r="E129" s="16">
        <v>0.25418000000000007</v>
      </c>
      <c r="F129" s="17">
        <v>0.29661999999999988</v>
      </c>
      <c r="G129" s="18">
        <v>657</v>
      </c>
      <c r="H129" s="18">
        <v>237.93</v>
      </c>
      <c r="I129" s="18">
        <v>657</v>
      </c>
      <c r="J129" s="53">
        <v>168.32</v>
      </c>
    </row>
    <row r="130" spans="1:10" ht="17.25" customHeight="1" x14ac:dyDescent="0.25">
      <c r="A130" s="4">
        <v>1157</v>
      </c>
      <c r="B130" s="5" t="s">
        <v>883</v>
      </c>
      <c r="C130" s="5" t="s">
        <v>885</v>
      </c>
      <c r="D130" s="16">
        <v>0.23540000000000005</v>
      </c>
      <c r="E130" s="16">
        <v>0.24399999999999999</v>
      </c>
      <c r="F130" s="17">
        <v>0.28570999999999991</v>
      </c>
      <c r="G130" s="18">
        <v>668.16</v>
      </c>
      <c r="H130" s="18">
        <v>254.16</v>
      </c>
      <c r="I130" s="18">
        <v>668.16</v>
      </c>
      <c r="J130" s="53">
        <v>166.3</v>
      </c>
    </row>
    <row r="131" spans="1:10" ht="17.25" customHeight="1" x14ac:dyDescent="0.25">
      <c r="A131" s="4">
        <v>1341</v>
      </c>
      <c r="B131" s="22" t="s">
        <v>1095</v>
      </c>
      <c r="C131" s="22" t="s">
        <v>1099</v>
      </c>
      <c r="D131" s="23">
        <v>0.26656999999999997</v>
      </c>
      <c r="E131" s="23">
        <v>0.26872000000000007</v>
      </c>
      <c r="F131" s="24">
        <v>0.28869999999999996</v>
      </c>
      <c r="G131" s="25">
        <v>792</v>
      </c>
      <c r="H131" s="25">
        <v>338.55</v>
      </c>
      <c r="I131" s="18">
        <v>792</v>
      </c>
      <c r="J131" s="53">
        <v>298.55</v>
      </c>
    </row>
    <row r="132" spans="1:10" ht="17.25" customHeight="1" x14ac:dyDescent="0.25">
      <c r="A132" s="4">
        <v>1339</v>
      </c>
      <c r="B132" s="21" t="s">
        <v>1953</v>
      </c>
      <c r="C132" s="21" t="s">
        <v>1845</v>
      </c>
      <c r="D132" s="23">
        <v>0.24184000000000005</v>
      </c>
      <c r="E132" s="23">
        <v>0.24744999999999995</v>
      </c>
      <c r="F132" s="24">
        <v>0.33590999999999993</v>
      </c>
      <c r="G132" s="25">
        <v>771</v>
      </c>
      <c r="H132" s="25">
        <v>301.76</v>
      </c>
      <c r="I132" s="18">
        <v>771</v>
      </c>
      <c r="J132" s="53">
        <v>280.52999999999997</v>
      </c>
    </row>
    <row r="133" spans="1:10" ht="17.25" customHeight="1" x14ac:dyDescent="0.25">
      <c r="A133" s="4">
        <v>1336</v>
      </c>
      <c r="B133" s="21" t="s">
        <v>1952</v>
      </c>
      <c r="C133" s="22" t="s">
        <v>1097</v>
      </c>
      <c r="D133" s="23">
        <v>0.24920000000000009</v>
      </c>
      <c r="E133" s="23">
        <v>0.19500000000000006</v>
      </c>
      <c r="F133" s="24">
        <v>0.28570999999999991</v>
      </c>
      <c r="G133" s="25">
        <v>769.79</v>
      </c>
      <c r="H133" s="25">
        <v>309.16000000000003</v>
      </c>
      <c r="I133" s="18">
        <v>769.79</v>
      </c>
      <c r="J133" s="53">
        <v>278.51</v>
      </c>
    </row>
    <row r="134" spans="1:10" ht="17.25" customHeight="1" x14ac:dyDescent="0.25">
      <c r="A134" s="4">
        <v>1347</v>
      </c>
      <c r="B134" s="21" t="s">
        <v>1100</v>
      </c>
      <c r="C134" s="21" t="s">
        <v>1848</v>
      </c>
      <c r="D134" s="16">
        <v>0.2601</v>
      </c>
      <c r="E134" s="16">
        <v>0.17900000000000005</v>
      </c>
      <c r="F134" s="17">
        <v>0.28570999999999991</v>
      </c>
      <c r="G134" s="18">
        <v>832.33</v>
      </c>
      <c r="H134" s="18">
        <v>308.16000000000003</v>
      </c>
      <c r="I134" s="18">
        <v>832.33</v>
      </c>
      <c r="J134" s="53">
        <v>314.61</v>
      </c>
    </row>
    <row r="135" spans="1:10" ht="17.25" customHeight="1" x14ac:dyDescent="0.25">
      <c r="A135" s="4">
        <v>1141</v>
      </c>
      <c r="B135" s="5" t="s">
        <v>859</v>
      </c>
      <c r="C135" s="5" t="s">
        <v>868</v>
      </c>
      <c r="D135" s="16">
        <v>0.30045000000000011</v>
      </c>
      <c r="E135" s="16">
        <v>0.25374999999999992</v>
      </c>
      <c r="F135" s="17">
        <v>0.26400000000000001</v>
      </c>
      <c r="G135" s="18">
        <v>776</v>
      </c>
      <c r="H135" s="18">
        <v>259.33999999999997</v>
      </c>
      <c r="I135" s="18">
        <v>776</v>
      </c>
      <c r="J135" s="53">
        <v>156.22</v>
      </c>
    </row>
    <row r="136" spans="1:10" ht="17.25" customHeight="1" x14ac:dyDescent="0.25">
      <c r="A136" s="4">
        <v>199</v>
      </c>
      <c r="B136" s="5" t="s">
        <v>65</v>
      </c>
      <c r="C136" s="5" t="s">
        <v>66</v>
      </c>
      <c r="D136" s="16">
        <v>0.30709999999999993</v>
      </c>
      <c r="E136" s="16">
        <v>0.2629999999999999</v>
      </c>
      <c r="F136" s="17">
        <v>0.28570999999999991</v>
      </c>
      <c r="G136" s="18">
        <v>422</v>
      </c>
      <c r="H136" s="18">
        <v>114.16</v>
      </c>
      <c r="I136" s="18">
        <v>422</v>
      </c>
      <c r="J136" s="53">
        <v>62.09</v>
      </c>
    </row>
    <row r="137" spans="1:10" ht="17.25" customHeight="1" x14ac:dyDescent="0.25">
      <c r="A137" s="4">
        <v>1285</v>
      </c>
      <c r="B137" s="5" t="s">
        <v>1035</v>
      </c>
      <c r="C137" s="5" t="s">
        <v>1040</v>
      </c>
      <c r="D137" s="16">
        <v>0.26170000000000004</v>
      </c>
      <c r="E137" s="16">
        <v>0.20500000000000007</v>
      </c>
      <c r="F137" s="17">
        <v>0.28570999999999991</v>
      </c>
      <c r="G137" s="18">
        <v>786.01</v>
      </c>
      <c r="H137" s="18">
        <v>300.37</v>
      </c>
      <c r="I137" s="18">
        <v>786.01</v>
      </c>
      <c r="J137" s="53">
        <v>272.52999999999997</v>
      </c>
    </row>
    <row r="138" spans="1:10" ht="17.25" customHeight="1" x14ac:dyDescent="0.25">
      <c r="A138" s="4">
        <v>1280</v>
      </c>
      <c r="B138" s="5" t="s">
        <v>1033</v>
      </c>
      <c r="C138" s="5" t="s">
        <v>1034</v>
      </c>
      <c r="D138" s="16">
        <v>0.26717000000000013</v>
      </c>
      <c r="E138" s="16">
        <v>0.25890000000000013</v>
      </c>
      <c r="F138" s="17">
        <v>0.33904000000000001</v>
      </c>
      <c r="G138" s="18">
        <v>770</v>
      </c>
      <c r="H138" s="18">
        <v>327.05</v>
      </c>
      <c r="I138" s="18">
        <v>770</v>
      </c>
      <c r="J138" s="53">
        <v>256.47000000000003</v>
      </c>
    </row>
    <row r="139" spans="1:10" ht="17.25" customHeight="1" x14ac:dyDescent="0.25">
      <c r="A139" s="4">
        <v>1278</v>
      </c>
      <c r="B139" s="5" t="s">
        <v>1028</v>
      </c>
      <c r="C139" s="5" t="s">
        <v>1031</v>
      </c>
      <c r="D139" s="16">
        <v>0.24970000000000003</v>
      </c>
      <c r="E139" s="16">
        <v>0.25730999999999993</v>
      </c>
      <c r="F139" s="17">
        <v>0.33430000000000004</v>
      </c>
      <c r="G139" s="18">
        <v>736</v>
      </c>
      <c r="H139" s="18">
        <v>284.39999999999998</v>
      </c>
      <c r="I139" s="18">
        <v>736</v>
      </c>
      <c r="J139" s="53">
        <v>238.45</v>
      </c>
    </row>
    <row r="140" spans="1:10" ht="17.25" customHeight="1" x14ac:dyDescent="0.25">
      <c r="A140" s="4">
        <v>1275</v>
      </c>
      <c r="B140" s="5" t="s">
        <v>1026</v>
      </c>
      <c r="C140" s="5" t="s">
        <v>1027</v>
      </c>
      <c r="D140" s="16">
        <v>0.20900000000000007</v>
      </c>
      <c r="E140" s="16">
        <v>0.21199999999999997</v>
      </c>
      <c r="F140" s="17">
        <v>0.28570999999999991</v>
      </c>
      <c r="G140" s="18">
        <v>736.21</v>
      </c>
      <c r="H140" s="18">
        <v>295.16000000000003</v>
      </c>
      <c r="I140" s="18">
        <v>736.21</v>
      </c>
      <c r="J140" s="53">
        <v>236.43</v>
      </c>
    </row>
    <row r="141" spans="1:10" ht="17.25" customHeight="1" x14ac:dyDescent="0.25">
      <c r="A141" s="4">
        <v>751</v>
      </c>
      <c r="B141" s="5" t="s">
        <v>1733</v>
      </c>
      <c r="C141" s="5" t="s">
        <v>1734</v>
      </c>
      <c r="D141" s="16">
        <v>0.26702000000000004</v>
      </c>
      <c r="E141" s="16">
        <v>0.26319999999999988</v>
      </c>
      <c r="F141" s="17">
        <v>0.27300000000000013</v>
      </c>
      <c r="G141" s="18">
        <v>631.9</v>
      </c>
      <c r="H141" s="18">
        <v>239.15</v>
      </c>
      <c r="I141" s="18">
        <v>631.9</v>
      </c>
      <c r="J141" s="53">
        <v>116.2</v>
      </c>
    </row>
    <row r="142" spans="1:10" ht="17.25" customHeight="1" x14ac:dyDescent="0.25">
      <c r="A142" s="4">
        <v>712</v>
      </c>
      <c r="B142" s="5" t="s">
        <v>1698</v>
      </c>
      <c r="C142" s="5" t="s">
        <v>1704</v>
      </c>
      <c r="D142" s="16">
        <v>0.23775999999999997</v>
      </c>
      <c r="E142" s="16">
        <v>0.26305000000000001</v>
      </c>
      <c r="F142" s="17">
        <v>0.2742</v>
      </c>
      <c r="G142" s="18">
        <v>537.29</v>
      </c>
      <c r="H142" s="18">
        <v>154.27000000000001</v>
      </c>
      <c r="I142" s="18">
        <v>537.29</v>
      </c>
      <c r="J142" s="53">
        <v>98.19</v>
      </c>
    </row>
    <row r="143" spans="1:10" ht="17.25" customHeight="1" x14ac:dyDescent="0.25">
      <c r="A143" s="6">
        <v>698</v>
      </c>
      <c r="B143" s="5" t="s">
        <v>589</v>
      </c>
      <c r="C143" s="5" t="s">
        <v>590</v>
      </c>
      <c r="D143" s="16">
        <v>0.25839999999999996</v>
      </c>
      <c r="E143" s="16">
        <v>0.27600000000000002</v>
      </c>
      <c r="F143" s="17">
        <v>0.28570999999999991</v>
      </c>
      <c r="G143" s="18">
        <v>559.69000000000005</v>
      </c>
      <c r="H143" s="18">
        <v>192.26</v>
      </c>
      <c r="I143" s="18">
        <v>559.69000000000005</v>
      </c>
      <c r="J143" s="53">
        <v>96.17</v>
      </c>
    </row>
    <row r="144" spans="1:10" ht="17.25" customHeight="1" x14ac:dyDescent="0.25">
      <c r="A144" s="4">
        <v>1272</v>
      </c>
      <c r="B144" s="5" t="s">
        <v>1020</v>
      </c>
      <c r="C144" s="5" t="s">
        <v>1022</v>
      </c>
      <c r="D144" s="16">
        <v>0.21760000000000002</v>
      </c>
      <c r="E144" s="16">
        <v>0.21100000000000008</v>
      </c>
      <c r="F144" s="17">
        <v>0.28570999999999991</v>
      </c>
      <c r="G144" s="18">
        <v>774.68</v>
      </c>
      <c r="H144" s="18">
        <v>290.93</v>
      </c>
      <c r="I144" s="18">
        <v>774.68</v>
      </c>
      <c r="J144" s="53">
        <v>258.5</v>
      </c>
    </row>
    <row r="145" spans="1:10" ht="17.25" customHeight="1" x14ac:dyDescent="0.25">
      <c r="A145" s="4">
        <v>1266</v>
      </c>
      <c r="B145" s="5" t="s">
        <v>1019</v>
      </c>
      <c r="C145" s="5" t="s">
        <v>2220</v>
      </c>
      <c r="D145" s="16">
        <v>0.26757999999999993</v>
      </c>
      <c r="E145" s="16">
        <v>0.2629999999999999</v>
      </c>
      <c r="F145" s="17">
        <v>0.32359999999999989</v>
      </c>
      <c r="G145" s="18">
        <v>761</v>
      </c>
      <c r="H145" s="18">
        <v>322.35000000000002</v>
      </c>
      <c r="I145" s="18">
        <v>761</v>
      </c>
      <c r="J145" s="53">
        <v>242.44</v>
      </c>
    </row>
    <row r="146" spans="1:10" ht="17.25" customHeight="1" x14ac:dyDescent="0.25">
      <c r="A146" s="4">
        <v>1262</v>
      </c>
      <c r="B146" s="5" t="s">
        <v>1014</v>
      </c>
      <c r="C146" s="5" t="s">
        <v>1016</v>
      </c>
      <c r="D146" s="16">
        <v>0.24055000000000004</v>
      </c>
      <c r="E146" s="16">
        <v>0.24957999999999991</v>
      </c>
      <c r="F146" s="17">
        <v>0.31572</v>
      </c>
      <c r="G146" s="18">
        <v>722</v>
      </c>
      <c r="H146" s="18">
        <v>277.51</v>
      </c>
      <c r="I146" s="18">
        <v>722</v>
      </c>
      <c r="J146" s="53">
        <v>224.42</v>
      </c>
    </row>
    <row r="147" spans="1:10" ht="17.25" customHeight="1" x14ac:dyDescent="0.25">
      <c r="A147" s="4">
        <v>1259</v>
      </c>
      <c r="B147" s="5" t="s">
        <v>1012</v>
      </c>
      <c r="C147" s="5" t="s">
        <v>1013</v>
      </c>
      <c r="D147" s="16">
        <v>0.21500000000000008</v>
      </c>
      <c r="E147" s="16">
        <v>0.21900000000000008</v>
      </c>
      <c r="F147" s="17">
        <v>0.28570999999999991</v>
      </c>
      <c r="G147" s="18">
        <v>724.26</v>
      </c>
      <c r="H147" s="18">
        <v>288.16000000000003</v>
      </c>
      <c r="I147" s="18">
        <v>724.26</v>
      </c>
      <c r="J147" s="53">
        <v>222.41</v>
      </c>
    </row>
    <row r="148" spans="1:10" ht="17.25" customHeight="1" x14ac:dyDescent="0.25">
      <c r="A148" s="4">
        <v>572</v>
      </c>
      <c r="B148" s="5" t="s">
        <v>466</v>
      </c>
      <c r="C148" s="5" t="s">
        <v>469</v>
      </c>
      <c r="D148" s="16">
        <v>0.27144000000000013</v>
      </c>
      <c r="E148" s="16">
        <v>0.27130999999999994</v>
      </c>
      <c r="F148" s="17">
        <v>0.24446999999999997</v>
      </c>
      <c r="G148" s="18">
        <v>579</v>
      </c>
      <c r="H148" s="18">
        <v>217.15</v>
      </c>
      <c r="I148" s="18">
        <v>579</v>
      </c>
      <c r="J148" s="53">
        <v>100.16</v>
      </c>
    </row>
    <row r="149" spans="1:10" ht="17.25" customHeight="1" x14ac:dyDescent="0.25">
      <c r="A149" s="4">
        <v>603</v>
      </c>
      <c r="B149" s="5" t="s">
        <v>495</v>
      </c>
      <c r="C149" s="5" t="s">
        <v>497</v>
      </c>
      <c r="D149" s="16">
        <v>0.26801000000000008</v>
      </c>
      <c r="E149" s="16">
        <v>0.26724999999999999</v>
      </c>
      <c r="F149" s="17">
        <v>0.254</v>
      </c>
      <c r="G149" s="18">
        <v>611.35</v>
      </c>
      <c r="H149" s="18">
        <v>228.55</v>
      </c>
      <c r="I149" s="18">
        <v>611.35</v>
      </c>
      <c r="J149" s="53">
        <v>102.17</v>
      </c>
    </row>
    <row r="150" spans="1:10" ht="17.25" customHeight="1" x14ac:dyDescent="0.25">
      <c r="A150" s="4">
        <v>556</v>
      </c>
      <c r="B150" s="5" t="s">
        <v>452</v>
      </c>
      <c r="C150" s="5" t="s">
        <v>458</v>
      </c>
      <c r="D150" s="16">
        <v>0.2394099999999999</v>
      </c>
      <c r="E150" s="16">
        <v>0.2660499999999999</v>
      </c>
      <c r="F150" s="17">
        <v>0.28570999999999991</v>
      </c>
      <c r="G150" s="18">
        <v>504.03</v>
      </c>
      <c r="H150" s="18">
        <v>133.38999999999999</v>
      </c>
      <c r="I150" s="18">
        <v>504.03</v>
      </c>
      <c r="J150" s="53">
        <v>84.16</v>
      </c>
    </row>
    <row r="151" spans="1:10" ht="17.25" customHeight="1" x14ac:dyDescent="0.25">
      <c r="A151" s="4">
        <v>533</v>
      </c>
      <c r="B151" s="5" t="s">
        <v>426</v>
      </c>
      <c r="C151" s="5" t="s">
        <v>433</v>
      </c>
      <c r="D151" s="16">
        <v>0.25510999999999995</v>
      </c>
      <c r="E151" s="16">
        <v>0.27184999999999993</v>
      </c>
      <c r="F151" s="17">
        <v>0.2770999999999999</v>
      </c>
      <c r="G151" s="18">
        <v>516.20000000000005</v>
      </c>
      <c r="H151" s="18">
        <v>141.25</v>
      </c>
      <c r="I151" s="18">
        <v>516.20000000000005</v>
      </c>
      <c r="J151" s="53">
        <v>82.14</v>
      </c>
    </row>
    <row r="152" spans="1:10" ht="17.25" customHeight="1" x14ac:dyDescent="0.25">
      <c r="A152" s="4">
        <v>813</v>
      </c>
      <c r="B152" s="5" t="s">
        <v>617</v>
      </c>
      <c r="C152" s="5" t="s">
        <v>622</v>
      </c>
      <c r="D152" s="16">
        <v>0.26371999999999995</v>
      </c>
      <c r="E152" s="16">
        <v>0.26556000000000002</v>
      </c>
      <c r="F152" s="17">
        <v>0.28570999999999991</v>
      </c>
      <c r="G152" s="18">
        <v>582</v>
      </c>
      <c r="H152" s="18">
        <v>129.35</v>
      </c>
      <c r="I152" s="18">
        <v>582</v>
      </c>
      <c r="J152" s="53">
        <v>112.21</v>
      </c>
    </row>
    <row r="153" spans="1:10" ht="17.25" customHeight="1" x14ac:dyDescent="0.25">
      <c r="A153" s="4">
        <v>725</v>
      </c>
      <c r="B153" s="5" t="s">
        <v>1710</v>
      </c>
      <c r="C153" s="5" t="s">
        <v>1713</v>
      </c>
      <c r="D153" s="16">
        <v>0.27580999999999989</v>
      </c>
      <c r="E153" s="16">
        <v>0.22361999999999993</v>
      </c>
      <c r="F153" s="17">
        <v>0.31329000000000007</v>
      </c>
      <c r="G153" s="18">
        <v>603</v>
      </c>
      <c r="H153" s="18">
        <v>299.14999999999998</v>
      </c>
      <c r="I153" s="18">
        <v>603</v>
      </c>
      <c r="J153" s="53">
        <v>114.18</v>
      </c>
    </row>
    <row r="154" spans="1:10" ht="17.25" customHeight="1" x14ac:dyDescent="0.25">
      <c r="A154" s="4">
        <v>525</v>
      </c>
      <c r="B154" s="5" t="s">
        <v>426</v>
      </c>
      <c r="C154" s="5" t="s">
        <v>427</v>
      </c>
      <c r="D154" s="16">
        <v>0.27600000000000002</v>
      </c>
      <c r="E154" s="16">
        <v>0.27300000000000013</v>
      </c>
      <c r="F154" s="17">
        <v>0.28570999999999991</v>
      </c>
      <c r="G154" s="18">
        <v>541.99</v>
      </c>
      <c r="H154" s="18">
        <v>145.96</v>
      </c>
      <c r="I154" s="18">
        <v>541.99</v>
      </c>
      <c r="J154" s="53">
        <v>82.14</v>
      </c>
    </row>
    <row r="155" spans="1:10" ht="17.25" customHeight="1" x14ac:dyDescent="0.25">
      <c r="A155" s="6">
        <v>966</v>
      </c>
      <c r="B155" s="5" t="s">
        <v>698</v>
      </c>
      <c r="C155" s="5" t="s">
        <v>699</v>
      </c>
      <c r="D155" s="19">
        <v>0.29587999999999992</v>
      </c>
      <c r="E155" s="16">
        <v>0.26316000000000006</v>
      </c>
      <c r="F155" s="17">
        <v>0.21233999999999997</v>
      </c>
      <c r="G155" s="18">
        <v>703</v>
      </c>
      <c r="H155" s="18">
        <v>350</v>
      </c>
      <c r="I155" s="18">
        <v>703</v>
      </c>
      <c r="J155" s="53">
        <v>130.19</v>
      </c>
    </row>
    <row r="156" spans="1:10" ht="17.25" customHeight="1" x14ac:dyDescent="0.25">
      <c r="A156" s="4">
        <v>1105</v>
      </c>
      <c r="B156" s="5" t="s">
        <v>821</v>
      </c>
      <c r="C156" s="5" t="s">
        <v>822</v>
      </c>
      <c r="D156" s="16">
        <v>0.27188999999999997</v>
      </c>
      <c r="E156" s="16">
        <v>0.22408000000000006</v>
      </c>
      <c r="F156" s="17">
        <v>0.25709000000000004</v>
      </c>
      <c r="G156" s="18">
        <v>772.04</v>
      </c>
      <c r="H156" s="18">
        <v>242.67</v>
      </c>
      <c r="I156" s="18">
        <v>772.04</v>
      </c>
      <c r="J156" s="53">
        <v>142.19999999999999</v>
      </c>
    </row>
    <row r="157" spans="1:10" ht="17.25" customHeight="1" x14ac:dyDescent="0.25">
      <c r="A157" s="4">
        <v>1211</v>
      </c>
      <c r="B157" s="5" t="s">
        <v>952</v>
      </c>
      <c r="C157" s="5" t="s">
        <v>2370</v>
      </c>
      <c r="D157" s="16">
        <v>0.29205999999999999</v>
      </c>
      <c r="E157" s="16">
        <v>0.25258000000000003</v>
      </c>
      <c r="F157" s="17">
        <v>0.28339999999999987</v>
      </c>
      <c r="G157" s="18">
        <v>792</v>
      </c>
      <c r="H157" s="18">
        <v>253.43</v>
      </c>
      <c r="I157" s="18">
        <v>792</v>
      </c>
      <c r="J157" s="53">
        <v>184.28</v>
      </c>
    </row>
    <row r="158" spans="1:10" ht="17.25" customHeight="1" x14ac:dyDescent="0.25">
      <c r="A158" s="4">
        <v>1332</v>
      </c>
      <c r="B158" s="21" t="s">
        <v>1950</v>
      </c>
      <c r="C158" s="21" t="s">
        <v>2371</v>
      </c>
      <c r="D158" s="23">
        <v>0.25087999999999999</v>
      </c>
      <c r="E158" s="23">
        <v>0.22503999999999991</v>
      </c>
      <c r="F158" s="24">
        <v>0.30746999999999991</v>
      </c>
      <c r="G158" s="25">
        <v>859</v>
      </c>
      <c r="H158" s="27">
        <v>288.14999999999998</v>
      </c>
      <c r="I158" s="18">
        <v>859</v>
      </c>
      <c r="J158" s="53">
        <v>268.44</v>
      </c>
    </row>
    <row r="159" spans="1:10" ht="17.25" customHeight="1" x14ac:dyDescent="0.25">
      <c r="A159" s="4">
        <v>1255</v>
      </c>
      <c r="B159" s="5" t="s">
        <v>1008</v>
      </c>
      <c r="C159" s="5" t="s">
        <v>2372</v>
      </c>
      <c r="D159" s="16">
        <v>0.28655999999999993</v>
      </c>
      <c r="E159" s="16">
        <v>0.25363999999999987</v>
      </c>
      <c r="F159" s="17">
        <v>0.30089999999999995</v>
      </c>
      <c r="G159" s="18">
        <v>813</v>
      </c>
      <c r="H159" s="18">
        <v>255.14999999999998</v>
      </c>
      <c r="I159" s="18">
        <v>813</v>
      </c>
      <c r="J159" s="53">
        <v>212.33</v>
      </c>
    </row>
    <row r="160" spans="1:10" ht="17.25" customHeight="1" x14ac:dyDescent="0.25">
      <c r="A160" s="4">
        <v>319</v>
      </c>
      <c r="B160" s="5" t="s">
        <v>204</v>
      </c>
      <c r="C160" s="5" t="s">
        <v>205</v>
      </c>
      <c r="D160" s="16">
        <v>0.31630000000000003</v>
      </c>
      <c r="E160" s="16">
        <v>0.26</v>
      </c>
      <c r="F160" s="17">
        <v>0.28570999999999991</v>
      </c>
      <c r="G160" s="18">
        <v>624</v>
      </c>
      <c r="H160" s="18">
        <v>191.83</v>
      </c>
      <c r="I160" s="18">
        <v>624</v>
      </c>
      <c r="J160" s="53">
        <v>103.12</v>
      </c>
    </row>
    <row r="161" spans="1:10" ht="17.25" customHeight="1" x14ac:dyDescent="0.25">
      <c r="A161" s="4">
        <v>207</v>
      </c>
      <c r="B161" s="5" t="s">
        <v>75</v>
      </c>
      <c r="C161" s="5" t="s">
        <v>76</v>
      </c>
      <c r="D161" s="16">
        <v>0.30936000000000008</v>
      </c>
      <c r="E161" s="16">
        <v>0.24469999999999992</v>
      </c>
      <c r="F161" s="17">
        <v>0.27364999999999995</v>
      </c>
      <c r="G161" s="18">
        <v>605</v>
      </c>
      <c r="H161" s="18">
        <v>169.16</v>
      </c>
      <c r="I161" s="18">
        <v>605</v>
      </c>
      <c r="J161" s="53">
        <v>89.09</v>
      </c>
    </row>
    <row r="162" spans="1:10" ht="17.25" customHeight="1" x14ac:dyDescent="0.25">
      <c r="A162" s="4">
        <v>1316</v>
      </c>
      <c r="B162" s="5" t="s">
        <v>1077</v>
      </c>
      <c r="C162" s="5" t="s">
        <v>2373</v>
      </c>
      <c r="D162" s="16">
        <v>0.25442000000000009</v>
      </c>
      <c r="E162" s="16">
        <v>0.22733000000000003</v>
      </c>
      <c r="F162" s="17">
        <v>0.30163999999999991</v>
      </c>
      <c r="G162" s="18">
        <v>849</v>
      </c>
      <c r="H162" s="18">
        <v>284.14999999999998</v>
      </c>
      <c r="I162" s="18">
        <v>849</v>
      </c>
      <c r="J162" s="53">
        <v>254.41</v>
      </c>
    </row>
    <row r="163" spans="1:10" ht="17.25" customHeight="1" x14ac:dyDescent="0.25">
      <c r="A163" s="4">
        <v>1330</v>
      </c>
      <c r="B163" s="21" t="s">
        <v>1091</v>
      </c>
      <c r="C163" s="21" t="s">
        <v>1841</v>
      </c>
      <c r="D163" s="23">
        <v>0.26059999999999994</v>
      </c>
      <c r="E163" s="23">
        <v>0.19399999999999995</v>
      </c>
      <c r="F163" s="24">
        <v>0.28570999999999991</v>
      </c>
      <c r="G163" s="25">
        <v>805.29</v>
      </c>
      <c r="H163" s="27">
        <v>307.04000000000002</v>
      </c>
      <c r="I163" s="25">
        <v>805.29</v>
      </c>
      <c r="J163" s="55">
        <v>300.58</v>
      </c>
    </row>
    <row r="164" spans="1:10" ht="17.25" customHeight="1" x14ac:dyDescent="0.25">
      <c r="A164" s="4">
        <v>1325</v>
      </c>
      <c r="B164" s="5" t="s">
        <v>1089</v>
      </c>
      <c r="C164" s="5" t="s">
        <v>1090</v>
      </c>
      <c r="D164" s="16">
        <v>0.25439999999999996</v>
      </c>
      <c r="E164" s="16">
        <v>0.19900000000000007</v>
      </c>
      <c r="F164" s="17">
        <v>0.28570999999999991</v>
      </c>
      <c r="G164" s="18">
        <v>775.3</v>
      </c>
      <c r="H164" s="18">
        <v>334.87</v>
      </c>
      <c r="I164" s="18">
        <v>775.3</v>
      </c>
      <c r="J164" s="53">
        <v>284.52</v>
      </c>
    </row>
    <row r="165" spans="1:10" ht="17.25" customHeight="1" x14ac:dyDescent="0.25">
      <c r="A165" s="4">
        <v>1318</v>
      </c>
      <c r="B165" s="5" t="s">
        <v>1079</v>
      </c>
      <c r="C165" s="5" t="s">
        <v>1080</v>
      </c>
      <c r="D165" s="16">
        <v>0.24920000000000009</v>
      </c>
      <c r="E165" s="16">
        <v>0.20100000000000007</v>
      </c>
      <c r="F165" s="17">
        <v>0.28570999999999991</v>
      </c>
      <c r="G165" s="18">
        <v>758.94</v>
      </c>
      <c r="H165" s="18">
        <v>306.16000000000003</v>
      </c>
      <c r="I165" s="18">
        <v>758.94</v>
      </c>
      <c r="J165" s="53">
        <v>264.49</v>
      </c>
    </row>
    <row r="166" spans="1:10" ht="17.25" customHeight="1" x14ac:dyDescent="0.25">
      <c r="A166" s="4">
        <v>911</v>
      </c>
      <c r="B166" s="5" t="s">
        <v>1814</v>
      </c>
      <c r="C166" s="5" t="s">
        <v>1816</v>
      </c>
      <c r="D166" s="16">
        <v>0.26990000000000003</v>
      </c>
      <c r="E166" s="16">
        <v>0.27290999999999999</v>
      </c>
      <c r="F166" s="17">
        <v>0.25011000000000005</v>
      </c>
      <c r="G166" s="18">
        <v>640</v>
      </c>
      <c r="H166" s="18">
        <v>255.14999999999998</v>
      </c>
      <c r="I166" s="18">
        <v>640</v>
      </c>
      <c r="J166" s="53">
        <v>142.24</v>
      </c>
    </row>
    <row r="167" spans="1:10" ht="17.25" customHeight="1" x14ac:dyDescent="0.25">
      <c r="A167" s="4">
        <v>950</v>
      </c>
      <c r="B167" s="5" t="s">
        <v>676</v>
      </c>
      <c r="C167" s="5" t="s">
        <v>678</v>
      </c>
      <c r="D167" s="16">
        <v>0.26400000000000001</v>
      </c>
      <c r="E167" s="16">
        <v>0.26493000000000011</v>
      </c>
      <c r="F167" s="17">
        <v>0.26312999999999986</v>
      </c>
      <c r="G167" s="18">
        <v>673</v>
      </c>
      <c r="H167" s="18">
        <v>268.14999999999998</v>
      </c>
      <c r="I167" s="18">
        <v>673</v>
      </c>
      <c r="J167" s="53">
        <v>144.25</v>
      </c>
    </row>
    <row r="168" spans="1:10" ht="17.25" customHeight="1" x14ac:dyDescent="0.25">
      <c r="A168" s="4">
        <v>908</v>
      </c>
      <c r="B168" s="5" t="s">
        <v>1810</v>
      </c>
      <c r="C168" s="5" t="s">
        <v>1813</v>
      </c>
      <c r="D168" s="16">
        <v>0.23551000000000011</v>
      </c>
      <c r="E168" s="16">
        <v>0.25320999999999994</v>
      </c>
      <c r="F168" s="17">
        <v>0.28570999999999991</v>
      </c>
      <c r="G168" s="18">
        <v>593.25</v>
      </c>
      <c r="H168" s="18">
        <v>191.78</v>
      </c>
      <c r="I168" s="18">
        <v>593.25</v>
      </c>
      <c r="J168" s="53">
        <v>126.24</v>
      </c>
    </row>
    <row r="169" spans="1:10" ht="17.25" customHeight="1" x14ac:dyDescent="0.25">
      <c r="A169" s="4">
        <v>902</v>
      </c>
      <c r="B169" s="5" t="s">
        <v>1807</v>
      </c>
      <c r="C169" s="5" t="s">
        <v>1808</v>
      </c>
      <c r="D169" s="16">
        <v>0.25049999999999994</v>
      </c>
      <c r="E169" s="16">
        <v>0.26400000000000001</v>
      </c>
      <c r="F169" s="17">
        <v>0.28570999999999991</v>
      </c>
      <c r="G169" s="18">
        <v>610.80999999999995</v>
      </c>
      <c r="H169" s="18">
        <v>223.16</v>
      </c>
      <c r="I169" s="18">
        <v>610.80999999999995</v>
      </c>
      <c r="J169" s="53">
        <v>124.22</v>
      </c>
    </row>
    <row r="170" spans="1:10" ht="17.25" customHeight="1" x14ac:dyDescent="0.25">
      <c r="A170" s="4">
        <v>1314</v>
      </c>
      <c r="B170" s="5" t="s">
        <v>1069</v>
      </c>
      <c r="C170" s="5" t="s">
        <v>1074</v>
      </c>
      <c r="D170" s="16">
        <v>0.26109999999999989</v>
      </c>
      <c r="E170" s="16">
        <v>0.19999999999999996</v>
      </c>
      <c r="F170" s="17">
        <v>0.28570999999999991</v>
      </c>
      <c r="G170" s="18">
        <v>795.36</v>
      </c>
      <c r="H170" s="18">
        <v>300.93</v>
      </c>
      <c r="I170" s="18">
        <v>795.36</v>
      </c>
      <c r="J170" s="53">
        <v>286.56</v>
      </c>
    </row>
    <row r="171" spans="1:10" ht="17.25" customHeight="1" x14ac:dyDescent="0.25">
      <c r="A171" s="4">
        <v>1304</v>
      </c>
      <c r="B171" s="5" t="s">
        <v>1060</v>
      </c>
      <c r="C171" s="5" t="s">
        <v>1063</v>
      </c>
      <c r="D171" s="16">
        <v>0.24046000000000012</v>
      </c>
      <c r="E171" s="16">
        <v>0.24722</v>
      </c>
      <c r="F171" s="17">
        <v>0.32723999999999998</v>
      </c>
      <c r="G171" s="18">
        <v>748</v>
      </c>
      <c r="H171" s="18">
        <v>290.76</v>
      </c>
      <c r="I171" s="18">
        <v>748</v>
      </c>
      <c r="J171" s="53">
        <v>252.48</v>
      </c>
    </row>
    <row r="172" spans="1:10" ht="17.25" customHeight="1" x14ac:dyDescent="0.25">
      <c r="A172" s="4">
        <v>1298</v>
      </c>
      <c r="B172" s="5" t="s">
        <v>1054</v>
      </c>
      <c r="C172" s="5" t="s">
        <v>1055</v>
      </c>
      <c r="D172" s="16">
        <v>0.24909999999999988</v>
      </c>
      <c r="E172" s="16">
        <v>0.20700000000000007</v>
      </c>
      <c r="F172" s="17">
        <v>0.28570999999999991</v>
      </c>
      <c r="G172" s="18">
        <v>747.33</v>
      </c>
      <c r="H172" s="18">
        <v>300.16000000000003</v>
      </c>
      <c r="I172" s="18">
        <v>747.33</v>
      </c>
      <c r="J172" s="53">
        <v>250.46</v>
      </c>
    </row>
    <row r="173" spans="1:10" ht="17.25" customHeight="1" x14ac:dyDescent="0.25">
      <c r="A173" s="4">
        <v>822</v>
      </c>
      <c r="B173" s="5" t="s">
        <v>626</v>
      </c>
      <c r="C173" s="5" t="s">
        <v>628</v>
      </c>
      <c r="D173" s="16">
        <v>0.27049000000000012</v>
      </c>
      <c r="E173" s="16">
        <v>0.27234999999999987</v>
      </c>
      <c r="F173" s="17">
        <v>0.24964000000000008</v>
      </c>
      <c r="G173" s="18">
        <v>621</v>
      </c>
      <c r="H173" s="18">
        <v>246</v>
      </c>
      <c r="I173" s="18">
        <v>621</v>
      </c>
      <c r="J173" s="53">
        <v>128.21</v>
      </c>
    </row>
    <row r="174" spans="1:10" ht="17.25" customHeight="1" x14ac:dyDescent="0.25">
      <c r="A174" s="4">
        <v>851</v>
      </c>
      <c r="B174" s="5" t="s">
        <v>651</v>
      </c>
      <c r="C174" s="5" t="s">
        <v>653</v>
      </c>
      <c r="D174" s="16">
        <v>0.26568000000000014</v>
      </c>
      <c r="E174" s="16">
        <v>0.26126000000000005</v>
      </c>
      <c r="F174" s="17">
        <v>0.28089999999999993</v>
      </c>
      <c r="G174" s="18">
        <v>652.5</v>
      </c>
      <c r="H174" s="18">
        <v>257.64999999999998</v>
      </c>
      <c r="I174" s="18">
        <v>652.5</v>
      </c>
      <c r="J174" s="53">
        <v>130.22999999999999</v>
      </c>
    </row>
    <row r="175" spans="1:10" ht="17.25" customHeight="1" x14ac:dyDescent="0.25">
      <c r="A175" s="4">
        <v>814</v>
      </c>
      <c r="B175" s="5" t="s">
        <v>617</v>
      </c>
      <c r="C175" s="5" t="s">
        <v>623</v>
      </c>
      <c r="D175" s="16">
        <v>0.23682000000000003</v>
      </c>
      <c r="E175" s="16">
        <v>0.25648999999999988</v>
      </c>
      <c r="F175" s="17">
        <v>0.28570999999999991</v>
      </c>
      <c r="G175" s="18">
        <v>566.6</v>
      </c>
      <c r="H175" s="18">
        <v>171.45</v>
      </c>
      <c r="I175" s="18">
        <v>566.6</v>
      </c>
      <c r="J175" s="53">
        <v>112.21</v>
      </c>
    </row>
    <row r="176" spans="1:10" ht="17.25" customHeight="1" x14ac:dyDescent="0.25">
      <c r="A176" s="4">
        <v>1251</v>
      </c>
      <c r="B176" s="5" t="s">
        <v>998</v>
      </c>
      <c r="C176" s="5" t="s">
        <v>1003</v>
      </c>
      <c r="D176" s="16">
        <v>0.22360000000000002</v>
      </c>
      <c r="E176" s="16">
        <v>0.21700000000000008</v>
      </c>
      <c r="F176" s="17">
        <v>0.28570999999999991</v>
      </c>
      <c r="G176" s="18">
        <v>764.77</v>
      </c>
      <c r="H176" s="18">
        <v>290.93</v>
      </c>
      <c r="I176" s="18">
        <v>764.77</v>
      </c>
      <c r="J176" s="53">
        <v>244.48</v>
      </c>
    </row>
    <row r="177" spans="1:10" ht="17.25" customHeight="1" x14ac:dyDescent="0.25">
      <c r="A177" s="4">
        <v>1246</v>
      </c>
      <c r="B177" s="5" t="s">
        <v>996</v>
      </c>
      <c r="C177" s="5" t="s">
        <v>997</v>
      </c>
      <c r="D177" s="16">
        <v>0.25540000000000007</v>
      </c>
      <c r="E177" s="16">
        <v>0.22599999999999998</v>
      </c>
      <c r="F177" s="17">
        <v>0.28570999999999991</v>
      </c>
      <c r="G177" s="18">
        <v>722.53</v>
      </c>
      <c r="H177" s="18">
        <v>317.04000000000002</v>
      </c>
      <c r="I177" s="18">
        <v>722.53</v>
      </c>
      <c r="J177" s="53">
        <v>228.41</v>
      </c>
    </row>
    <row r="178" spans="1:10" ht="17.25" customHeight="1" x14ac:dyDescent="0.25">
      <c r="A178" s="4">
        <v>1241</v>
      </c>
      <c r="B178" s="5" t="s">
        <v>989</v>
      </c>
      <c r="C178" s="5" t="s">
        <v>990</v>
      </c>
      <c r="D178" s="16">
        <v>0.24046999999999996</v>
      </c>
      <c r="E178" s="19">
        <v>0.25056000000000012</v>
      </c>
      <c r="F178" s="17">
        <v>0.31109999999999993</v>
      </c>
      <c r="G178" s="18">
        <v>708</v>
      </c>
      <c r="H178" s="18">
        <v>269.42</v>
      </c>
      <c r="I178" s="18">
        <v>708</v>
      </c>
      <c r="J178" s="53">
        <v>210.4</v>
      </c>
    </row>
    <row r="179" spans="1:10" ht="17.25" customHeight="1" x14ac:dyDescent="0.25">
      <c r="A179" s="4">
        <v>1240</v>
      </c>
      <c r="B179" s="5" t="s">
        <v>987</v>
      </c>
      <c r="C179" s="5" t="s">
        <v>988</v>
      </c>
      <c r="D179" s="16">
        <v>0.21999999999999997</v>
      </c>
      <c r="E179" s="16">
        <v>0.22500000000000009</v>
      </c>
      <c r="F179" s="17">
        <v>0.28570999999999991</v>
      </c>
      <c r="G179" s="18">
        <v>711.41</v>
      </c>
      <c r="H179" s="18">
        <v>283.16000000000003</v>
      </c>
      <c r="I179" s="18">
        <v>711.41</v>
      </c>
      <c r="J179" s="53">
        <v>208.38</v>
      </c>
    </row>
    <row r="180" spans="1:10" ht="17.25" customHeight="1" x14ac:dyDescent="0.25">
      <c r="A180" s="4">
        <v>447</v>
      </c>
      <c r="B180" s="5" t="s">
        <v>348</v>
      </c>
      <c r="C180" s="5" t="s">
        <v>354</v>
      </c>
      <c r="D180" s="16">
        <v>0.26923000000000008</v>
      </c>
      <c r="E180" s="16">
        <v>0.26730000000000009</v>
      </c>
      <c r="F180" s="17">
        <v>0.25059999999999993</v>
      </c>
      <c r="G180" s="18">
        <v>586.15</v>
      </c>
      <c r="H180" s="18">
        <v>195.56</v>
      </c>
      <c r="I180" s="18">
        <v>586.15</v>
      </c>
      <c r="J180" s="53">
        <v>88.15</v>
      </c>
    </row>
    <row r="181" spans="1:10" ht="17.25" customHeight="1" x14ac:dyDescent="0.25">
      <c r="A181" s="4">
        <v>407</v>
      </c>
      <c r="B181" s="5" t="s">
        <v>305</v>
      </c>
      <c r="C181" s="5" t="s">
        <v>310</v>
      </c>
      <c r="D181" s="16">
        <v>0.23787000000000003</v>
      </c>
      <c r="E181" s="16">
        <v>0.26648000000000005</v>
      </c>
      <c r="F181" s="17">
        <v>0.29049999999999998</v>
      </c>
      <c r="G181" s="18">
        <v>464.78</v>
      </c>
      <c r="H181" s="18">
        <v>107.93</v>
      </c>
      <c r="I181" s="18">
        <v>464.78</v>
      </c>
      <c r="J181" s="53">
        <v>70.13</v>
      </c>
    </row>
    <row r="182" spans="1:10" ht="17.25" customHeight="1" x14ac:dyDescent="0.25">
      <c r="A182" s="4">
        <v>363</v>
      </c>
      <c r="B182" s="5" t="s">
        <v>253</v>
      </c>
      <c r="C182" s="5" t="s">
        <v>256</v>
      </c>
      <c r="D182" s="16">
        <v>0.25821000000000005</v>
      </c>
      <c r="E182" s="16">
        <v>0.24053999999999998</v>
      </c>
      <c r="F182" s="17">
        <v>0.36451999999999996</v>
      </c>
      <c r="G182" s="18">
        <v>520</v>
      </c>
      <c r="H182" s="18">
        <v>150</v>
      </c>
      <c r="I182" s="18">
        <v>520</v>
      </c>
      <c r="J182" s="53">
        <v>66.099999999999994</v>
      </c>
    </row>
    <row r="183" spans="1:10" ht="17.25" customHeight="1" x14ac:dyDescent="0.25">
      <c r="A183" s="4">
        <v>364</v>
      </c>
      <c r="B183" s="5" t="s">
        <v>253</v>
      </c>
      <c r="C183" s="5" t="s">
        <v>257</v>
      </c>
      <c r="D183" s="16">
        <v>0.26065000000000005</v>
      </c>
      <c r="E183" s="16">
        <v>0.26679999999999993</v>
      </c>
      <c r="F183" s="17">
        <v>0.28570000000000007</v>
      </c>
      <c r="G183" s="18">
        <v>503</v>
      </c>
      <c r="H183" s="18">
        <v>150</v>
      </c>
      <c r="I183" s="18">
        <v>503</v>
      </c>
      <c r="J183" s="53">
        <v>66.099999999999994</v>
      </c>
    </row>
    <row r="184" spans="1:10" ht="17.25" customHeight="1" x14ac:dyDescent="0.25">
      <c r="A184" s="4">
        <v>1235</v>
      </c>
      <c r="B184" s="5" t="s">
        <v>981</v>
      </c>
      <c r="C184" s="5" t="s">
        <v>982</v>
      </c>
      <c r="D184" s="16">
        <v>0.27439999999999998</v>
      </c>
      <c r="E184" s="16">
        <v>0.23799999999999999</v>
      </c>
      <c r="F184" s="17">
        <v>0.28570999999999991</v>
      </c>
      <c r="G184" s="18">
        <v>793.32</v>
      </c>
      <c r="H184" s="18">
        <v>251.16</v>
      </c>
      <c r="I184" s="18">
        <v>793.32</v>
      </c>
      <c r="J184" s="53">
        <v>198.3</v>
      </c>
    </row>
    <row r="185" spans="1:10" ht="17.25" customHeight="1" x14ac:dyDescent="0.25">
      <c r="A185" s="6">
        <v>383</v>
      </c>
      <c r="B185" s="5" t="s">
        <v>272</v>
      </c>
      <c r="C185" s="5" t="s">
        <v>280</v>
      </c>
      <c r="D185" s="16">
        <v>0.24591000000000007</v>
      </c>
      <c r="E185" s="16">
        <v>0.23520000000000008</v>
      </c>
      <c r="F185" s="17">
        <v>0.35299999999999998</v>
      </c>
      <c r="G185" s="18">
        <v>481.2</v>
      </c>
      <c r="H185" s="18">
        <v>167.45</v>
      </c>
      <c r="I185" s="18">
        <v>481.2</v>
      </c>
      <c r="J185" s="53">
        <v>68.12</v>
      </c>
    </row>
    <row r="186" spans="1:10" ht="17.25" customHeight="1" x14ac:dyDescent="0.25">
      <c r="A186" s="4">
        <v>1353</v>
      </c>
      <c r="B186" s="21" t="s">
        <v>1957</v>
      </c>
      <c r="C186" s="22" t="s">
        <v>1107</v>
      </c>
      <c r="D186" s="16">
        <v>0.25209999999999999</v>
      </c>
      <c r="E186" s="16">
        <v>0.22999999999999998</v>
      </c>
      <c r="F186" s="17">
        <v>0.28570999999999991</v>
      </c>
      <c r="G186" s="18">
        <v>808</v>
      </c>
      <c r="H186" s="18">
        <v>300.16000000000003</v>
      </c>
      <c r="I186" s="18">
        <v>808</v>
      </c>
      <c r="J186" s="53">
        <v>302.54000000000002</v>
      </c>
    </row>
    <row r="187" spans="1:10" ht="17.25" customHeight="1" x14ac:dyDescent="0.25">
      <c r="A187" s="4">
        <v>1254</v>
      </c>
      <c r="B187" s="5" t="s">
        <v>1006</v>
      </c>
      <c r="C187" s="5" t="s">
        <v>1007</v>
      </c>
      <c r="D187" s="16">
        <v>0.31139000000000006</v>
      </c>
      <c r="E187" s="16">
        <v>0.24154999999999993</v>
      </c>
      <c r="F187" s="17">
        <v>0.29049000000000014</v>
      </c>
      <c r="G187" s="18">
        <v>849</v>
      </c>
      <c r="H187" s="18">
        <v>318.14999999999998</v>
      </c>
      <c r="I187" s="18">
        <v>849</v>
      </c>
      <c r="J187" s="53">
        <v>204.27</v>
      </c>
    </row>
    <row r="188" spans="1:10" ht="17.25" customHeight="1" x14ac:dyDescent="0.25">
      <c r="A188" s="4">
        <v>1350</v>
      </c>
      <c r="B188" s="21" t="s">
        <v>1956</v>
      </c>
      <c r="C188" s="21" t="s">
        <v>1850</v>
      </c>
      <c r="D188" s="16">
        <v>0.23510000000000009</v>
      </c>
      <c r="E188" s="16">
        <v>0.22999999999999998</v>
      </c>
      <c r="F188" s="17">
        <v>0.28570999999999991</v>
      </c>
      <c r="G188" s="18">
        <v>800</v>
      </c>
      <c r="H188" s="18">
        <v>295.16000000000003</v>
      </c>
      <c r="I188" s="18">
        <v>800</v>
      </c>
      <c r="J188" s="53">
        <v>288.51</v>
      </c>
    </row>
    <row r="189" spans="1:10" ht="17.25" customHeight="1" x14ac:dyDescent="0.25">
      <c r="A189" s="4">
        <v>1335</v>
      </c>
      <c r="B189" s="21" t="s">
        <v>2244</v>
      </c>
      <c r="C189" s="21" t="s">
        <v>1844</v>
      </c>
      <c r="D189" s="23">
        <v>0.24459999999999993</v>
      </c>
      <c r="E189" s="23">
        <v>0.24</v>
      </c>
      <c r="F189" s="24">
        <v>0.28570999999999991</v>
      </c>
      <c r="G189" s="25">
        <v>792</v>
      </c>
      <c r="H189" s="25">
        <v>289.16000000000003</v>
      </c>
      <c r="I189" s="18">
        <v>792</v>
      </c>
      <c r="J189" s="53">
        <v>274.48</v>
      </c>
    </row>
    <row r="190" spans="1:10" ht="17.25" customHeight="1" x14ac:dyDescent="0.25">
      <c r="A190" s="4">
        <v>1181</v>
      </c>
      <c r="B190" s="5" t="s">
        <v>913</v>
      </c>
      <c r="C190" s="5" t="s">
        <v>914</v>
      </c>
      <c r="D190" s="16">
        <v>0.29340000000000011</v>
      </c>
      <c r="E190" s="16">
        <v>0.248</v>
      </c>
      <c r="F190" s="17">
        <v>0.28570999999999991</v>
      </c>
      <c r="G190" s="18">
        <v>771.45</v>
      </c>
      <c r="H190" s="18">
        <v>264.69</v>
      </c>
      <c r="I190" s="18">
        <v>771.45</v>
      </c>
      <c r="J190" s="53">
        <v>170.25</v>
      </c>
    </row>
    <row r="191" spans="1:10" ht="17.25" customHeight="1" x14ac:dyDescent="0.25">
      <c r="A191" s="4">
        <v>1229</v>
      </c>
      <c r="B191" s="5" t="s">
        <v>967</v>
      </c>
      <c r="C191" s="5" t="s">
        <v>973</v>
      </c>
      <c r="D191" s="16">
        <v>0.22970000000000002</v>
      </c>
      <c r="E191" s="16">
        <v>0.22300000000000009</v>
      </c>
      <c r="F191" s="17">
        <v>0.28570999999999991</v>
      </c>
      <c r="G191" s="18">
        <v>753.8</v>
      </c>
      <c r="H191" s="18">
        <v>279.26</v>
      </c>
      <c r="I191" s="18">
        <v>753.8</v>
      </c>
      <c r="J191" s="53">
        <v>230.45</v>
      </c>
    </row>
    <row r="192" spans="1:10" ht="17.25" customHeight="1" x14ac:dyDescent="0.25">
      <c r="A192" s="4">
        <v>1223</v>
      </c>
      <c r="B192" s="5" t="s">
        <v>965</v>
      </c>
      <c r="C192" s="5" t="s">
        <v>966</v>
      </c>
      <c r="D192" s="16">
        <v>0.26758999999999999</v>
      </c>
      <c r="E192" s="16">
        <v>0.26292999999999989</v>
      </c>
      <c r="F192" s="17">
        <v>0.31824000000000008</v>
      </c>
      <c r="G192" s="18">
        <v>741</v>
      </c>
      <c r="H192" s="18">
        <v>310.64999999999998</v>
      </c>
      <c r="I192" s="18">
        <v>741</v>
      </c>
      <c r="J192" s="53">
        <v>214.39</v>
      </c>
    </row>
    <row r="193" spans="1:10" ht="17.25" customHeight="1" x14ac:dyDescent="0.25">
      <c r="A193" s="4">
        <v>1218</v>
      </c>
      <c r="B193" s="5" t="s">
        <v>959</v>
      </c>
      <c r="C193" s="5" t="s">
        <v>960</v>
      </c>
      <c r="D193" s="16">
        <v>0.24036999999999997</v>
      </c>
      <c r="E193" s="16">
        <v>0.25195999999999996</v>
      </c>
      <c r="F193" s="17">
        <v>0.30448999999999993</v>
      </c>
      <c r="G193" s="18">
        <v>692</v>
      </c>
      <c r="H193" s="18">
        <v>260.3</v>
      </c>
      <c r="I193" s="18">
        <v>692</v>
      </c>
      <c r="J193" s="53">
        <v>196.37</v>
      </c>
    </row>
    <row r="194" spans="1:10" ht="17.25" customHeight="1" x14ac:dyDescent="0.25">
      <c r="A194" s="4">
        <v>1191</v>
      </c>
      <c r="B194" s="5" t="s">
        <v>926</v>
      </c>
      <c r="C194" s="5" t="s">
        <v>927</v>
      </c>
      <c r="D194" s="16">
        <v>0.26876999999999995</v>
      </c>
      <c r="E194" s="16">
        <v>0.26107000000000014</v>
      </c>
      <c r="F194" s="17">
        <v>0.32169999999999987</v>
      </c>
      <c r="G194" s="18">
        <v>700</v>
      </c>
      <c r="H194" s="18">
        <v>288.14999999999998</v>
      </c>
      <c r="I194" s="18">
        <v>700</v>
      </c>
      <c r="J194" s="53">
        <v>198.34</v>
      </c>
    </row>
    <row r="195" spans="1:10" ht="17.25" customHeight="1" x14ac:dyDescent="0.25">
      <c r="A195" s="4">
        <v>1200</v>
      </c>
      <c r="B195" s="5" t="s">
        <v>933</v>
      </c>
      <c r="C195" s="5" t="s">
        <v>938</v>
      </c>
      <c r="D195" s="16">
        <v>0.23669999999999991</v>
      </c>
      <c r="E195" s="16">
        <v>0.22999999999999998</v>
      </c>
      <c r="F195" s="17">
        <v>0.28570999999999991</v>
      </c>
      <c r="G195" s="18">
        <v>742.13</v>
      </c>
      <c r="H195" s="18">
        <v>282.04000000000002</v>
      </c>
      <c r="I195" s="18">
        <v>742.13</v>
      </c>
      <c r="J195" s="53">
        <v>216.43</v>
      </c>
    </row>
    <row r="196" spans="1:10" ht="17.25" customHeight="1" x14ac:dyDescent="0.25">
      <c r="A196" s="4">
        <v>1195</v>
      </c>
      <c r="B196" s="5" t="s">
        <v>931</v>
      </c>
      <c r="C196" s="5" t="s">
        <v>932</v>
      </c>
      <c r="D196" s="16">
        <v>0.24656000000000011</v>
      </c>
      <c r="E196" s="16">
        <v>0.24199999999999999</v>
      </c>
      <c r="F196" s="17">
        <v>0.28570000000000007</v>
      </c>
      <c r="G196" s="18">
        <v>731</v>
      </c>
      <c r="H196" s="18">
        <v>303.75</v>
      </c>
      <c r="I196" s="18">
        <v>731</v>
      </c>
      <c r="J196" s="53">
        <v>200.36</v>
      </c>
    </row>
    <row r="197" spans="1:10" ht="17.25" customHeight="1" x14ac:dyDescent="0.25">
      <c r="A197" s="4">
        <v>1188</v>
      </c>
      <c r="B197" s="5" t="s">
        <v>922</v>
      </c>
      <c r="C197" s="5" t="s">
        <v>923</v>
      </c>
      <c r="D197" s="16">
        <v>0.24120999999999992</v>
      </c>
      <c r="E197" s="16">
        <v>0.25310999999999995</v>
      </c>
      <c r="F197" s="17">
        <v>0.30401999999999996</v>
      </c>
      <c r="G197" s="18">
        <v>675</v>
      </c>
      <c r="H197" s="18">
        <v>250.08</v>
      </c>
      <c r="I197" s="18">
        <v>675</v>
      </c>
      <c r="J197" s="53">
        <v>182.34</v>
      </c>
    </row>
    <row r="198" spans="1:10" ht="17.25" customHeight="1" x14ac:dyDescent="0.25">
      <c r="A198" s="4">
        <v>1187</v>
      </c>
      <c r="B198" s="5" t="s">
        <v>920</v>
      </c>
      <c r="C198" s="5" t="s">
        <v>921</v>
      </c>
      <c r="D198" s="16">
        <v>0.22989999999999999</v>
      </c>
      <c r="E198" s="16">
        <v>0.2370000000000001</v>
      </c>
      <c r="F198" s="17">
        <v>0.28570999999999991</v>
      </c>
      <c r="G198" s="18">
        <v>684.11</v>
      </c>
      <c r="H198" s="18">
        <v>268.16000000000003</v>
      </c>
      <c r="I198" s="18">
        <v>684.11</v>
      </c>
      <c r="J198" s="53">
        <v>180.33</v>
      </c>
    </row>
    <row r="199" spans="1:10" ht="17.25" customHeight="1" x14ac:dyDescent="0.25">
      <c r="A199" s="4">
        <v>1115</v>
      </c>
      <c r="B199" s="5" t="s">
        <v>835</v>
      </c>
      <c r="C199" s="5" t="s">
        <v>836</v>
      </c>
      <c r="D199" s="16">
        <v>0.26946000000000003</v>
      </c>
      <c r="E199" s="16">
        <v>0.2621</v>
      </c>
      <c r="F199" s="17">
        <v>0.30963000000000007</v>
      </c>
      <c r="G199" s="18">
        <v>672</v>
      </c>
      <c r="H199" s="18">
        <v>273.14999999999998</v>
      </c>
      <c r="I199" s="18">
        <v>672</v>
      </c>
      <c r="J199" s="53">
        <v>170.29</v>
      </c>
    </row>
    <row r="200" spans="1:10" ht="17.25" customHeight="1" x14ac:dyDescent="0.25">
      <c r="A200" s="4">
        <v>1117</v>
      </c>
      <c r="B200" s="5" t="s">
        <v>838</v>
      </c>
      <c r="C200" s="5" t="s">
        <v>839</v>
      </c>
      <c r="D200" s="16">
        <v>0.26798000000000011</v>
      </c>
      <c r="E200" s="16">
        <v>0.26292000000000004</v>
      </c>
      <c r="F200" s="17">
        <v>0.30200000000000005</v>
      </c>
      <c r="G200" s="18">
        <v>704</v>
      </c>
      <c r="H200" s="18">
        <v>289.05</v>
      </c>
      <c r="I200" s="18">
        <v>704</v>
      </c>
      <c r="J200" s="53">
        <v>172.31</v>
      </c>
    </row>
    <row r="201" spans="1:10" ht="17.25" customHeight="1" x14ac:dyDescent="0.25">
      <c r="A201" s="4">
        <v>1112</v>
      </c>
      <c r="B201" s="5" t="s">
        <v>831</v>
      </c>
      <c r="C201" s="5" t="s">
        <v>832</v>
      </c>
      <c r="D201" s="16">
        <v>0.24035000000000006</v>
      </c>
      <c r="E201" s="16">
        <v>0.25645000000000007</v>
      </c>
      <c r="F201" s="17">
        <v>0.29032999999999998</v>
      </c>
      <c r="G201" s="18">
        <v>638</v>
      </c>
      <c r="H201" s="18">
        <v>223.99</v>
      </c>
      <c r="I201" s="18">
        <v>638</v>
      </c>
      <c r="J201" s="53">
        <v>154.29</v>
      </c>
    </row>
    <row r="202" spans="1:10" ht="17.25" customHeight="1" x14ac:dyDescent="0.25">
      <c r="A202" s="4">
        <v>1110</v>
      </c>
      <c r="B202" s="5" t="s">
        <v>827</v>
      </c>
      <c r="C202" s="5" t="s">
        <v>828</v>
      </c>
      <c r="D202" s="16">
        <v>0.24089999999999989</v>
      </c>
      <c r="E202" s="16">
        <v>0.25099999999999989</v>
      </c>
      <c r="F202" s="17">
        <v>0.28570999999999991</v>
      </c>
      <c r="G202" s="18">
        <v>650.99</v>
      </c>
      <c r="H202" s="18">
        <v>248.16</v>
      </c>
      <c r="I202" s="18">
        <v>650.99</v>
      </c>
      <c r="J202" s="53">
        <v>152.28</v>
      </c>
    </row>
    <row r="203" spans="1:10" ht="17.25" customHeight="1" x14ac:dyDescent="0.25">
      <c r="A203" s="4">
        <v>1091</v>
      </c>
      <c r="B203" s="5" t="s">
        <v>732</v>
      </c>
      <c r="C203" s="5" t="s">
        <v>805</v>
      </c>
      <c r="D203" s="16">
        <v>0.23920000000000008</v>
      </c>
      <c r="E203" s="16">
        <v>0.24500000000000011</v>
      </c>
      <c r="F203" s="17">
        <v>0.28570999999999991</v>
      </c>
      <c r="G203" s="18">
        <v>643.79999999999995</v>
      </c>
      <c r="H203" s="18">
        <v>236.71</v>
      </c>
      <c r="I203" s="18">
        <v>643.79999999999995</v>
      </c>
      <c r="J203" s="53">
        <v>142.28</v>
      </c>
    </row>
    <row r="204" spans="1:10" ht="17.25" customHeight="1" x14ac:dyDescent="0.25">
      <c r="A204" s="4">
        <v>846</v>
      </c>
      <c r="B204" s="5" t="s">
        <v>633</v>
      </c>
      <c r="C204" s="5" t="s">
        <v>650</v>
      </c>
      <c r="D204" s="16">
        <v>0.24740000000000006</v>
      </c>
      <c r="E204" s="16">
        <v>0.28000000000000003</v>
      </c>
      <c r="F204" s="17">
        <v>0.28570999999999991</v>
      </c>
      <c r="G204" s="18">
        <v>567.79999999999995</v>
      </c>
      <c r="H204" s="18">
        <v>172.47</v>
      </c>
      <c r="I204" s="18">
        <v>567.79999999999995</v>
      </c>
      <c r="J204" s="53">
        <v>114.23</v>
      </c>
    </row>
    <row r="205" spans="1:10" ht="17.25" customHeight="1" x14ac:dyDescent="0.25">
      <c r="A205" s="4">
        <v>1075</v>
      </c>
      <c r="B205" s="5" t="s">
        <v>732</v>
      </c>
      <c r="C205" s="5" t="s">
        <v>789</v>
      </c>
      <c r="D205" s="16">
        <v>0.23419999999999996</v>
      </c>
      <c r="E205" s="16">
        <v>0.24199999999999999</v>
      </c>
      <c r="F205" s="17">
        <v>0.28570999999999991</v>
      </c>
      <c r="G205" s="18">
        <v>623</v>
      </c>
      <c r="H205" s="18">
        <v>219.16</v>
      </c>
      <c r="I205" s="18">
        <v>623</v>
      </c>
      <c r="J205" s="53">
        <v>142.28</v>
      </c>
    </row>
    <row r="206" spans="1:10" ht="17.25" customHeight="1" x14ac:dyDescent="0.25">
      <c r="A206" s="4">
        <v>944</v>
      </c>
      <c r="B206" s="5" t="s">
        <v>664</v>
      </c>
      <c r="C206" s="5" t="s">
        <v>671</v>
      </c>
      <c r="D206" s="16">
        <v>0.26832999999999996</v>
      </c>
      <c r="E206" s="16">
        <v>0.28394000000000008</v>
      </c>
      <c r="F206" s="17">
        <v>0.29712000000000005</v>
      </c>
      <c r="G206" s="18">
        <v>610.85</v>
      </c>
      <c r="H206" s="18">
        <v>263.26</v>
      </c>
      <c r="I206" s="18">
        <v>610.85</v>
      </c>
      <c r="J206" s="53">
        <v>128.25</v>
      </c>
    </row>
    <row r="207" spans="1:10" ht="17.25" customHeight="1" x14ac:dyDescent="0.25">
      <c r="A207" s="4">
        <v>1092</v>
      </c>
      <c r="B207" s="5" t="s">
        <v>732</v>
      </c>
      <c r="C207" s="5" t="s">
        <v>806</v>
      </c>
      <c r="D207" s="16">
        <v>0.2330000000000001</v>
      </c>
      <c r="E207" s="16">
        <v>0.24</v>
      </c>
      <c r="F207" s="17">
        <v>0.28570999999999991</v>
      </c>
      <c r="G207" s="18">
        <v>627.29999999999995</v>
      </c>
      <c r="H207" s="18">
        <v>234.41</v>
      </c>
      <c r="I207" s="18">
        <v>627.29999999999995</v>
      </c>
      <c r="J207" s="53">
        <v>142.28</v>
      </c>
    </row>
    <row r="208" spans="1:10" ht="17.25" customHeight="1" x14ac:dyDescent="0.25">
      <c r="A208" s="4">
        <v>1076</v>
      </c>
      <c r="B208" s="5" t="s">
        <v>732</v>
      </c>
      <c r="C208" s="5" t="s">
        <v>790</v>
      </c>
      <c r="D208" s="16">
        <v>0.23079999999999989</v>
      </c>
      <c r="E208" s="16">
        <v>0.2410000000000001</v>
      </c>
      <c r="F208" s="17">
        <v>0.28570999999999991</v>
      </c>
      <c r="G208" s="18">
        <v>620.4</v>
      </c>
      <c r="H208" s="18">
        <v>219.16</v>
      </c>
      <c r="I208" s="18">
        <v>620.4</v>
      </c>
      <c r="J208" s="53">
        <v>142.28</v>
      </c>
    </row>
    <row r="209" spans="1:10" ht="17.25" customHeight="1" x14ac:dyDescent="0.25">
      <c r="A209" s="4">
        <v>945</v>
      </c>
      <c r="B209" s="5" t="s">
        <v>664</v>
      </c>
      <c r="C209" s="5" t="s">
        <v>672</v>
      </c>
      <c r="D209" s="16">
        <v>0.26174999999999993</v>
      </c>
      <c r="E209" s="16">
        <v>0.28166000000000002</v>
      </c>
      <c r="F209" s="17">
        <v>0.29200999999999988</v>
      </c>
      <c r="G209" s="18">
        <v>592.15</v>
      </c>
      <c r="H209" s="18">
        <v>152.06</v>
      </c>
      <c r="I209" s="18">
        <v>592.15</v>
      </c>
      <c r="J209" s="53">
        <v>128.25</v>
      </c>
    </row>
    <row r="210" spans="1:10" ht="17.25" customHeight="1" x14ac:dyDescent="0.25">
      <c r="A210" s="4">
        <v>1077</v>
      </c>
      <c r="B210" s="5" t="s">
        <v>732</v>
      </c>
      <c r="C210" s="5" t="s">
        <v>791</v>
      </c>
      <c r="D210" s="16">
        <v>0.23069999999999991</v>
      </c>
      <c r="E210" s="16">
        <v>0.24500000000000011</v>
      </c>
      <c r="F210" s="17">
        <v>0.28570999999999991</v>
      </c>
      <c r="G210" s="18">
        <v>601.29999999999995</v>
      </c>
      <c r="H210" s="18">
        <v>219.16</v>
      </c>
      <c r="I210" s="18">
        <v>601.29999999999995</v>
      </c>
      <c r="J210" s="53">
        <v>142.28</v>
      </c>
    </row>
    <row r="211" spans="1:10" ht="17.25" customHeight="1" x14ac:dyDescent="0.25">
      <c r="A211" s="4">
        <v>750</v>
      </c>
      <c r="B211" s="5" t="s">
        <v>1724</v>
      </c>
      <c r="C211" s="5" t="s">
        <v>1732</v>
      </c>
      <c r="D211" s="16">
        <v>0.24943000000000004</v>
      </c>
      <c r="E211" s="16">
        <v>0.27919999999999989</v>
      </c>
      <c r="F211" s="17">
        <v>0.28000000000000003</v>
      </c>
      <c r="G211" s="18">
        <v>531.16999999999996</v>
      </c>
      <c r="H211" s="18">
        <v>248.57</v>
      </c>
      <c r="I211" s="18">
        <v>531.16999999999996</v>
      </c>
      <c r="J211" s="53">
        <v>100.2</v>
      </c>
    </row>
    <row r="212" spans="1:10" ht="17.25" customHeight="1" x14ac:dyDescent="0.25">
      <c r="A212" s="4">
        <v>1047</v>
      </c>
      <c r="B212" s="5" t="s">
        <v>732</v>
      </c>
      <c r="C212" s="5" t="s">
        <v>761</v>
      </c>
      <c r="D212" s="16">
        <v>0.23019999999999996</v>
      </c>
      <c r="E212" s="16">
        <v>0.24399999999999999</v>
      </c>
      <c r="F212" s="17">
        <v>0.28570999999999991</v>
      </c>
      <c r="G212" s="18">
        <v>611.70000000000005</v>
      </c>
      <c r="H212" s="18">
        <v>219.16</v>
      </c>
      <c r="I212" s="18">
        <v>611.70000000000005</v>
      </c>
      <c r="J212" s="53">
        <v>142.28</v>
      </c>
    </row>
    <row r="213" spans="1:10" ht="17.25" customHeight="1" x14ac:dyDescent="0.25">
      <c r="A213" s="4">
        <v>933</v>
      </c>
      <c r="B213" s="5" t="s">
        <v>664</v>
      </c>
      <c r="C213" s="5" t="s">
        <v>1836</v>
      </c>
      <c r="D213" s="16">
        <v>0.23659999999999992</v>
      </c>
      <c r="E213" s="16">
        <v>0.254</v>
      </c>
      <c r="F213" s="17">
        <v>0.28570999999999991</v>
      </c>
      <c r="G213" s="18">
        <v>588</v>
      </c>
      <c r="H213" s="18">
        <v>153.16</v>
      </c>
      <c r="I213" s="18">
        <v>588</v>
      </c>
      <c r="J213" s="53">
        <v>128.25</v>
      </c>
    </row>
    <row r="214" spans="1:10" ht="17.25" customHeight="1" x14ac:dyDescent="0.25">
      <c r="A214" s="4">
        <v>842</v>
      </c>
      <c r="B214" s="5" t="s">
        <v>633</v>
      </c>
      <c r="C214" s="5" t="s">
        <v>646</v>
      </c>
      <c r="D214" s="16">
        <v>0.26063999999999998</v>
      </c>
      <c r="E214" s="16">
        <v>0.29071000000000002</v>
      </c>
      <c r="F214" s="17">
        <v>0.27340000000000009</v>
      </c>
      <c r="G214" s="18">
        <v>563.5</v>
      </c>
      <c r="H214" s="18">
        <v>160.88999999999999</v>
      </c>
      <c r="I214" s="18">
        <v>563.5</v>
      </c>
      <c r="J214" s="53">
        <v>114.23</v>
      </c>
    </row>
    <row r="215" spans="1:10" ht="17.25" customHeight="1" x14ac:dyDescent="0.25">
      <c r="A215" s="4">
        <v>1078</v>
      </c>
      <c r="B215" s="5" t="s">
        <v>732</v>
      </c>
      <c r="C215" s="5" t="s">
        <v>792</v>
      </c>
      <c r="D215" s="16">
        <v>0.22609999999999997</v>
      </c>
      <c r="E215" s="16">
        <v>0.2370000000000001</v>
      </c>
      <c r="F215" s="17">
        <v>0.28570999999999991</v>
      </c>
      <c r="G215" s="18">
        <v>610.20000000000005</v>
      </c>
      <c r="H215" s="18">
        <v>219.16</v>
      </c>
      <c r="I215" s="18">
        <v>610.20000000000005</v>
      </c>
      <c r="J215" s="53">
        <v>142.28</v>
      </c>
    </row>
    <row r="216" spans="1:10" ht="17.25" customHeight="1" x14ac:dyDescent="0.25">
      <c r="A216" s="4">
        <v>946</v>
      </c>
      <c r="B216" s="5" t="s">
        <v>664</v>
      </c>
      <c r="C216" s="5" t="s">
        <v>673</v>
      </c>
      <c r="D216" s="16">
        <v>0.25448000000000004</v>
      </c>
      <c r="E216" s="16">
        <v>0.27885000000000004</v>
      </c>
      <c r="F216" s="17">
        <v>0.28631000000000006</v>
      </c>
      <c r="G216" s="18">
        <v>571.35</v>
      </c>
      <c r="H216" s="18">
        <v>206.95</v>
      </c>
      <c r="I216" s="18">
        <v>571.35</v>
      </c>
      <c r="J216" s="53">
        <v>128.25</v>
      </c>
    </row>
    <row r="217" spans="1:10" ht="17.25" customHeight="1" x14ac:dyDescent="0.25">
      <c r="A217" s="4">
        <v>1079</v>
      </c>
      <c r="B217" s="5" t="s">
        <v>732</v>
      </c>
      <c r="C217" s="5" t="s">
        <v>793</v>
      </c>
      <c r="D217" s="16">
        <v>0.22889999999999988</v>
      </c>
      <c r="E217" s="16">
        <v>0.24299999999999988</v>
      </c>
      <c r="F217" s="17">
        <v>0.28570999999999991</v>
      </c>
      <c r="G217" s="18">
        <v>598.5</v>
      </c>
      <c r="H217" s="18">
        <v>219.16</v>
      </c>
      <c r="I217" s="18">
        <v>598.5</v>
      </c>
      <c r="J217" s="53">
        <v>142.28</v>
      </c>
    </row>
    <row r="218" spans="1:10" ht="17.25" customHeight="1" x14ac:dyDescent="0.25">
      <c r="A218" s="4">
        <v>1048</v>
      </c>
      <c r="B218" s="5" t="s">
        <v>732</v>
      </c>
      <c r="C218" s="5" t="s">
        <v>762</v>
      </c>
      <c r="D218" s="16">
        <v>0.22619999999999996</v>
      </c>
      <c r="E218" s="16">
        <v>0.24199999999999999</v>
      </c>
      <c r="F218" s="17">
        <v>0.28570999999999991</v>
      </c>
      <c r="G218" s="18">
        <v>594.5</v>
      </c>
      <c r="H218" s="18">
        <v>219.16</v>
      </c>
      <c r="I218" s="18">
        <v>594.5</v>
      </c>
      <c r="J218" s="53">
        <v>142.28</v>
      </c>
    </row>
    <row r="219" spans="1:10" ht="17.25" customHeight="1" x14ac:dyDescent="0.25">
      <c r="A219" s="4">
        <v>934</v>
      </c>
      <c r="B219" s="5" t="s">
        <v>664</v>
      </c>
      <c r="C219" s="5" t="s">
        <v>1837</v>
      </c>
      <c r="D219" s="16">
        <v>0.23380000000000001</v>
      </c>
      <c r="E219" s="16">
        <v>0.25300000000000011</v>
      </c>
      <c r="F219" s="17">
        <v>0.28570999999999991</v>
      </c>
      <c r="G219" s="18">
        <v>573.5</v>
      </c>
      <c r="H219" s="18">
        <v>153</v>
      </c>
      <c r="I219" s="18">
        <v>573.5</v>
      </c>
      <c r="J219" s="53">
        <v>128.25</v>
      </c>
    </row>
    <row r="220" spans="1:10" ht="17.25" customHeight="1" x14ac:dyDescent="0.25">
      <c r="A220" s="4">
        <v>843</v>
      </c>
      <c r="B220" s="5" t="s">
        <v>633</v>
      </c>
      <c r="C220" s="5" t="s">
        <v>647</v>
      </c>
      <c r="D220" s="16">
        <v>0.24563000000000001</v>
      </c>
      <c r="E220" s="16">
        <v>0.27373000000000003</v>
      </c>
      <c r="F220" s="17">
        <v>0.28459999999999996</v>
      </c>
      <c r="G220" s="18">
        <v>543.96</v>
      </c>
      <c r="H220" s="18">
        <v>165.78</v>
      </c>
      <c r="I220" s="18">
        <v>543.96</v>
      </c>
      <c r="J220" s="53">
        <v>114.23</v>
      </c>
    </row>
    <row r="221" spans="1:10" ht="17.25" customHeight="1" x14ac:dyDescent="0.25">
      <c r="A221" s="4">
        <v>1080</v>
      </c>
      <c r="B221" s="5" t="s">
        <v>732</v>
      </c>
      <c r="C221" s="5" t="s">
        <v>794</v>
      </c>
      <c r="D221" s="16">
        <v>0.23560000000000003</v>
      </c>
      <c r="E221" s="16">
        <v>0.25600000000000001</v>
      </c>
      <c r="F221" s="17">
        <v>0.28570999999999991</v>
      </c>
      <c r="G221" s="18">
        <v>581.4</v>
      </c>
      <c r="H221" s="18">
        <v>260.56</v>
      </c>
      <c r="I221" s="18">
        <v>581.4</v>
      </c>
      <c r="J221" s="53">
        <v>142.28</v>
      </c>
    </row>
    <row r="222" spans="1:10" ht="17.25" customHeight="1" x14ac:dyDescent="0.25">
      <c r="A222" s="4">
        <v>1049</v>
      </c>
      <c r="B222" s="5" t="s">
        <v>732</v>
      </c>
      <c r="C222" s="5" t="s">
        <v>763</v>
      </c>
      <c r="D222" s="16">
        <v>0.22750000000000004</v>
      </c>
      <c r="E222" s="16">
        <v>0.24399999999999999</v>
      </c>
      <c r="F222" s="17">
        <v>0.28570999999999991</v>
      </c>
      <c r="G222" s="18">
        <v>598</v>
      </c>
      <c r="H222" s="18">
        <v>219.16</v>
      </c>
      <c r="I222" s="18">
        <v>598</v>
      </c>
      <c r="J222" s="53">
        <v>142.28</v>
      </c>
    </row>
    <row r="223" spans="1:10" ht="17.25" customHeight="1" x14ac:dyDescent="0.25">
      <c r="A223" s="6">
        <v>948</v>
      </c>
      <c r="B223" s="5" t="s">
        <v>664</v>
      </c>
      <c r="C223" s="5" t="s">
        <v>675</v>
      </c>
      <c r="D223" s="16">
        <v>0.24536000000000002</v>
      </c>
      <c r="E223" s="16">
        <v>0.26753000000000005</v>
      </c>
      <c r="F223" s="17">
        <v>0.29539999999999988</v>
      </c>
      <c r="G223" s="18">
        <v>568.04999999999995</v>
      </c>
      <c r="H223" s="18">
        <v>167.39</v>
      </c>
      <c r="I223" s="18">
        <v>568.04999999999995</v>
      </c>
      <c r="J223" s="53">
        <v>128.25</v>
      </c>
    </row>
    <row r="224" spans="1:10" ht="17.25" customHeight="1" x14ac:dyDescent="0.25">
      <c r="A224" s="4">
        <v>1050</v>
      </c>
      <c r="B224" s="5" t="s">
        <v>732</v>
      </c>
      <c r="C224" s="5" t="s">
        <v>764</v>
      </c>
      <c r="D224" s="16">
        <v>0.22900000000000009</v>
      </c>
      <c r="E224" s="16">
        <v>0.24699999999999989</v>
      </c>
      <c r="F224" s="17">
        <v>0.28570999999999991</v>
      </c>
      <c r="G224" s="18">
        <v>593.4</v>
      </c>
      <c r="H224" s="18">
        <v>219.16</v>
      </c>
      <c r="I224" s="18">
        <v>593.4</v>
      </c>
      <c r="J224" s="53">
        <v>142.28</v>
      </c>
    </row>
    <row r="225" spans="1:10" ht="17.25" customHeight="1" x14ac:dyDescent="0.25">
      <c r="A225" s="4">
        <v>179</v>
      </c>
      <c r="B225" s="5" t="s">
        <v>37</v>
      </c>
      <c r="C225" s="5" t="s">
        <v>41</v>
      </c>
      <c r="D225" s="16">
        <v>0.38629999999999987</v>
      </c>
      <c r="E225" s="16">
        <v>0.26600000000000001</v>
      </c>
      <c r="F225" s="17">
        <v>0.28570999999999991</v>
      </c>
      <c r="G225" s="18">
        <v>539.46</v>
      </c>
      <c r="H225" s="18">
        <v>239.36</v>
      </c>
      <c r="I225" s="18">
        <v>539.46</v>
      </c>
      <c r="J225" s="53">
        <v>112.99</v>
      </c>
    </row>
    <row r="226" spans="1:10" ht="17.25" customHeight="1" x14ac:dyDescent="0.25">
      <c r="A226" s="4">
        <v>441</v>
      </c>
      <c r="B226" s="5" t="s">
        <v>348</v>
      </c>
      <c r="C226" s="5" t="s">
        <v>349</v>
      </c>
      <c r="D226" s="16">
        <v>0.27001000000000008</v>
      </c>
      <c r="E226" s="16">
        <v>0.27700000000000014</v>
      </c>
      <c r="F226" s="17">
        <v>0.28570999999999991</v>
      </c>
      <c r="G226" s="18">
        <v>550</v>
      </c>
      <c r="H226" s="18">
        <v>327.14999999999998</v>
      </c>
      <c r="I226" s="18">
        <v>550</v>
      </c>
      <c r="J226" s="53">
        <v>88.15</v>
      </c>
    </row>
    <row r="227" spans="1:10" ht="17.25" customHeight="1" x14ac:dyDescent="0.25">
      <c r="A227" s="4">
        <v>916</v>
      </c>
      <c r="B227" s="5" t="s">
        <v>664</v>
      </c>
      <c r="C227" s="5" t="s">
        <v>1819</v>
      </c>
      <c r="D227" s="16">
        <v>0.24980000000000002</v>
      </c>
      <c r="E227" s="16">
        <v>0.26899000000000006</v>
      </c>
      <c r="F227" s="17">
        <v>0.28570999999999991</v>
      </c>
      <c r="G227" s="18">
        <v>590</v>
      </c>
      <c r="H227" s="18">
        <v>173.68</v>
      </c>
      <c r="I227" s="18">
        <v>590</v>
      </c>
      <c r="J227" s="53">
        <v>128.25</v>
      </c>
    </row>
    <row r="228" spans="1:10" ht="17.25" customHeight="1" x14ac:dyDescent="0.25">
      <c r="A228" s="4">
        <v>596</v>
      </c>
      <c r="B228" s="5" t="s">
        <v>489</v>
      </c>
      <c r="C228" s="5" t="s">
        <v>490</v>
      </c>
      <c r="D228" s="16">
        <v>0.24015999999999993</v>
      </c>
      <c r="E228" s="16">
        <v>0.27669999999999995</v>
      </c>
      <c r="F228" s="17">
        <v>0.27990000000000004</v>
      </c>
      <c r="G228" s="18">
        <v>488.78</v>
      </c>
      <c r="H228" s="18">
        <v>174.28</v>
      </c>
      <c r="I228" s="18">
        <v>488.78</v>
      </c>
      <c r="J228" s="53">
        <v>86.17</v>
      </c>
    </row>
    <row r="229" spans="1:10" ht="17.25" customHeight="1" x14ac:dyDescent="0.25">
      <c r="A229" s="4">
        <v>919</v>
      </c>
      <c r="B229" s="5" t="s">
        <v>664</v>
      </c>
      <c r="C229" s="5" t="s">
        <v>1822</v>
      </c>
      <c r="D229" s="16">
        <v>0.24712000000000001</v>
      </c>
      <c r="E229" s="16">
        <v>0.27228999999999992</v>
      </c>
      <c r="F229" s="17">
        <v>0.29376000000000002</v>
      </c>
      <c r="G229" s="18">
        <v>576.79999999999995</v>
      </c>
      <c r="H229" s="18">
        <v>160.15</v>
      </c>
      <c r="I229" s="18">
        <v>576.79999999999995</v>
      </c>
      <c r="J229" s="53">
        <v>128.25</v>
      </c>
    </row>
    <row r="230" spans="1:10" ht="17.25" customHeight="1" x14ac:dyDescent="0.25">
      <c r="A230" s="4">
        <v>829</v>
      </c>
      <c r="B230" s="5" t="s">
        <v>633</v>
      </c>
      <c r="C230" s="5" t="s">
        <v>634</v>
      </c>
      <c r="D230" s="16">
        <v>0.23673000000000011</v>
      </c>
      <c r="E230" s="16">
        <v>0.26385999999999998</v>
      </c>
      <c r="F230" s="17">
        <v>0.2777400000000001</v>
      </c>
      <c r="G230" s="18">
        <v>549.79999999999995</v>
      </c>
      <c r="H230" s="18">
        <v>151.97</v>
      </c>
      <c r="I230" s="18">
        <v>549.79999999999995</v>
      </c>
      <c r="J230" s="53">
        <v>114.23</v>
      </c>
    </row>
    <row r="231" spans="1:10" ht="17.25" customHeight="1" x14ac:dyDescent="0.25">
      <c r="A231" s="4">
        <v>1025</v>
      </c>
      <c r="B231" s="5" t="s">
        <v>732</v>
      </c>
      <c r="C231" s="5" t="s">
        <v>739</v>
      </c>
      <c r="D231" s="16">
        <v>0.24787999999999988</v>
      </c>
      <c r="E231" s="16">
        <v>0.27137000000000011</v>
      </c>
      <c r="F231" s="17">
        <v>0.29313999999999996</v>
      </c>
      <c r="G231" s="18">
        <v>602</v>
      </c>
      <c r="H231" s="18">
        <v>225</v>
      </c>
      <c r="I231" s="18">
        <v>602</v>
      </c>
      <c r="J231" s="53">
        <v>142.28</v>
      </c>
    </row>
    <row r="232" spans="1:10" ht="17.25" customHeight="1" x14ac:dyDescent="0.25">
      <c r="A232" s="4">
        <v>742</v>
      </c>
      <c r="B232" s="5" t="s">
        <v>1724</v>
      </c>
      <c r="C232" s="5" t="s">
        <v>1725</v>
      </c>
      <c r="D232" s="16">
        <v>0.24513000000000007</v>
      </c>
      <c r="E232" s="16">
        <v>0.27669999999999995</v>
      </c>
      <c r="F232" s="17">
        <v>0.28299999999999992</v>
      </c>
      <c r="G232" s="18">
        <v>520.5</v>
      </c>
      <c r="H232" s="18">
        <v>149.34</v>
      </c>
      <c r="I232" s="18">
        <v>520.5</v>
      </c>
      <c r="J232" s="53">
        <v>100.2</v>
      </c>
    </row>
    <row r="233" spans="1:10" ht="17.25" customHeight="1" x14ac:dyDescent="0.25">
      <c r="A233" s="4">
        <v>1081</v>
      </c>
      <c r="B233" s="5" t="s">
        <v>732</v>
      </c>
      <c r="C233" s="5" t="s">
        <v>795</v>
      </c>
      <c r="D233" s="16">
        <v>0.23449999999999993</v>
      </c>
      <c r="E233" s="16">
        <v>0.24199999999999999</v>
      </c>
      <c r="F233" s="17">
        <v>0.28570999999999991</v>
      </c>
      <c r="G233" s="18">
        <v>633.1</v>
      </c>
      <c r="H233" s="18">
        <v>260.56</v>
      </c>
      <c r="I233" s="18">
        <v>633.1</v>
      </c>
      <c r="J233" s="53">
        <v>142.28</v>
      </c>
    </row>
    <row r="234" spans="1:10" ht="17.25" customHeight="1" x14ac:dyDescent="0.25">
      <c r="A234" s="4">
        <v>947</v>
      </c>
      <c r="B234" s="5" t="s">
        <v>664</v>
      </c>
      <c r="C234" s="5" t="s">
        <v>674</v>
      </c>
      <c r="D234" s="16">
        <v>0.23689999999999989</v>
      </c>
      <c r="E234" s="16">
        <v>0.25099999999999989</v>
      </c>
      <c r="F234" s="17">
        <v>0.28570999999999991</v>
      </c>
      <c r="G234" s="18">
        <v>592.6</v>
      </c>
      <c r="H234" s="18">
        <v>152</v>
      </c>
      <c r="I234" s="18">
        <v>592.6</v>
      </c>
      <c r="J234" s="53">
        <v>128.25</v>
      </c>
    </row>
    <row r="235" spans="1:10" ht="17.25" customHeight="1" x14ac:dyDescent="0.25">
      <c r="A235" s="4">
        <v>1082</v>
      </c>
      <c r="B235" s="5" t="s">
        <v>732</v>
      </c>
      <c r="C235" s="5" t="s">
        <v>796</v>
      </c>
      <c r="D235" s="16">
        <v>0.23160000000000003</v>
      </c>
      <c r="E235" s="16">
        <v>0.24299999999999988</v>
      </c>
      <c r="F235" s="17">
        <v>0.28570999999999991</v>
      </c>
      <c r="G235" s="18">
        <v>610.1</v>
      </c>
      <c r="H235" s="18">
        <v>260.56</v>
      </c>
      <c r="I235" s="18">
        <v>610.1</v>
      </c>
      <c r="J235" s="53">
        <v>142.28</v>
      </c>
    </row>
    <row r="236" spans="1:10" ht="17.25" customHeight="1" x14ac:dyDescent="0.25">
      <c r="A236" s="4">
        <v>721</v>
      </c>
      <c r="B236" s="5" t="s">
        <v>1698</v>
      </c>
      <c r="C236" s="5" t="s">
        <v>1709</v>
      </c>
      <c r="D236" s="16">
        <v>0.25770999999999988</v>
      </c>
      <c r="E236" s="16">
        <v>0.27903000000000011</v>
      </c>
      <c r="F236" s="17">
        <v>0.29600000000000004</v>
      </c>
      <c r="G236" s="18">
        <v>531</v>
      </c>
      <c r="H236" s="18">
        <v>163.30000000000001</v>
      </c>
      <c r="I236" s="18">
        <v>531</v>
      </c>
      <c r="J236" s="53">
        <v>98.19</v>
      </c>
    </row>
    <row r="237" spans="1:10" ht="17.25" customHeight="1" x14ac:dyDescent="0.25">
      <c r="A237" s="4">
        <v>1051</v>
      </c>
      <c r="B237" s="5" t="s">
        <v>732</v>
      </c>
      <c r="C237" s="5" t="s">
        <v>765</v>
      </c>
      <c r="D237" s="16">
        <v>0.23079999999999989</v>
      </c>
      <c r="E237" s="16">
        <v>0.24299999999999988</v>
      </c>
      <c r="F237" s="17">
        <v>0.28570999999999991</v>
      </c>
      <c r="G237" s="18">
        <v>617.5</v>
      </c>
      <c r="H237" s="18">
        <v>219.16</v>
      </c>
      <c r="I237" s="18">
        <v>617.5</v>
      </c>
      <c r="J237" s="53">
        <v>142.28</v>
      </c>
    </row>
    <row r="238" spans="1:10" ht="17.25" customHeight="1" x14ac:dyDescent="0.25">
      <c r="A238" s="4">
        <v>935</v>
      </c>
      <c r="B238" s="5" t="s">
        <v>664</v>
      </c>
      <c r="C238" s="5" t="s">
        <v>1838</v>
      </c>
      <c r="D238" s="16">
        <v>0.2379</v>
      </c>
      <c r="E238" s="16">
        <v>0.25300000000000011</v>
      </c>
      <c r="F238" s="17">
        <v>0.28570999999999991</v>
      </c>
      <c r="G238" s="18">
        <v>596</v>
      </c>
      <c r="H238" s="18">
        <v>156.36000000000001</v>
      </c>
      <c r="I238" s="18">
        <v>596</v>
      </c>
      <c r="J238" s="53">
        <v>128.25</v>
      </c>
    </row>
    <row r="239" spans="1:10" ht="17.25" customHeight="1" x14ac:dyDescent="0.25">
      <c r="A239" s="4">
        <v>844</v>
      </c>
      <c r="B239" s="5" t="s">
        <v>633</v>
      </c>
      <c r="C239" s="5" t="s">
        <v>648</v>
      </c>
      <c r="D239" s="16">
        <v>0.25089000000000006</v>
      </c>
      <c r="E239" s="16">
        <v>0.27445999999999993</v>
      </c>
      <c r="F239" s="17">
        <v>0.27410000000000001</v>
      </c>
      <c r="G239" s="18">
        <v>573.5</v>
      </c>
      <c r="H239" s="18">
        <v>172.22</v>
      </c>
      <c r="I239" s="18">
        <v>573.5</v>
      </c>
      <c r="J239" s="53">
        <v>114.23</v>
      </c>
    </row>
    <row r="240" spans="1:10" ht="17.25" customHeight="1" x14ac:dyDescent="0.25">
      <c r="A240" s="4">
        <v>1083</v>
      </c>
      <c r="B240" s="5" t="s">
        <v>732</v>
      </c>
      <c r="C240" s="5" t="s">
        <v>797</v>
      </c>
      <c r="D240" s="16">
        <v>0.23849999999999993</v>
      </c>
      <c r="E240" s="16">
        <v>0.2410000000000001</v>
      </c>
      <c r="F240" s="17">
        <v>0.28570999999999991</v>
      </c>
      <c r="G240" s="18">
        <v>626.6</v>
      </c>
      <c r="H240" s="18">
        <v>260.56</v>
      </c>
      <c r="I240" s="18">
        <v>626.6</v>
      </c>
      <c r="J240" s="53">
        <v>142.28</v>
      </c>
    </row>
    <row r="241" spans="1:10" ht="17.25" customHeight="1" x14ac:dyDescent="0.25">
      <c r="A241" s="4">
        <v>1084</v>
      </c>
      <c r="B241" s="5" t="s">
        <v>732</v>
      </c>
      <c r="C241" s="5" t="s">
        <v>798</v>
      </c>
      <c r="D241" s="16">
        <v>0.23150000000000004</v>
      </c>
      <c r="E241" s="16">
        <v>0.24299999999999988</v>
      </c>
      <c r="F241" s="17">
        <v>0.28570999999999991</v>
      </c>
      <c r="G241" s="18">
        <v>613.20000000000005</v>
      </c>
      <c r="H241" s="18">
        <v>260.56</v>
      </c>
      <c r="I241" s="18">
        <v>613.20000000000005</v>
      </c>
      <c r="J241" s="53">
        <v>142.28</v>
      </c>
    </row>
    <row r="242" spans="1:10" ht="17.25" customHeight="1" x14ac:dyDescent="0.25">
      <c r="A242" s="4">
        <v>1052</v>
      </c>
      <c r="B242" s="5" t="s">
        <v>732</v>
      </c>
      <c r="C242" s="5" t="s">
        <v>766</v>
      </c>
      <c r="D242" s="16">
        <v>0.22960000000000003</v>
      </c>
      <c r="E242" s="16">
        <v>0.2410000000000001</v>
      </c>
      <c r="F242" s="17">
        <v>0.28570999999999991</v>
      </c>
      <c r="G242" s="18">
        <v>613.70000000000005</v>
      </c>
      <c r="H242" s="18">
        <v>219.16</v>
      </c>
      <c r="I242" s="18">
        <v>613.70000000000005</v>
      </c>
      <c r="J242" s="53">
        <v>142.28</v>
      </c>
    </row>
    <row r="243" spans="1:10" ht="17.25" customHeight="1" x14ac:dyDescent="0.25">
      <c r="A243" s="4">
        <v>936</v>
      </c>
      <c r="B243" s="5" t="s">
        <v>664</v>
      </c>
      <c r="C243" s="5" t="s">
        <v>1839</v>
      </c>
      <c r="D243" s="16">
        <v>0.23760000000000003</v>
      </c>
      <c r="E243" s="16">
        <v>0.252</v>
      </c>
      <c r="F243" s="17">
        <v>0.28570999999999991</v>
      </c>
      <c r="G243" s="18">
        <v>594.5</v>
      </c>
      <c r="H243" s="18">
        <v>156.36000000000001</v>
      </c>
      <c r="I243" s="18">
        <v>594.5</v>
      </c>
      <c r="J243" s="53">
        <v>128.25</v>
      </c>
    </row>
    <row r="244" spans="1:10" ht="17.25" customHeight="1" x14ac:dyDescent="0.25">
      <c r="A244" s="4">
        <v>845</v>
      </c>
      <c r="B244" s="5" t="s">
        <v>633</v>
      </c>
      <c r="C244" s="5" t="s">
        <v>649</v>
      </c>
      <c r="D244" s="16">
        <v>0.2430699999999999</v>
      </c>
      <c r="E244" s="16">
        <v>0.26794000000000007</v>
      </c>
      <c r="F244" s="17">
        <v>0.26473999999999998</v>
      </c>
      <c r="G244" s="18">
        <v>566.29999999999995</v>
      </c>
      <c r="H244" s="18">
        <v>163.95</v>
      </c>
      <c r="I244" s="18">
        <v>566.29999999999995</v>
      </c>
      <c r="J244" s="53">
        <v>114.23</v>
      </c>
    </row>
    <row r="245" spans="1:10" ht="17.25" customHeight="1" x14ac:dyDescent="0.25">
      <c r="A245" s="4">
        <v>1053</v>
      </c>
      <c r="B245" s="5" t="s">
        <v>732</v>
      </c>
      <c r="C245" s="5" t="s">
        <v>767</v>
      </c>
      <c r="D245" s="16">
        <v>0.2278</v>
      </c>
      <c r="E245" s="16">
        <v>0.24</v>
      </c>
      <c r="F245" s="17">
        <v>0.28570999999999991</v>
      </c>
      <c r="G245" s="18">
        <v>612.79999999999995</v>
      </c>
      <c r="H245" s="18">
        <v>219.16</v>
      </c>
      <c r="I245" s="18">
        <v>612.79999999999995</v>
      </c>
      <c r="J245" s="53">
        <v>142.28</v>
      </c>
    </row>
    <row r="246" spans="1:10" ht="17.25" customHeight="1" x14ac:dyDescent="0.25">
      <c r="A246" s="4">
        <v>937</v>
      </c>
      <c r="B246" s="5" t="s">
        <v>664</v>
      </c>
      <c r="C246" s="5" t="s">
        <v>665</v>
      </c>
      <c r="D246" s="16">
        <v>0.23550000000000004</v>
      </c>
      <c r="E246" s="16">
        <v>0.254</v>
      </c>
      <c r="F246" s="17">
        <v>0.28570999999999991</v>
      </c>
      <c r="G246" s="18">
        <v>579.20000000000005</v>
      </c>
      <c r="H246" s="18">
        <v>145.36000000000001</v>
      </c>
      <c r="I246" s="18">
        <v>579.20000000000005</v>
      </c>
      <c r="J246" s="53">
        <v>128.25</v>
      </c>
    </row>
    <row r="247" spans="1:10" ht="17.25" customHeight="1" x14ac:dyDescent="0.25">
      <c r="A247" s="4">
        <v>1054</v>
      </c>
      <c r="B247" s="5" t="s">
        <v>732</v>
      </c>
      <c r="C247" s="5" t="s">
        <v>768</v>
      </c>
      <c r="D247" s="16">
        <v>0.22880000000000011</v>
      </c>
      <c r="E247" s="16">
        <v>0.24399999999999999</v>
      </c>
      <c r="F247" s="17">
        <v>0.28570999999999991</v>
      </c>
      <c r="G247" s="18">
        <v>604.1</v>
      </c>
      <c r="H247" s="18">
        <v>219.16</v>
      </c>
      <c r="I247" s="18">
        <v>604.1</v>
      </c>
      <c r="J247" s="53">
        <v>142.28</v>
      </c>
    </row>
    <row r="248" spans="1:10" ht="17.25" customHeight="1" x14ac:dyDescent="0.25">
      <c r="A248" s="4">
        <v>333</v>
      </c>
      <c r="B248" s="5" t="s">
        <v>216</v>
      </c>
      <c r="C248" s="5" t="s">
        <v>219</v>
      </c>
      <c r="D248" s="16">
        <v>0.33718000000000004</v>
      </c>
      <c r="E248" s="16">
        <v>0.26990000000000003</v>
      </c>
      <c r="F248" s="17">
        <v>0.28600000000000003</v>
      </c>
      <c r="G248" s="18">
        <v>611</v>
      </c>
      <c r="H248" s="18">
        <v>280.75</v>
      </c>
      <c r="I248" s="18">
        <v>611</v>
      </c>
      <c r="J248" s="53">
        <v>90.12</v>
      </c>
    </row>
    <row r="249" spans="1:10" ht="17.25" customHeight="1" x14ac:dyDescent="0.25">
      <c r="A249" s="4">
        <v>410</v>
      </c>
      <c r="B249" s="5" t="s">
        <v>311</v>
      </c>
      <c r="C249" s="5" t="s">
        <v>312</v>
      </c>
      <c r="D249" s="16">
        <v>0.54420000000000002</v>
      </c>
      <c r="E249" s="16">
        <v>0.32400000000000007</v>
      </c>
      <c r="F249" s="17">
        <v>0.28570999999999991</v>
      </c>
      <c r="G249" s="18">
        <v>668.37</v>
      </c>
      <c r="H249" s="18">
        <v>288</v>
      </c>
      <c r="I249" s="18">
        <v>668.37</v>
      </c>
      <c r="J249" s="53">
        <v>229.94</v>
      </c>
    </row>
    <row r="250" spans="1:10" ht="17.25" customHeight="1" x14ac:dyDescent="0.25">
      <c r="A250" s="4">
        <v>291</v>
      </c>
      <c r="B250" s="5" t="s">
        <v>172</v>
      </c>
      <c r="C250" s="5" t="s">
        <v>174</v>
      </c>
      <c r="D250" s="16">
        <v>0.6875</v>
      </c>
      <c r="E250" s="16">
        <v>0.32400000000000007</v>
      </c>
      <c r="F250" s="17">
        <v>0.28570999999999991</v>
      </c>
      <c r="G250" s="18">
        <v>656.96</v>
      </c>
      <c r="H250" s="18">
        <v>238.66</v>
      </c>
      <c r="I250" s="18">
        <v>656.96</v>
      </c>
      <c r="J250" s="53">
        <v>215.91</v>
      </c>
    </row>
    <row r="251" spans="1:10" ht="17.25" customHeight="1" x14ac:dyDescent="0.25">
      <c r="A251" s="4">
        <v>152</v>
      </c>
      <c r="B251" s="5" t="s">
        <v>1692</v>
      </c>
      <c r="C251" s="5" t="s">
        <v>1693</v>
      </c>
      <c r="D251" s="16">
        <v>0.40061999999999998</v>
      </c>
      <c r="E251" s="16">
        <v>0.25367000000000006</v>
      </c>
      <c r="F251" s="17">
        <v>0.30630000000000002</v>
      </c>
      <c r="G251" s="18">
        <v>577</v>
      </c>
      <c r="H251" s="18">
        <v>191.5</v>
      </c>
      <c r="I251" s="18">
        <v>577</v>
      </c>
      <c r="J251" s="53">
        <v>110.97</v>
      </c>
    </row>
    <row r="252" spans="1:10" ht="17.25" customHeight="1" x14ac:dyDescent="0.25">
      <c r="A252" s="4">
        <v>529</v>
      </c>
      <c r="B252" s="5" t="s">
        <v>426</v>
      </c>
      <c r="C252" s="5" t="s">
        <v>431</v>
      </c>
      <c r="D252" s="16">
        <v>0.2599800000000001</v>
      </c>
      <c r="E252" s="16">
        <v>0.27194000000000007</v>
      </c>
      <c r="F252" s="17">
        <v>0.28899999999999992</v>
      </c>
      <c r="G252" s="18">
        <v>526</v>
      </c>
      <c r="H252" s="18">
        <v>197.15</v>
      </c>
      <c r="I252" s="18">
        <v>526</v>
      </c>
      <c r="J252" s="53">
        <v>82.14</v>
      </c>
    </row>
    <row r="253" spans="1:10" ht="17.25" customHeight="1" x14ac:dyDescent="0.25">
      <c r="A253" s="4">
        <v>551</v>
      </c>
      <c r="B253" s="5" t="s">
        <v>452</v>
      </c>
      <c r="C253" s="5" t="s">
        <v>454</v>
      </c>
      <c r="D253" s="16">
        <v>0.24347000000000008</v>
      </c>
      <c r="E253" s="16">
        <v>0.26773999999999987</v>
      </c>
      <c r="F253" s="17">
        <v>0.28570999999999991</v>
      </c>
      <c r="G253" s="18">
        <v>500</v>
      </c>
      <c r="H253" s="18">
        <v>115.89</v>
      </c>
      <c r="I253" s="18">
        <v>500</v>
      </c>
      <c r="J253" s="53">
        <v>84.16</v>
      </c>
    </row>
    <row r="254" spans="1:10" ht="17.25" customHeight="1" x14ac:dyDescent="0.25">
      <c r="A254" s="4">
        <v>1293</v>
      </c>
      <c r="B254" s="5" t="s">
        <v>1046</v>
      </c>
      <c r="C254" s="5" t="s">
        <v>1047</v>
      </c>
      <c r="D254" s="16">
        <v>0.30549000000000004</v>
      </c>
      <c r="E254" s="16">
        <v>0.23199999999999998</v>
      </c>
      <c r="F254" s="17">
        <v>0.28570999999999991</v>
      </c>
      <c r="G254" s="18">
        <v>805</v>
      </c>
      <c r="H254" s="18">
        <v>392.15</v>
      </c>
      <c r="I254" s="18">
        <v>805</v>
      </c>
      <c r="J254" s="53">
        <v>238.37</v>
      </c>
    </row>
    <row r="255" spans="1:10" ht="17.25" customHeight="1" x14ac:dyDescent="0.25">
      <c r="A255" s="4">
        <v>552</v>
      </c>
      <c r="B255" s="5" t="s">
        <v>452</v>
      </c>
      <c r="C255" s="5" t="s">
        <v>455</v>
      </c>
      <c r="D255" s="16">
        <v>0.22624</v>
      </c>
      <c r="E255" s="16">
        <v>0.24252000000000007</v>
      </c>
      <c r="F255" s="17">
        <v>0.26402999999999999</v>
      </c>
      <c r="G255" s="18">
        <v>524</v>
      </c>
      <c r="H255" s="18">
        <v>198.82</v>
      </c>
      <c r="I255" s="18">
        <v>524</v>
      </c>
      <c r="J255" s="53">
        <v>84.16</v>
      </c>
    </row>
    <row r="256" spans="1:10" ht="17.25" customHeight="1" x14ac:dyDescent="0.25">
      <c r="A256" s="4">
        <v>597</v>
      </c>
      <c r="B256" s="5" t="s">
        <v>489</v>
      </c>
      <c r="C256" s="5" t="s">
        <v>491</v>
      </c>
      <c r="D256" s="16">
        <v>0.23970000000000002</v>
      </c>
      <c r="E256" s="16">
        <v>0.2704200000000001</v>
      </c>
      <c r="F256" s="17">
        <v>0.28570999999999991</v>
      </c>
      <c r="G256" s="18">
        <v>499.98</v>
      </c>
      <c r="H256" s="18">
        <v>145.19</v>
      </c>
      <c r="I256" s="18">
        <v>499.98</v>
      </c>
      <c r="J256" s="53">
        <v>86.17</v>
      </c>
    </row>
    <row r="257" spans="1:10" ht="17.25" customHeight="1" x14ac:dyDescent="0.25">
      <c r="A257" s="4">
        <v>923</v>
      </c>
      <c r="B257" s="5" t="s">
        <v>664</v>
      </c>
      <c r="C257" s="5" t="s">
        <v>1826</v>
      </c>
      <c r="D257" s="16">
        <v>0.2339</v>
      </c>
      <c r="E257" s="16">
        <v>0.252</v>
      </c>
      <c r="F257" s="17">
        <v>0.28570999999999991</v>
      </c>
      <c r="G257" s="18">
        <v>589.6</v>
      </c>
      <c r="H257" s="18">
        <v>160.16</v>
      </c>
      <c r="I257" s="18">
        <v>589.6</v>
      </c>
      <c r="J257" s="53">
        <v>128.25</v>
      </c>
    </row>
    <row r="258" spans="1:10" ht="17.25" customHeight="1" x14ac:dyDescent="0.25">
      <c r="A258" s="4">
        <v>830</v>
      </c>
      <c r="B258" s="5" t="s">
        <v>633</v>
      </c>
      <c r="C258" s="5" t="s">
        <v>635</v>
      </c>
      <c r="D258" s="16">
        <v>0.24188999999999994</v>
      </c>
      <c r="E258" s="16">
        <v>0.26817000000000002</v>
      </c>
      <c r="F258" s="17">
        <v>0.26950000000000007</v>
      </c>
      <c r="G258" s="18">
        <v>563.4</v>
      </c>
      <c r="H258" s="18">
        <v>272.04000000000002</v>
      </c>
      <c r="I258" s="18">
        <v>563.4</v>
      </c>
      <c r="J258" s="53">
        <v>114.23</v>
      </c>
    </row>
    <row r="259" spans="1:10" ht="17.25" customHeight="1" x14ac:dyDescent="0.25">
      <c r="A259" s="4">
        <v>1138</v>
      </c>
      <c r="B259" s="5" t="s">
        <v>859</v>
      </c>
      <c r="C259" s="5" t="s">
        <v>865</v>
      </c>
      <c r="D259" s="16">
        <v>0.29959999999999987</v>
      </c>
      <c r="E259" s="16">
        <v>0.24199999999999999</v>
      </c>
      <c r="F259" s="17">
        <v>0.28570999999999991</v>
      </c>
      <c r="G259" s="18">
        <v>777.78</v>
      </c>
      <c r="H259" s="18">
        <v>378.16</v>
      </c>
      <c r="I259" s="18">
        <v>777.78</v>
      </c>
      <c r="J259" s="53">
        <v>156.22</v>
      </c>
    </row>
    <row r="260" spans="1:10" ht="17.25" customHeight="1" x14ac:dyDescent="0.25">
      <c r="A260" s="4">
        <v>1026</v>
      </c>
      <c r="B260" s="5" t="s">
        <v>732</v>
      </c>
      <c r="C260" s="5" t="s">
        <v>740</v>
      </c>
      <c r="D260" s="16">
        <v>0.22789999999999999</v>
      </c>
      <c r="E260" s="16">
        <v>0.24299999999999988</v>
      </c>
      <c r="F260" s="17">
        <v>0.28570999999999991</v>
      </c>
      <c r="G260" s="18">
        <v>613.20000000000005</v>
      </c>
      <c r="H260" s="18">
        <v>219.16</v>
      </c>
      <c r="I260" s="18">
        <v>613.20000000000005</v>
      </c>
      <c r="J260" s="53">
        <v>142.28</v>
      </c>
    </row>
    <row r="261" spans="1:10" ht="17.25" customHeight="1" x14ac:dyDescent="0.25">
      <c r="A261" s="4">
        <v>743</v>
      </c>
      <c r="B261" s="5" t="s">
        <v>1724</v>
      </c>
      <c r="C261" s="5" t="s">
        <v>1726</v>
      </c>
      <c r="D261" s="16">
        <v>0.25314999999999999</v>
      </c>
      <c r="E261" s="16">
        <v>0.28614000000000006</v>
      </c>
      <c r="F261" s="17">
        <v>0.2713000000000001</v>
      </c>
      <c r="G261" s="18">
        <v>537.35</v>
      </c>
      <c r="H261" s="18">
        <v>160</v>
      </c>
      <c r="I261" s="18">
        <v>537.35</v>
      </c>
      <c r="J261" s="53">
        <v>100.2</v>
      </c>
    </row>
    <row r="262" spans="1:10" ht="17.25" customHeight="1" x14ac:dyDescent="0.25">
      <c r="A262" s="4">
        <v>382</v>
      </c>
      <c r="B262" s="5" t="s">
        <v>272</v>
      </c>
      <c r="C262" s="5" t="s">
        <v>279</v>
      </c>
      <c r="D262" s="16">
        <v>0.23090999999999995</v>
      </c>
      <c r="E262" s="16">
        <v>0.24612999999999996</v>
      </c>
      <c r="F262" s="17">
        <v>0.27011999999999992</v>
      </c>
      <c r="G262" s="18">
        <v>497</v>
      </c>
      <c r="H262" s="18">
        <v>147.5</v>
      </c>
      <c r="I262" s="18">
        <v>497</v>
      </c>
      <c r="J262" s="53">
        <v>68.12</v>
      </c>
    </row>
    <row r="263" spans="1:10" ht="17.25" customHeight="1" x14ac:dyDescent="0.25">
      <c r="A263" s="4">
        <v>786</v>
      </c>
      <c r="B263" s="5" t="s">
        <v>595</v>
      </c>
      <c r="C263" s="5" t="s">
        <v>598</v>
      </c>
      <c r="D263" s="16">
        <v>0.33990000000000009</v>
      </c>
      <c r="E263" s="16">
        <v>0.29299999999999993</v>
      </c>
      <c r="F263" s="17">
        <v>0.28570999999999991</v>
      </c>
      <c r="G263" s="18">
        <v>722.95</v>
      </c>
      <c r="H263" s="18">
        <v>345.71</v>
      </c>
      <c r="I263" s="18">
        <v>722.95</v>
      </c>
      <c r="J263" s="53">
        <v>122.16</v>
      </c>
    </row>
    <row r="264" spans="1:10" ht="17.25" customHeight="1" x14ac:dyDescent="0.25">
      <c r="A264" s="4">
        <v>819</v>
      </c>
      <c r="B264" s="5" t="s">
        <v>617</v>
      </c>
      <c r="C264" s="5" t="s">
        <v>624</v>
      </c>
      <c r="D264" s="16">
        <v>0.24382999999999999</v>
      </c>
      <c r="E264" s="16">
        <v>0.26324999999999998</v>
      </c>
      <c r="F264" s="17">
        <v>0.28570000000000007</v>
      </c>
      <c r="G264" s="18">
        <v>553</v>
      </c>
      <c r="H264" s="18">
        <v>179.7</v>
      </c>
      <c r="I264" s="18">
        <v>553</v>
      </c>
      <c r="J264" s="53">
        <v>112.21</v>
      </c>
    </row>
    <row r="265" spans="1:10" ht="17.25" customHeight="1" x14ac:dyDescent="0.25">
      <c r="A265" s="4">
        <v>820</v>
      </c>
      <c r="B265" s="5" t="s">
        <v>617</v>
      </c>
      <c r="C265" s="5" t="s">
        <v>625</v>
      </c>
      <c r="D265" s="16">
        <v>0.24368999999999996</v>
      </c>
      <c r="E265" s="16">
        <v>0.26103999999999994</v>
      </c>
      <c r="F265" s="17">
        <v>0.28570000000000007</v>
      </c>
      <c r="G265" s="18">
        <v>558</v>
      </c>
      <c r="H265" s="18">
        <v>166.84</v>
      </c>
      <c r="I265" s="18">
        <v>558</v>
      </c>
      <c r="J265" s="53">
        <v>112.21</v>
      </c>
    </row>
    <row r="266" spans="1:10" ht="17.25" customHeight="1" x14ac:dyDescent="0.25">
      <c r="A266" s="4">
        <v>1055</v>
      </c>
      <c r="B266" s="5" t="s">
        <v>732</v>
      </c>
      <c r="C266" s="5" t="s">
        <v>769</v>
      </c>
      <c r="D266" s="16">
        <v>0.2269000000000001</v>
      </c>
      <c r="E266" s="16">
        <v>0.2410000000000001</v>
      </c>
      <c r="F266" s="17">
        <v>0.28570999999999991</v>
      </c>
      <c r="G266" s="18">
        <v>600.29999999999995</v>
      </c>
      <c r="H266" s="18">
        <v>219.16</v>
      </c>
      <c r="I266" s="18">
        <v>600.29999999999995</v>
      </c>
      <c r="J266" s="53">
        <v>142.28</v>
      </c>
    </row>
    <row r="267" spans="1:10" ht="17.25" customHeight="1" x14ac:dyDescent="0.25">
      <c r="A267" s="6">
        <v>938</v>
      </c>
      <c r="B267" s="5" t="s">
        <v>664</v>
      </c>
      <c r="C267" s="5" t="s">
        <v>666</v>
      </c>
      <c r="D267" s="16">
        <v>0.23360000000000003</v>
      </c>
      <c r="E267" s="16">
        <v>0.25099999999999989</v>
      </c>
      <c r="F267" s="17">
        <v>0.28570999999999991</v>
      </c>
      <c r="G267" s="18">
        <v>581.5</v>
      </c>
      <c r="H267" s="18">
        <v>159.78</v>
      </c>
      <c r="I267" s="18">
        <v>581.5</v>
      </c>
      <c r="J267" s="53">
        <v>128.25</v>
      </c>
    </row>
    <row r="268" spans="1:10" ht="17.25" customHeight="1" x14ac:dyDescent="0.25">
      <c r="A268" s="4">
        <v>1056</v>
      </c>
      <c r="B268" s="5" t="s">
        <v>732</v>
      </c>
      <c r="C268" s="5" t="s">
        <v>770</v>
      </c>
      <c r="D268" s="16">
        <v>0.22809999999999997</v>
      </c>
      <c r="E268" s="16">
        <v>0.2410000000000001</v>
      </c>
      <c r="F268" s="17">
        <v>0.28570999999999991</v>
      </c>
      <c r="G268" s="18">
        <v>606.9</v>
      </c>
      <c r="H268" s="18">
        <v>219.16</v>
      </c>
      <c r="I268" s="18">
        <v>606.9</v>
      </c>
      <c r="J268" s="53">
        <v>142.28</v>
      </c>
    </row>
    <row r="269" spans="1:10" ht="17.25" customHeight="1" x14ac:dyDescent="0.25">
      <c r="A269" s="4">
        <v>1057</v>
      </c>
      <c r="B269" s="5" t="s">
        <v>732</v>
      </c>
      <c r="C269" s="5" t="s">
        <v>771</v>
      </c>
      <c r="D269" s="16">
        <v>0.22750000000000004</v>
      </c>
      <c r="E269" s="16">
        <v>0.24500000000000011</v>
      </c>
      <c r="F269" s="17">
        <v>0.28570999999999991</v>
      </c>
      <c r="G269" s="18">
        <v>590.29999999999995</v>
      </c>
      <c r="H269" s="18">
        <v>219.16</v>
      </c>
      <c r="I269" s="18">
        <v>590.29999999999995</v>
      </c>
      <c r="J269" s="53">
        <v>142.28</v>
      </c>
    </row>
    <row r="270" spans="1:10" ht="17.25" customHeight="1" x14ac:dyDescent="0.25">
      <c r="A270" s="4">
        <v>794</v>
      </c>
      <c r="B270" s="5" t="s">
        <v>604</v>
      </c>
      <c r="C270" s="5" t="s">
        <v>606</v>
      </c>
      <c r="D270" s="16">
        <v>0.29042999999999997</v>
      </c>
      <c r="E270" s="16">
        <v>0.25591999999999993</v>
      </c>
      <c r="F270" s="17">
        <v>0.28570999999999991</v>
      </c>
      <c r="G270" s="18">
        <v>653</v>
      </c>
      <c r="H270" s="18">
        <v>229</v>
      </c>
      <c r="I270" s="28">
        <v>653</v>
      </c>
      <c r="J270" s="56">
        <v>121.18</v>
      </c>
    </row>
    <row r="271" spans="1:10" ht="17.25" customHeight="1" x14ac:dyDescent="0.25">
      <c r="A271" s="4">
        <v>657</v>
      </c>
      <c r="B271" s="5" t="s">
        <v>2245</v>
      </c>
      <c r="C271" s="5" t="s">
        <v>552</v>
      </c>
      <c r="D271" s="16">
        <v>0.47319</v>
      </c>
      <c r="E271" s="16">
        <v>0.26351999999999998</v>
      </c>
      <c r="F271" s="17">
        <v>0.28170000000000006</v>
      </c>
      <c r="G271" s="18">
        <v>795</v>
      </c>
      <c r="H271" s="18">
        <v>354</v>
      </c>
      <c r="I271" s="18">
        <v>795</v>
      </c>
      <c r="J271" s="53">
        <v>227.13</v>
      </c>
    </row>
    <row r="272" spans="1:10" ht="17.25" customHeight="1" x14ac:dyDescent="0.25">
      <c r="A272" s="4">
        <v>646</v>
      </c>
      <c r="B272" s="5" t="s">
        <v>539</v>
      </c>
      <c r="C272" s="5" t="s">
        <v>540</v>
      </c>
      <c r="D272" s="16">
        <v>0.4591400000000001</v>
      </c>
      <c r="E272" s="16">
        <v>0.24500000000000011</v>
      </c>
      <c r="F272" s="17">
        <v>0.28570000000000007</v>
      </c>
      <c r="G272" s="18">
        <v>646</v>
      </c>
      <c r="H272" s="18">
        <v>247.55</v>
      </c>
      <c r="I272" s="18">
        <v>646</v>
      </c>
      <c r="J272" s="53">
        <v>215</v>
      </c>
    </row>
    <row r="273" spans="1:10" ht="17.25" customHeight="1" x14ac:dyDescent="0.25">
      <c r="A273" s="4">
        <v>659</v>
      </c>
      <c r="B273" s="5" t="s">
        <v>553</v>
      </c>
      <c r="C273" s="5" t="s">
        <v>555</v>
      </c>
      <c r="D273" s="16">
        <v>0.38727</v>
      </c>
      <c r="E273" s="16">
        <v>0.25465999999999989</v>
      </c>
      <c r="F273" s="17">
        <v>0.28570000000000007</v>
      </c>
      <c r="G273" s="18">
        <v>705</v>
      </c>
      <c r="H273" s="18">
        <v>259.64999999999998</v>
      </c>
      <c r="I273" s="18">
        <v>705</v>
      </c>
      <c r="J273" s="53">
        <v>161.03</v>
      </c>
    </row>
    <row r="274" spans="1:10" ht="17.25" customHeight="1" x14ac:dyDescent="0.25">
      <c r="A274" s="4">
        <v>918</v>
      </c>
      <c r="B274" s="5" t="s">
        <v>664</v>
      </c>
      <c r="C274" s="5" t="s">
        <v>1821</v>
      </c>
      <c r="D274" s="16">
        <v>0.24836999999999998</v>
      </c>
      <c r="E274" s="16">
        <v>0.26588000000000012</v>
      </c>
      <c r="F274" s="17">
        <v>0.28570999999999991</v>
      </c>
      <c r="G274" s="18">
        <v>591</v>
      </c>
      <c r="H274" s="18">
        <v>150.79</v>
      </c>
      <c r="I274" s="18">
        <v>591</v>
      </c>
      <c r="J274" s="53">
        <v>128.25</v>
      </c>
    </row>
    <row r="275" spans="1:10" ht="17.25" customHeight="1" x14ac:dyDescent="0.25">
      <c r="A275" s="4">
        <v>1086</v>
      </c>
      <c r="B275" s="5" t="s">
        <v>732</v>
      </c>
      <c r="C275" s="5" t="s">
        <v>800</v>
      </c>
      <c r="D275" s="16">
        <v>0.23090000000000011</v>
      </c>
      <c r="E275" s="16">
        <v>0.23899999999999988</v>
      </c>
      <c r="F275" s="17">
        <v>0.28570999999999991</v>
      </c>
      <c r="G275" s="18">
        <v>614.4</v>
      </c>
      <c r="H275" s="18">
        <v>191.46</v>
      </c>
      <c r="I275" s="18">
        <v>614.4</v>
      </c>
      <c r="J275" s="53">
        <v>142.28</v>
      </c>
    </row>
    <row r="276" spans="1:10" ht="17.25" customHeight="1" x14ac:dyDescent="0.25">
      <c r="A276" s="4">
        <v>924</v>
      </c>
      <c r="B276" s="5" t="s">
        <v>664</v>
      </c>
      <c r="C276" s="5" t="s">
        <v>1827</v>
      </c>
      <c r="D276" s="16">
        <v>0.23219999999999996</v>
      </c>
      <c r="E276" s="16">
        <v>0.252</v>
      </c>
      <c r="F276" s="17">
        <v>0.28570999999999991</v>
      </c>
      <c r="G276" s="18">
        <v>576.79999999999995</v>
      </c>
      <c r="H276" s="18">
        <v>160.16</v>
      </c>
      <c r="I276" s="18">
        <v>576.79999999999995</v>
      </c>
      <c r="J276" s="53">
        <v>128.25</v>
      </c>
    </row>
    <row r="277" spans="1:10" ht="17.25" customHeight="1" x14ac:dyDescent="0.25">
      <c r="A277" s="4">
        <v>831</v>
      </c>
      <c r="B277" s="5" t="s">
        <v>633</v>
      </c>
      <c r="C277" s="5" t="s">
        <v>636</v>
      </c>
      <c r="D277" s="16">
        <v>0.24717999999999996</v>
      </c>
      <c r="E277" s="16">
        <v>0.27279999999999993</v>
      </c>
      <c r="F277" s="17">
        <v>0.29849999999999999</v>
      </c>
      <c r="G277" s="18">
        <v>553.5</v>
      </c>
      <c r="H277" s="18">
        <v>272.04000000000002</v>
      </c>
      <c r="I277" s="18">
        <v>553.5</v>
      </c>
      <c r="J277" s="53">
        <v>114.23</v>
      </c>
    </row>
    <row r="278" spans="1:10" ht="17.25" customHeight="1" x14ac:dyDescent="0.25">
      <c r="A278" s="4">
        <v>1027</v>
      </c>
      <c r="B278" s="5" t="s">
        <v>732</v>
      </c>
      <c r="C278" s="5" t="s">
        <v>741</v>
      </c>
      <c r="D278" s="16">
        <v>0.22599999999999998</v>
      </c>
      <c r="E278" s="16">
        <v>0.24299999999999988</v>
      </c>
      <c r="F278" s="17">
        <v>0.28570999999999991</v>
      </c>
      <c r="G278" s="18">
        <v>599.4</v>
      </c>
      <c r="H278" s="18">
        <v>219.16</v>
      </c>
      <c r="I278" s="18">
        <v>599.4</v>
      </c>
      <c r="J278" s="53">
        <v>142.28</v>
      </c>
    </row>
    <row r="279" spans="1:10" ht="17.25" customHeight="1" x14ac:dyDescent="0.25">
      <c r="A279" s="4">
        <v>744</v>
      </c>
      <c r="B279" s="5" t="s">
        <v>1724</v>
      </c>
      <c r="C279" s="5" t="s">
        <v>1727</v>
      </c>
      <c r="D279" s="16">
        <v>0.23960999999999988</v>
      </c>
      <c r="E279" s="16">
        <v>0.2753000000000001</v>
      </c>
      <c r="F279" s="17">
        <v>0.26950000000000007</v>
      </c>
      <c r="G279" s="18">
        <v>519.79</v>
      </c>
      <c r="H279" s="18">
        <v>153.91</v>
      </c>
      <c r="I279" s="18">
        <v>519.79</v>
      </c>
      <c r="J279" s="53">
        <v>100.2</v>
      </c>
    </row>
    <row r="280" spans="1:10" ht="17.25" customHeight="1" x14ac:dyDescent="0.25">
      <c r="A280" s="4">
        <v>660</v>
      </c>
      <c r="B280" s="5" t="s">
        <v>2246</v>
      </c>
      <c r="C280" s="5" t="s">
        <v>556</v>
      </c>
      <c r="D280" s="16">
        <v>0.37400000000000011</v>
      </c>
      <c r="E280" s="16">
        <v>0.22632999999999992</v>
      </c>
      <c r="F280" s="17">
        <v>0.29149000000000003</v>
      </c>
      <c r="G280" s="18">
        <v>814</v>
      </c>
      <c r="H280" s="18">
        <v>343</v>
      </c>
      <c r="I280" s="18">
        <v>814</v>
      </c>
      <c r="J280" s="53">
        <v>182.13</v>
      </c>
    </row>
    <row r="281" spans="1:10" ht="17.25" customHeight="1" x14ac:dyDescent="0.25">
      <c r="A281" s="4">
        <v>787</v>
      </c>
      <c r="B281" s="5" t="s">
        <v>595</v>
      </c>
      <c r="C281" s="5" t="s">
        <v>599</v>
      </c>
      <c r="D281" s="16">
        <v>0.31326999999999994</v>
      </c>
      <c r="E281" s="16">
        <v>0.25991999999999993</v>
      </c>
      <c r="F281" s="17">
        <v>0.24869999999999992</v>
      </c>
      <c r="G281" s="18">
        <v>707.65</v>
      </c>
      <c r="H281" s="18">
        <v>297.68</v>
      </c>
      <c r="I281" s="18">
        <v>707.65</v>
      </c>
      <c r="J281" s="53">
        <v>122.16</v>
      </c>
    </row>
    <row r="282" spans="1:10" ht="17.25" customHeight="1" x14ac:dyDescent="0.25">
      <c r="A282" s="4">
        <v>1058</v>
      </c>
      <c r="B282" s="5" t="s">
        <v>732</v>
      </c>
      <c r="C282" s="5" t="s">
        <v>772</v>
      </c>
      <c r="D282" s="16">
        <v>0.2298</v>
      </c>
      <c r="E282" s="16">
        <v>0.24299999999999988</v>
      </c>
      <c r="F282" s="17">
        <v>0.28570999999999991</v>
      </c>
      <c r="G282" s="18">
        <v>602.9</v>
      </c>
      <c r="H282" s="18">
        <v>219.16</v>
      </c>
      <c r="I282" s="18">
        <v>602.9</v>
      </c>
      <c r="J282" s="53">
        <v>142.28</v>
      </c>
    </row>
    <row r="283" spans="1:10" ht="17.25" customHeight="1" x14ac:dyDescent="0.25">
      <c r="A283" s="4">
        <v>264</v>
      </c>
      <c r="B283" s="5" t="s">
        <v>145</v>
      </c>
      <c r="C283" s="5" t="s">
        <v>146</v>
      </c>
      <c r="D283" s="16">
        <v>0.32468999999999992</v>
      </c>
      <c r="E283" s="16">
        <v>0.26346999999999987</v>
      </c>
      <c r="F283" s="17">
        <v>0.28570999999999991</v>
      </c>
      <c r="G283" s="18">
        <v>542</v>
      </c>
      <c r="H283" s="18">
        <v>273</v>
      </c>
      <c r="I283" s="18">
        <v>542</v>
      </c>
      <c r="J283" s="53">
        <v>70.09</v>
      </c>
    </row>
    <row r="284" spans="1:10" ht="17.25" customHeight="1" x14ac:dyDescent="0.25">
      <c r="A284" s="4">
        <v>925</v>
      </c>
      <c r="B284" s="5" t="s">
        <v>664</v>
      </c>
      <c r="C284" s="5" t="s">
        <v>1828</v>
      </c>
      <c r="D284" s="16">
        <v>0.23350000000000004</v>
      </c>
      <c r="E284" s="16">
        <v>0.254</v>
      </c>
      <c r="F284" s="17">
        <v>0.28570999999999991</v>
      </c>
      <c r="G284" s="18">
        <v>581.1</v>
      </c>
      <c r="H284" s="18">
        <v>160.16</v>
      </c>
      <c r="I284" s="18">
        <v>581.1</v>
      </c>
      <c r="J284" s="53">
        <v>128.25</v>
      </c>
    </row>
    <row r="285" spans="1:10" ht="17.25" customHeight="1" x14ac:dyDescent="0.25">
      <c r="A285" s="4">
        <v>832</v>
      </c>
      <c r="B285" s="5" t="s">
        <v>633</v>
      </c>
      <c r="C285" s="5" t="s">
        <v>637</v>
      </c>
      <c r="D285" s="16">
        <v>0.23575999999999997</v>
      </c>
      <c r="E285" s="16">
        <v>0.26329000000000002</v>
      </c>
      <c r="F285" s="17">
        <v>0.2782</v>
      </c>
      <c r="G285" s="18">
        <v>550</v>
      </c>
      <c r="H285" s="18">
        <v>182</v>
      </c>
      <c r="I285" s="18">
        <v>550</v>
      </c>
      <c r="J285" s="53">
        <v>114.23</v>
      </c>
    </row>
    <row r="286" spans="1:10" ht="17.25" customHeight="1" x14ac:dyDescent="0.25">
      <c r="A286" s="4">
        <v>1028</v>
      </c>
      <c r="B286" s="5" t="s">
        <v>732</v>
      </c>
      <c r="C286" s="5" t="s">
        <v>742</v>
      </c>
      <c r="D286" s="16">
        <v>0.22750000000000004</v>
      </c>
      <c r="E286" s="16">
        <v>0.24399999999999999</v>
      </c>
      <c r="F286" s="17">
        <v>0.28570999999999991</v>
      </c>
      <c r="G286" s="18">
        <v>603</v>
      </c>
      <c r="H286" s="18">
        <v>219.16</v>
      </c>
      <c r="I286" s="18">
        <v>603</v>
      </c>
      <c r="J286" s="53">
        <v>142.28</v>
      </c>
    </row>
    <row r="287" spans="1:10" ht="17.25" customHeight="1" x14ac:dyDescent="0.25">
      <c r="A287" s="4">
        <v>661</v>
      </c>
      <c r="B287" s="5" t="s">
        <v>2246</v>
      </c>
      <c r="C287" s="5" t="s">
        <v>557</v>
      </c>
      <c r="D287" s="16">
        <v>0.38619000000000003</v>
      </c>
      <c r="E287" s="16">
        <v>0.23693000000000008</v>
      </c>
      <c r="F287" s="17">
        <v>0.28570999999999991</v>
      </c>
      <c r="G287" s="18">
        <v>814</v>
      </c>
      <c r="H287" s="18">
        <v>325.64999999999998</v>
      </c>
      <c r="I287" s="18">
        <v>814</v>
      </c>
      <c r="J287" s="53">
        <v>182.13</v>
      </c>
    </row>
    <row r="288" spans="1:10" ht="17.25" customHeight="1" x14ac:dyDescent="0.25">
      <c r="A288" s="4">
        <v>788</v>
      </c>
      <c r="B288" s="5" t="s">
        <v>595</v>
      </c>
      <c r="C288" s="5" t="s">
        <v>600</v>
      </c>
      <c r="D288" s="16">
        <v>0.34915999999999991</v>
      </c>
      <c r="E288" s="16">
        <v>0.28495000000000004</v>
      </c>
      <c r="F288" s="17">
        <v>0.29699999999999993</v>
      </c>
      <c r="G288" s="18">
        <v>707.05</v>
      </c>
      <c r="H288" s="18">
        <v>347.99</v>
      </c>
      <c r="I288" s="18">
        <v>707.05</v>
      </c>
      <c r="J288" s="53">
        <v>122.16</v>
      </c>
    </row>
    <row r="289" spans="1:10" ht="17.25" customHeight="1" x14ac:dyDescent="0.25">
      <c r="A289" s="4">
        <v>949</v>
      </c>
      <c r="B289" s="5" t="s">
        <v>676</v>
      </c>
      <c r="C289" s="5" t="s">
        <v>677</v>
      </c>
      <c r="D289" s="16">
        <v>0.27340999999999993</v>
      </c>
      <c r="E289" s="16">
        <v>0.26835999999999993</v>
      </c>
      <c r="F289" s="17">
        <v>0.28570000000000007</v>
      </c>
      <c r="G289" s="18">
        <v>603</v>
      </c>
      <c r="H289" s="18">
        <v>208</v>
      </c>
      <c r="I289" s="18">
        <v>603</v>
      </c>
      <c r="J289" s="53">
        <v>144.25</v>
      </c>
    </row>
    <row r="290" spans="1:10" ht="17.25" customHeight="1" x14ac:dyDescent="0.25">
      <c r="A290" s="4">
        <v>920</v>
      </c>
      <c r="B290" s="5" t="s">
        <v>664</v>
      </c>
      <c r="C290" s="5" t="s">
        <v>1823</v>
      </c>
      <c r="D290" s="16">
        <v>0.24665000000000004</v>
      </c>
      <c r="E290" s="16">
        <v>0.27282999999999991</v>
      </c>
      <c r="F290" s="17">
        <v>0.2923</v>
      </c>
      <c r="G290" s="18">
        <v>579</v>
      </c>
      <c r="H290" s="18">
        <v>170.25</v>
      </c>
      <c r="I290" s="18">
        <v>579</v>
      </c>
      <c r="J290" s="53">
        <v>128.25</v>
      </c>
    </row>
    <row r="291" spans="1:10" ht="17.25" customHeight="1" x14ac:dyDescent="0.25">
      <c r="A291" s="4">
        <v>1139</v>
      </c>
      <c r="B291" s="5" t="s">
        <v>859</v>
      </c>
      <c r="C291" s="5" t="s">
        <v>866</v>
      </c>
      <c r="D291" s="16">
        <v>0.30044000000000004</v>
      </c>
      <c r="E291" s="16">
        <v>0.24604999999999988</v>
      </c>
      <c r="F291" s="17">
        <v>0.31909999999999994</v>
      </c>
      <c r="G291" s="18">
        <v>777</v>
      </c>
      <c r="H291" s="18">
        <v>384.55</v>
      </c>
      <c r="I291" s="18">
        <v>777</v>
      </c>
      <c r="J291" s="53">
        <v>156.22</v>
      </c>
    </row>
    <row r="292" spans="1:10" ht="17.25" customHeight="1" x14ac:dyDescent="0.25">
      <c r="A292" s="4">
        <v>1029</v>
      </c>
      <c r="B292" s="5" t="s">
        <v>732</v>
      </c>
      <c r="C292" s="5" t="s">
        <v>743</v>
      </c>
      <c r="D292" s="16">
        <v>0.22889999999999988</v>
      </c>
      <c r="E292" s="16">
        <v>0.24699999999999989</v>
      </c>
      <c r="F292" s="17">
        <v>0.28570999999999991</v>
      </c>
      <c r="G292" s="18">
        <v>603.1</v>
      </c>
      <c r="H292" s="18">
        <v>219.16</v>
      </c>
      <c r="I292" s="18">
        <v>603.1</v>
      </c>
      <c r="J292" s="53">
        <v>142.28</v>
      </c>
    </row>
    <row r="293" spans="1:10" ht="17.25" customHeight="1" x14ac:dyDescent="0.25">
      <c r="A293" s="4">
        <v>690</v>
      </c>
      <c r="B293" s="5" t="s">
        <v>579</v>
      </c>
      <c r="C293" s="5" t="s">
        <v>581</v>
      </c>
      <c r="D293" s="16">
        <v>0.33911000000000002</v>
      </c>
      <c r="E293" s="16">
        <v>0.30489999999999995</v>
      </c>
      <c r="F293" s="17">
        <v>0.27170000000000005</v>
      </c>
      <c r="G293" s="18">
        <v>623.75</v>
      </c>
      <c r="H293" s="18">
        <v>267</v>
      </c>
      <c r="I293" s="18">
        <v>623.75</v>
      </c>
      <c r="J293" s="53">
        <v>107.15</v>
      </c>
    </row>
    <row r="294" spans="1:10" ht="17.25" customHeight="1" x14ac:dyDescent="0.25">
      <c r="A294" s="4">
        <v>662</v>
      </c>
      <c r="B294" s="5" t="s">
        <v>2246</v>
      </c>
      <c r="C294" s="5" t="s">
        <v>558</v>
      </c>
      <c r="D294" s="16">
        <v>0.40005000000000002</v>
      </c>
      <c r="E294" s="16">
        <v>0.24180000000000001</v>
      </c>
      <c r="F294" s="17">
        <v>0.28570000000000007</v>
      </c>
      <c r="G294" s="18">
        <v>770</v>
      </c>
      <c r="H294" s="18">
        <v>339</v>
      </c>
      <c r="I294" s="18">
        <v>770</v>
      </c>
      <c r="J294" s="53">
        <v>182.13</v>
      </c>
    </row>
    <row r="295" spans="1:10" ht="17.25" customHeight="1" x14ac:dyDescent="0.25">
      <c r="A295" s="4">
        <v>1238</v>
      </c>
      <c r="B295" s="5" t="s">
        <v>985</v>
      </c>
      <c r="C295" s="5" t="s">
        <v>2374</v>
      </c>
      <c r="D295" s="16">
        <v>0.29532000000000003</v>
      </c>
      <c r="E295" s="16">
        <v>0.2629999999999999</v>
      </c>
      <c r="F295" s="17">
        <v>0.28570999999999991</v>
      </c>
      <c r="G295" s="18">
        <v>720</v>
      </c>
      <c r="H295" s="18">
        <v>344</v>
      </c>
      <c r="I295" s="18">
        <v>720</v>
      </c>
      <c r="J295" s="53">
        <v>220.35</v>
      </c>
    </row>
    <row r="296" spans="1:10" ht="17.25" customHeight="1" x14ac:dyDescent="0.25">
      <c r="A296" s="4">
        <v>789</v>
      </c>
      <c r="B296" s="5" t="s">
        <v>595</v>
      </c>
      <c r="C296" s="5" t="s">
        <v>601</v>
      </c>
      <c r="D296" s="16">
        <v>0.31292999999999993</v>
      </c>
      <c r="E296" s="16">
        <v>0.28800000000000003</v>
      </c>
      <c r="F296" s="17">
        <v>0.28570999999999991</v>
      </c>
      <c r="G296" s="18">
        <v>701.05</v>
      </c>
      <c r="H296" s="18">
        <v>318.76</v>
      </c>
      <c r="I296" s="18">
        <v>701.05</v>
      </c>
      <c r="J296" s="53">
        <v>122.16</v>
      </c>
    </row>
    <row r="297" spans="1:10" ht="17.25" customHeight="1" x14ac:dyDescent="0.25">
      <c r="A297" s="4">
        <v>1140</v>
      </c>
      <c r="B297" s="5" t="s">
        <v>859</v>
      </c>
      <c r="C297" s="5" t="s">
        <v>867</v>
      </c>
      <c r="D297" s="16">
        <v>0.30044000000000004</v>
      </c>
      <c r="E297" s="16">
        <v>0.24608000000000008</v>
      </c>
      <c r="F297" s="17">
        <v>0.31993000000000005</v>
      </c>
      <c r="G297" s="18">
        <v>778</v>
      </c>
      <c r="H297" s="18">
        <v>370.15</v>
      </c>
      <c r="I297" s="18">
        <v>778</v>
      </c>
      <c r="J297" s="53">
        <v>156.22</v>
      </c>
    </row>
    <row r="298" spans="1:10" ht="17.25" customHeight="1" x14ac:dyDescent="0.25">
      <c r="A298" s="4">
        <v>1030</v>
      </c>
      <c r="B298" s="5" t="s">
        <v>732</v>
      </c>
      <c r="C298" s="5" t="s">
        <v>744</v>
      </c>
      <c r="D298" s="16">
        <v>0.2278</v>
      </c>
      <c r="E298" s="16">
        <v>0.24699999999999989</v>
      </c>
      <c r="F298" s="17">
        <v>0.28570999999999991</v>
      </c>
      <c r="G298" s="18">
        <v>602.9</v>
      </c>
      <c r="H298" s="18">
        <v>219.16</v>
      </c>
      <c r="I298" s="18">
        <v>602.9</v>
      </c>
      <c r="J298" s="53">
        <v>142.28</v>
      </c>
    </row>
    <row r="299" spans="1:10" ht="17.25" customHeight="1" x14ac:dyDescent="0.25">
      <c r="A299" s="4">
        <v>457</v>
      </c>
      <c r="B299" s="5" t="s">
        <v>363</v>
      </c>
      <c r="C299" s="5" t="s">
        <v>364</v>
      </c>
      <c r="D299" s="16">
        <v>0.32247000000000003</v>
      </c>
      <c r="E299" s="16">
        <v>0.25180000000000002</v>
      </c>
      <c r="F299" s="17">
        <v>0.28570000000000007</v>
      </c>
      <c r="G299" s="18">
        <v>630</v>
      </c>
      <c r="H299" s="18">
        <v>197.15</v>
      </c>
      <c r="I299" s="18">
        <v>630</v>
      </c>
      <c r="J299" s="53">
        <v>120.15</v>
      </c>
    </row>
    <row r="300" spans="1:10" ht="17.25" customHeight="1" x14ac:dyDescent="0.25">
      <c r="A300" s="4">
        <v>354</v>
      </c>
      <c r="B300" s="5" t="s">
        <v>238</v>
      </c>
      <c r="C300" s="5" t="s">
        <v>240</v>
      </c>
      <c r="D300" s="16">
        <v>0.31902999999999992</v>
      </c>
      <c r="E300" s="16">
        <v>0.24723000000000006</v>
      </c>
      <c r="F300" s="17">
        <v>0.28570999999999991</v>
      </c>
      <c r="G300" s="18">
        <v>699</v>
      </c>
      <c r="H300" s="18">
        <v>293.14999999999998</v>
      </c>
      <c r="I300" s="18">
        <v>699</v>
      </c>
      <c r="J300" s="53">
        <v>105.14</v>
      </c>
    </row>
    <row r="301" spans="1:10" ht="17.25" customHeight="1" x14ac:dyDescent="0.25">
      <c r="A301" s="4">
        <v>311</v>
      </c>
      <c r="B301" s="5" t="s">
        <v>194</v>
      </c>
      <c r="C301" s="5" t="s">
        <v>196</v>
      </c>
      <c r="D301" s="16">
        <v>0.42818000000000001</v>
      </c>
      <c r="E301" s="16">
        <v>0.27695000000000003</v>
      </c>
      <c r="F301" s="17">
        <v>0.24</v>
      </c>
      <c r="G301" s="18">
        <v>567</v>
      </c>
      <c r="H301" s="18">
        <v>161.25</v>
      </c>
      <c r="I301" s="18">
        <v>567</v>
      </c>
      <c r="J301" s="53">
        <v>137.02000000000001</v>
      </c>
    </row>
    <row r="302" spans="1:10" ht="17.25" customHeight="1" x14ac:dyDescent="0.25">
      <c r="A302" s="4">
        <v>196</v>
      </c>
      <c r="B302" s="5" t="s">
        <v>61</v>
      </c>
      <c r="C302" s="5" t="s">
        <v>63</v>
      </c>
      <c r="D302" s="16">
        <v>0.46222000000000008</v>
      </c>
      <c r="E302" s="16">
        <v>0.248</v>
      </c>
      <c r="F302" s="17">
        <v>0.37999999999999989</v>
      </c>
      <c r="G302" s="18">
        <v>532</v>
      </c>
      <c r="H302" s="18">
        <v>184.15</v>
      </c>
      <c r="I302" s="18">
        <v>532</v>
      </c>
      <c r="J302" s="53">
        <v>122.99</v>
      </c>
    </row>
    <row r="303" spans="1:10" ht="17.25" customHeight="1" x14ac:dyDescent="0.25">
      <c r="A303" s="4">
        <v>612</v>
      </c>
      <c r="B303" s="5" t="s">
        <v>502</v>
      </c>
      <c r="C303" s="5" t="s">
        <v>504</v>
      </c>
      <c r="D303" s="16">
        <v>0.29543999999999992</v>
      </c>
      <c r="E303" s="16">
        <v>0.26661000000000001</v>
      </c>
      <c r="F303" s="17">
        <v>0.25455000000000005</v>
      </c>
      <c r="G303" s="18">
        <v>600</v>
      </c>
      <c r="H303" s="18">
        <v>203.15</v>
      </c>
      <c r="I303" s="18">
        <v>600</v>
      </c>
      <c r="J303" s="53">
        <v>118.17</v>
      </c>
    </row>
    <row r="304" spans="1:10" ht="17.25" customHeight="1" x14ac:dyDescent="0.25">
      <c r="A304" s="4">
        <v>1212</v>
      </c>
      <c r="B304" s="5" t="s">
        <v>952</v>
      </c>
      <c r="C304" s="5" t="s">
        <v>953</v>
      </c>
      <c r="D304" s="16">
        <v>0.28120000000000012</v>
      </c>
      <c r="E304" s="16">
        <v>0.24399999999999999</v>
      </c>
      <c r="F304" s="17">
        <v>0.28570999999999991</v>
      </c>
      <c r="G304" s="18">
        <v>780.96</v>
      </c>
      <c r="H304" s="18">
        <v>268.16000000000003</v>
      </c>
      <c r="I304" s="18">
        <v>780.96</v>
      </c>
      <c r="J304" s="53">
        <v>184.28</v>
      </c>
    </row>
    <row r="305" spans="1:10" ht="17.25" customHeight="1" x14ac:dyDescent="0.25">
      <c r="A305" s="4">
        <v>267</v>
      </c>
      <c r="B305" s="5" t="s">
        <v>149</v>
      </c>
      <c r="C305" s="5" t="s">
        <v>150</v>
      </c>
      <c r="D305" s="16">
        <v>0.33577999999999997</v>
      </c>
      <c r="E305" s="16">
        <v>0.26</v>
      </c>
      <c r="F305" s="17">
        <v>0.28570999999999991</v>
      </c>
      <c r="G305" s="18">
        <v>695</v>
      </c>
      <c r="H305" s="18">
        <v>331</v>
      </c>
      <c r="I305" s="18">
        <v>695</v>
      </c>
      <c r="J305" s="53">
        <v>86.09</v>
      </c>
    </row>
    <row r="306" spans="1:10" ht="17.25" customHeight="1" x14ac:dyDescent="0.25">
      <c r="A306" s="4">
        <v>64</v>
      </c>
      <c r="B306" s="5" t="s">
        <v>2247</v>
      </c>
      <c r="C306" s="5" t="s">
        <v>1554</v>
      </c>
      <c r="D306" s="16">
        <v>0.50014000000000003</v>
      </c>
      <c r="E306" s="16">
        <v>0.26764999999999994</v>
      </c>
      <c r="F306" s="17">
        <v>0.28820000000000001</v>
      </c>
      <c r="G306" s="18">
        <v>400.55</v>
      </c>
      <c r="H306" s="18">
        <v>134.65</v>
      </c>
      <c r="I306" s="18">
        <v>400.55</v>
      </c>
      <c r="J306" s="53">
        <v>98.48</v>
      </c>
    </row>
    <row r="307" spans="1:10" ht="17.25" customHeight="1" x14ac:dyDescent="0.25">
      <c r="A307" s="4">
        <v>434</v>
      </c>
      <c r="B307" s="5" t="s">
        <v>2248</v>
      </c>
      <c r="C307" s="5" t="s">
        <v>340</v>
      </c>
      <c r="D307" s="16">
        <v>0.29559999999999986</v>
      </c>
      <c r="E307" s="16">
        <v>0.2629999999999999</v>
      </c>
      <c r="F307" s="17">
        <v>0.28570999999999991</v>
      </c>
      <c r="G307" s="18">
        <v>548.97</v>
      </c>
      <c r="H307" s="18">
        <v>199.66</v>
      </c>
      <c r="I307" s="18">
        <v>548.97</v>
      </c>
      <c r="J307" s="53">
        <v>106.59</v>
      </c>
    </row>
    <row r="308" spans="1:10" ht="17.25" customHeight="1" x14ac:dyDescent="0.25">
      <c r="A308" s="4">
        <v>119</v>
      </c>
      <c r="B308" s="5" t="s">
        <v>2249</v>
      </c>
      <c r="C308" s="5" t="s">
        <v>1638</v>
      </c>
      <c r="D308" s="16">
        <v>0.37979000000000007</v>
      </c>
      <c r="E308" s="16">
        <v>0.26160000000000005</v>
      </c>
      <c r="F308" s="17">
        <v>0.21893000000000007</v>
      </c>
      <c r="G308" s="18">
        <v>585</v>
      </c>
      <c r="H308" s="18">
        <v>205.65</v>
      </c>
      <c r="I308" s="18">
        <v>585</v>
      </c>
      <c r="J308" s="53">
        <v>80.510000000000005</v>
      </c>
    </row>
    <row r="309" spans="1:10" ht="17.25" customHeight="1" x14ac:dyDescent="0.25">
      <c r="A309" s="4">
        <v>161</v>
      </c>
      <c r="B309" s="5" t="s">
        <v>2250</v>
      </c>
      <c r="C309" s="5" t="s">
        <v>16</v>
      </c>
      <c r="D309" s="16">
        <v>0.33384999999999998</v>
      </c>
      <c r="E309" s="16">
        <v>0.27164999999999995</v>
      </c>
      <c r="F309" s="17">
        <v>0.28570999999999991</v>
      </c>
      <c r="G309" s="18">
        <v>478</v>
      </c>
      <c r="H309" s="18">
        <v>135.75</v>
      </c>
      <c r="I309" s="18">
        <v>478</v>
      </c>
      <c r="J309" s="53">
        <v>76.52</v>
      </c>
    </row>
    <row r="310" spans="1:10" ht="17.25" customHeight="1" x14ac:dyDescent="0.25">
      <c r="A310" s="4">
        <v>336</v>
      </c>
      <c r="B310" s="5" t="s">
        <v>216</v>
      </c>
      <c r="C310" s="5" t="s">
        <v>222</v>
      </c>
      <c r="D310" s="16">
        <v>0.31085999999999991</v>
      </c>
      <c r="E310" s="16">
        <v>0.25983000000000001</v>
      </c>
      <c r="F310" s="17">
        <v>0.28570000000000007</v>
      </c>
      <c r="G310" s="18">
        <v>569</v>
      </c>
      <c r="H310" s="18">
        <v>183</v>
      </c>
      <c r="I310" s="18">
        <v>569</v>
      </c>
      <c r="J310" s="53">
        <v>90.12</v>
      </c>
    </row>
    <row r="311" spans="1:10" ht="17.25" customHeight="1" x14ac:dyDescent="0.25">
      <c r="A311" s="4">
        <v>589</v>
      </c>
      <c r="B311" s="5" t="s">
        <v>480</v>
      </c>
      <c r="C311" s="5" t="s">
        <v>481</v>
      </c>
      <c r="D311" s="16">
        <v>0.28800999999999988</v>
      </c>
      <c r="E311" s="16">
        <v>0.22760000000000002</v>
      </c>
      <c r="F311" s="17">
        <v>0.28570000000000007</v>
      </c>
      <c r="G311" s="18">
        <v>597</v>
      </c>
      <c r="H311" s="18">
        <v>211.45</v>
      </c>
      <c r="I311" s="18">
        <v>597</v>
      </c>
      <c r="J311" s="53">
        <v>132.16</v>
      </c>
    </row>
    <row r="312" spans="1:10" ht="17.25" customHeight="1" x14ac:dyDescent="0.25">
      <c r="A312" s="4">
        <v>587</v>
      </c>
      <c r="B312" s="5" t="s">
        <v>474</v>
      </c>
      <c r="C312" s="5" t="s">
        <v>479</v>
      </c>
      <c r="D312" s="16">
        <v>0.29861000000000004</v>
      </c>
      <c r="E312" s="16">
        <v>0.25707000000000013</v>
      </c>
      <c r="F312" s="17">
        <v>0.31102999999999992</v>
      </c>
      <c r="G312" s="18">
        <v>655</v>
      </c>
      <c r="H312" s="18">
        <v>258.14999999999998</v>
      </c>
      <c r="I312" s="18">
        <v>655</v>
      </c>
      <c r="J312" s="53">
        <v>116.16</v>
      </c>
    </row>
    <row r="313" spans="1:10" ht="17.25" customHeight="1" x14ac:dyDescent="0.25">
      <c r="A313" s="4">
        <v>602</v>
      </c>
      <c r="B313" s="5" t="s">
        <v>495</v>
      </c>
      <c r="C313" s="5" t="s">
        <v>496</v>
      </c>
      <c r="D313" s="16">
        <v>0.26889999999999992</v>
      </c>
      <c r="E313" s="16">
        <v>0.26035000000000008</v>
      </c>
      <c r="F313" s="17">
        <v>0.24730000000000008</v>
      </c>
      <c r="G313" s="18">
        <v>580</v>
      </c>
      <c r="H313" s="18">
        <v>158.75</v>
      </c>
      <c r="I313" s="18">
        <v>580</v>
      </c>
      <c r="J313" s="53">
        <v>102.17</v>
      </c>
    </row>
    <row r="314" spans="1:10" ht="17.25" customHeight="1" x14ac:dyDescent="0.25">
      <c r="A314" s="4">
        <v>554</v>
      </c>
      <c r="B314" s="5" t="s">
        <v>452</v>
      </c>
      <c r="C314" s="5" t="s">
        <v>457</v>
      </c>
      <c r="D314" s="16">
        <v>0.23120999999999992</v>
      </c>
      <c r="E314" s="16">
        <v>0.25140000000000007</v>
      </c>
      <c r="F314" s="17">
        <v>0.27523000000000009</v>
      </c>
      <c r="G314" s="18">
        <v>512</v>
      </c>
      <c r="H314" s="18">
        <v>141.61000000000001</v>
      </c>
      <c r="I314" s="18">
        <v>512</v>
      </c>
      <c r="J314" s="53">
        <v>84.16</v>
      </c>
    </row>
    <row r="315" spans="1:10" ht="17.25" customHeight="1" x14ac:dyDescent="0.25">
      <c r="A315" s="4">
        <v>850</v>
      </c>
      <c r="B315" s="5" t="s">
        <v>651</v>
      </c>
      <c r="C315" s="5" t="s">
        <v>652</v>
      </c>
      <c r="D315" s="16">
        <v>0.26851000000000003</v>
      </c>
      <c r="E315" s="16">
        <v>0.26127000000000011</v>
      </c>
      <c r="F315" s="17">
        <v>0.27729999999999988</v>
      </c>
      <c r="G315" s="18">
        <v>640.25</v>
      </c>
      <c r="H315" s="18">
        <v>203.15</v>
      </c>
      <c r="I315" s="18">
        <v>640.25</v>
      </c>
      <c r="J315" s="53">
        <v>130.22999999999999</v>
      </c>
    </row>
    <row r="316" spans="1:10" ht="17.25" customHeight="1" x14ac:dyDescent="0.25">
      <c r="A316" s="4">
        <v>812</v>
      </c>
      <c r="B316" s="5" t="s">
        <v>617</v>
      </c>
      <c r="C316" s="5" t="s">
        <v>621</v>
      </c>
      <c r="D316" s="16">
        <v>0.28123999999999993</v>
      </c>
      <c r="E316" s="16">
        <v>0.29740999999999995</v>
      </c>
      <c r="F316" s="17">
        <v>0.34186000000000005</v>
      </c>
      <c r="G316" s="18">
        <v>574</v>
      </c>
      <c r="H316" s="18">
        <v>173</v>
      </c>
      <c r="I316" s="18">
        <v>574</v>
      </c>
      <c r="J316" s="53">
        <v>112.21</v>
      </c>
    </row>
    <row r="317" spans="1:10" ht="17.25" customHeight="1" x14ac:dyDescent="0.25">
      <c r="A317" s="4">
        <v>710</v>
      </c>
      <c r="B317" s="5" t="s">
        <v>1698</v>
      </c>
      <c r="C317" s="5" t="s">
        <v>1702</v>
      </c>
      <c r="D317" s="16">
        <v>0.24669999999999992</v>
      </c>
      <c r="E317" s="16">
        <v>0.27353000000000005</v>
      </c>
      <c r="F317" s="17">
        <v>0.26631999999999989</v>
      </c>
      <c r="G317" s="18">
        <v>543</v>
      </c>
      <c r="H317" s="18">
        <v>168</v>
      </c>
      <c r="I317" s="18">
        <v>543</v>
      </c>
      <c r="J317" s="53">
        <v>98.19</v>
      </c>
    </row>
    <row r="318" spans="1:10" ht="17.25" customHeight="1" x14ac:dyDescent="0.25">
      <c r="A318" s="4">
        <v>1183</v>
      </c>
      <c r="B318" s="5" t="s">
        <v>913</v>
      </c>
      <c r="C318" s="5" t="s">
        <v>916</v>
      </c>
      <c r="D318" s="16">
        <v>0.29479999999999995</v>
      </c>
      <c r="E318" s="16">
        <v>0.24299999999999988</v>
      </c>
      <c r="F318" s="17">
        <v>0.28570999999999991</v>
      </c>
      <c r="G318" s="18">
        <v>776.44</v>
      </c>
      <c r="H318" s="18">
        <v>344.16</v>
      </c>
      <c r="I318" s="18">
        <v>776.44</v>
      </c>
      <c r="J318" s="53">
        <v>170.25</v>
      </c>
    </row>
    <row r="319" spans="1:10" ht="17.25" customHeight="1" x14ac:dyDescent="0.25">
      <c r="A319" s="4">
        <v>1184</v>
      </c>
      <c r="B319" s="5" t="s">
        <v>913</v>
      </c>
      <c r="C319" s="5" t="s">
        <v>917</v>
      </c>
      <c r="D319" s="16">
        <v>0.29479999999999995</v>
      </c>
      <c r="E319" s="16">
        <v>0.246</v>
      </c>
      <c r="F319" s="17">
        <v>0.28570999999999991</v>
      </c>
      <c r="G319" s="18">
        <v>766.56</v>
      </c>
      <c r="H319" s="18">
        <v>318.16000000000003</v>
      </c>
      <c r="I319" s="18">
        <v>766.56</v>
      </c>
      <c r="J319" s="53">
        <v>170.25</v>
      </c>
    </row>
    <row r="320" spans="1:10" ht="17.25" customHeight="1" x14ac:dyDescent="0.25">
      <c r="A320" s="4">
        <v>1185</v>
      </c>
      <c r="B320" s="5" t="s">
        <v>913</v>
      </c>
      <c r="C320" s="5" t="s">
        <v>918</v>
      </c>
      <c r="D320" s="16">
        <v>0.29479999999999995</v>
      </c>
      <c r="E320" s="16">
        <v>0.246</v>
      </c>
      <c r="F320" s="17">
        <v>0.28570999999999991</v>
      </c>
      <c r="G320" s="18">
        <v>766.56</v>
      </c>
      <c r="H320" s="18">
        <v>318.16000000000003</v>
      </c>
      <c r="I320" s="18">
        <v>766.56</v>
      </c>
      <c r="J320" s="53">
        <v>170.25</v>
      </c>
    </row>
    <row r="321" spans="1:10" ht="17.25" customHeight="1" x14ac:dyDescent="0.25">
      <c r="A321" s="4">
        <v>821</v>
      </c>
      <c r="B321" s="5" t="s">
        <v>626</v>
      </c>
      <c r="C321" s="5" t="s">
        <v>627</v>
      </c>
      <c r="D321" s="16">
        <v>0.26164999999999994</v>
      </c>
      <c r="E321" s="16">
        <v>0.25049999999999994</v>
      </c>
      <c r="F321" s="17">
        <v>0.28570000000000007</v>
      </c>
      <c r="G321" s="18">
        <v>607</v>
      </c>
      <c r="H321" s="18">
        <v>200</v>
      </c>
      <c r="I321" s="18">
        <v>607</v>
      </c>
      <c r="J321" s="53">
        <v>128.21</v>
      </c>
    </row>
    <row r="322" spans="1:10" ht="17.25" customHeight="1" x14ac:dyDescent="0.25">
      <c r="A322" s="4">
        <v>1016</v>
      </c>
      <c r="B322" s="5" t="s">
        <v>729</v>
      </c>
      <c r="C322" s="5" t="s">
        <v>730</v>
      </c>
      <c r="D322" s="16">
        <v>0.27668999999999988</v>
      </c>
      <c r="E322" s="16">
        <v>0.25429999999999997</v>
      </c>
      <c r="F322" s="17">
        <v>0.28570000000000007</v>
      </c>
      <c r="G322" s="18">
        <v>639</v>
      </c>
      <c r="H322" s="18">
        <v>180.15</v>
      </c>
      <c r="I322" s="18">
        <v>639</v>
      </c>
      <c r="J322" s="53">
        <v>172.26</v>
      </c>
    </row>
    <row r="323" spans="1:10" ht="17.25" customHeight="1" x14ac:dyDescent="0.25">
      <c r="A323" s="4">
        <v>1111</v>
      </c>
      <c r="B323" s="5" t="s">
        <v>829</v>
      </c>
      <c r="C323" s="5" t="s">
        <v>830</v>
      </c>
      <c r="D323" s="16">
        <v>0.28838000000000008</v>
      </c>
      <c r="E323" s="16">
        <v>0.24214000000000002</v>
      </c>
      <c r="F323" s="17">
        <v>0.3952</v>
      </c>
      <c r="G323" s="18">
        <v>655</v>
      </c>
      <c r="H323" s="18">
        <v>183.15</v>
      </c>
      <c r="I323" s="18">
        <v>655</v>
      </c>
      <c r="J323" s="53">
        <v>172.26</v>
      </c>
    </row>
    <row r="324" spans="1:10" ht="17.25" customHeight="1" x14ac:dyDescent="0.25">
      <c r="A324" s="4">
        <v>984</v>
      </c>
      <c r="B324" s="5" t="s">
        <v>708</v>
      </c>
      <c r="C324" s="5" t="s">
        <v>2375</v>
      </c>
      <c r="D324" s="16">
        <v>0.27847</v>
      </c>
      <c r="E324" s="16">
        <v>0.25307999999999997</v>
      </c>
      <c r="F324" s="17">
        <v>0.29132999999999987</v>
      </c>
      <c r="G324" s="18">
        <v>671</v>
      </c>
      <c r="H324" s="18">
        <v>256.89</v>
      </c>
      <c r="I324" s="18">
        <v>671</v>
      </c>
      <c r="J324" s="53">
        <v>134.22</v>
      </c>
    </row>
    <row r="325" spans="1:10" ht="17.25" customHeight="1" x14ac:dyDescent="0.25">
      <c r="A325" s="4">
        <v>1142</v>
      </c>
      <c r="B325" s="5" t="s">
        <v>859</v>
      </c>
      <c r="C325" s="5" t="s">
        <v>869</v>
      </c>
      <c r="D325" s="16">
        <v>0.29970000000000008</v>
      </c>
      <c r="E325" s="16">
        <v>0.254</v>
      </c>
      <c r="F325" s="17">
        <v>0.28570999999999991</v>
      </c>
      <c r="G325" s="18">
        <v>774.9</v>
      </c>
      <c r="H325" s="18">
        <v>265.76</v>
      </c>
      <c r="I325" s="18">
        <v>774.9</v>
      </c>
      <c r="J325" s="53">
        <v>156.22</v>
      </c>
    </row>
    <row r="326" spans="1:10" ht="17.25" customHeight="1" x14ac:dyDescent="0.25">
      <c r="A326" s="6">
        <v>985</v>
      </c>
      <c r="B326" s="5" t="s">
        <v>708</v>
      </c>
      <c r="C326" s="5" t="s">
        <v>2376</v>
      </c>
      <c r="D326" s="16">
        <v>0.27845999999999993</v>
      </c>
      <c r="E326" s="16">
        <v>0.25625000000000009</v>
      </c>
      <c r="F326" s="17">
        <v>0.29320000000000013</v>
      </c>
      <c r="G326" s="18">
        <v>663</v>
      </c>
      <c r="H326" s="18">
        <v>219.52</v>
      </c>
      <c r="I326" s="18">
        <v>663</v>
      </c>
      <c r="J326" s="53">
        <v>134.22</v>
      </c>
    </row>
    <row r="327" spans="1:10" ht="17.25" customHeight="1" x14ac:dyDescent="0.25">
      <c r="A327" s="4">
        <v>200</v>
      </c>
      <c r="B327" s="5" t="s">
        <v>65</v>
      </c>
      <c r="C327" s="5" t="s">
        <v>67</v>
      </c>
      <c r="D327" s="16">
        <v>0.28810000000000002</v>
      </c>
      <c r="E327" s="16">
        <v>0.26200000000000001</v>
      </c>
      <c r="F327" s="17">
        <v>0.28570999999999991</v>
      </c>
      <c r="G327" s="18">
        <v>415.68</v>
      </c>
      <c r="H327" s="18">
        <v>139.80000000000001</v>
      </c>
      <c r="I327" s="18">
        <v>415.68</v>
      </c>
      <c r="J327" s="53">
        <v>62.09</v>
      </c>
    </row>
    <row r="328" spans="1:10" ht="17.25" customHeight="1" x14ac:dyDescent="0.25">
      <c r="A328" s="4">
        <v>752</v>
      </c>
      <c r="B328" s="5" t="s">
        <v>1733</v>
      </c>
      <c r="C328" s="5" t="s">
        <v>1735</v>
      </c>
      <c r="D328" s="16">
        <v>0.26895000000000002</v>
      </c>
      <c r="E328" s="16">
        <v>0.26581999999999995</v>
      </c>
      <c r="F328" s="17">
        <v>0.25340000000000007</v>
      </c>
      <c r="G328" s="18">
        <v>588</v>
      </c>
      <c r="H328" s="18">
        <v>243</v>
      </c>
      <c r="I328" s="18">
        <v>588</v>
      </c>
      <c r="J328" s="53">
        <v>116.2</v>
      </c>
    </row>
    <row r="329" spans="1:10" ht="17.25" customHeight="1" x14ac:dyDescent="0.25">
      <c r="A329" s="4">
        <v>723</v>
      </c>
      <c r="B329" s="5" t="s">
        <v>1710</v>
      </c>
      <c r="C329" s="5" t="s">
        <v>1712</v>
      </c>
      <c r="D329" s="16">
        <v>0.27123000000000008</v>
      </c>
      <c r="E329" s="16">
        <v>0.26113999999999993</v>
      </c>
      <c r="F329" s="17">
        <v>0.30447000000000002</v>
      </c>
      <c r="G329" s="18">
        <v>611.54999999999995</v>
      </c>
      <c r="H329" s="18">
        <v>238.15</v>
      </c>
      <c r="I329" s="18">
        <v>611.54999999999995</v>
      </c>
      <c r="J329" s="53">
        <v>114.18</v>
      </c>
    </row>
    <row r="330" spans="1:10" ht="17.25" customHeight="1" x14ac:dyDescent="0.25">
      <c r="A330" s="4">
        <v>604</v>
      </c>
      <c r="B330" s="5" t="s">
        <v>495</v>
      </c>
      <c r="C330" s="5" t="s">
        <v>498</v>
      </c>
      <c r="D330" s="16">
        <v>0.26879000000000008</v>
      </c>
      <c r="E330" s="16">
        <v>0.26275000000000004</v>
      </c>
      <c r="F330" s="17">
        <v>0.26944999999999997</v>
      </c>
      <c r="G330" s="18">
        <v>586.20000000000005</v>
      </c>
      <c r="H330" s="18">
        <v>223</v>
      </c>
      <c r="I330" s="18">
        <v>586.20000000000005</v>
      </c>
      <c r="J330" s="53">
        <v>102.17</v>
      </c>
    </row>
    <row r="331" spans="1:10" ht="17.25" customHeight="1" x14ac:dyDescent="0.25">
      <c r="A331" s="4">
        <v>574</v>
      </c>
      <c r="B331" s="5" t="s">
        <v>466</v>
      </c>
      <c r="C331" s="5" t="s">
        <v>471</v>
      </c>
      <c r="D331" s="16">
        <v>0.27144000000000013</v>
      </c>
      <c r="E331" s="16">
        <v>0.26073000000000013</v>
      </c>
      <c r="F331" s="17">
        <v>0.29630000000000001</v>
      </c>
      <c r="G331" s="18">
        <v>587.04999999999995</v>
      </c>
      <c r="H331" s="18">
        <v>217.35</v>
      </c>
      <c r="I331" s="18">
        <v>587.04999999999995</v>
      </c>
      <c r="J331" s="53">
        <v>100.16</v>
      </c>
    </row>
    <row r="332" spans="1:10" ht="17.25" customHeight="1" x14ac:dyDescent="0.25">
      <c r="A332" s="4">
        <v>534</v>
      </c>
      <c r="B332" s="5" t="s">
        <v>426</v>
      </c>
      <c r="C332" s="5" t="s">
        <v>434</v>
      </c>
      <c r="D332" s="16">
        <v>0.24817</v>
      </c>
      <c r="E332" s="16">
        <v>0.25248000000000004</v>
      </c>
      <c r="F332" s="17">
        <v>0.31611000000000011</v>
      </c>
      <c r="G332" s="18">
        <v>549</v>
      </c>
      <c r="H332" s="18">
        <v>183.65</v>
      </c>
      <c r="I332" s="18">
        <v>549</v>
      </c>
      <c r="J332" s="53">
        <v>82.14</v>
      </c>
    </row>
    <row r="333" spans="1:10" ht="17.25" customHeight="1" x14ac:dyDescent="0.25">
      <c r="A333" s="4">
        <v>395</v>
      </c>
      <c r="B333" s="5" t="s">
        <v>295</v>
      </c>
      <c r="C333" s="5" t="s">
        <v>296</v>
      </c>
      <c r="D333" s="16">
        <v>0.32342000000000004</v>
      </c>
      <c r="E333" s="16">
        <v>0.2596099999999999</v>
      </c>
      <c r="F333" s="17">
        <v>0.28570000000000007</v>
      </c>
      <c r="G333" s="18">
        <v>662</v>
      </c>
      <c r="H333" s="18">
        <v>213</v>
      </c>
      <c r="I333" s="18">
        <v>662</v>
      </c>
      <c r="J333" s="53">
        <v>116.11</v>
      </c>
    </row>
    <row r="334" spans="1:10" ht="17.25" customHeight="1" x14ac:dyDescent="0.25">
      <c r="A334" s="4">
        <v>315</v>
      </c>
      <c r="B334" s="5" t="s">
        <v>197</v>
      </c>
      <c r="C334" s="5" t="s">
        <v>198</v>
      </c>
      <c r="D334" s="16">
        <v>0.52229999999999999</v>
      </c>
      <c r="E334" s="16">
        <v>0.2669999999999999</v>
      </c>
      <c r="F334" s="17">
        <v>0.28570999999999991</v>
      </c>
      <c r="G334" s="18">
        <v>587.9</v>
      </c>
      <c r="H334" s="18">
        <v>234.96</v>
      </c>
      <c r="I334" s="18">
        <v>587.9</v>
      </c>
      <c r="J334" s="53">
        <v>184.02</v>
      </c>
    </row>
    <row r="335" spans="1:10" ht="17.25" customHeight="1" x14ac:dyDescent="0.25">
      <c r="A335" s="4">
        <v>282</v>
      </c>
      <c r="B335" s="5" t="s">
        <v>163</v>
      </c>
      <c r="C335" s="5" t="s">
        <v>165</v>
      </c>
      <c r="D335" s="16">
        <v>0.28516999999999992</v>
      </c>
      <c r="E335" s="16">
        <v>0.26400000000000001</v>
      </c>
      <c r="F335" s="17">
        <v>0.29000000000000004</v>
      </c>
      <c r="G335" s="18">
        <v>741</v>
      </c>
      <c r="H335" s="18">
        <v>383.65</v>
      </c>
      <c r="I335" s="18">
        <v>741</v>
      </c>
      <c r="J335" s="53">
        <v>85.1</v>
      </c>
    </row>
    <row r="336" spans="1:10" ht="17.25" customHeight="1" x14ac:dyDescent="0.25">
      <c r="A336" s="4">
        <v>215</v>
      </c>
      <c r="B336" s="5" t="s">
        <v>83</v>
      </c>
      <c r="C336" s="5" t="s">
        <v>84</v>
      </c>
      <c r="D336" s="16">
        <v>0.31877</v>
      </c>
      <c r="E336" s="16">
        <v>0.25503999999999993</v>
      </c>
      <c r="F336" s="17">
        <v>0.28570000000000007</v>
      </c>
      <c r="G336" s="18">
        <v>564</v>
      </c>
      <c r="H336" s="18">
        <v>188.05</v>
      </c>
      <c r="I336" s="18">
        <v>564</v>
      </c>
      <c r="J336" s="53">
        <v>76.09</v>
      </c>
    </row>
    <row r="337" spans="1:10" ht="17.25" customHeight="1" x14ac:dyDescent="0.25">
      <c r="A337" s="4">
        <v>377</v>
      </c>
      <c r="B337" s="5" t="s">
        <v>272</v>
      </c>
      <c r="C337" s="5" t="s">
        <v>276</v>
      </c>
      <c r="D337" s="16">
        <v>0.23399999999999999</v>
      </c>
      <c r="E337" s="16">
        <v>0.248</v>
      </c>
      <c r="F337" s="17">
        <v>0.28570999999999991</v>
      </c>
      <c r="G337" s="18">
        <v>483.3</v>
      </c>
      <c r="H337" s="18">
        <v>127.19999999999999</v>
      </c>
      <c r="I337" s="18">
        <v>483.3</v>
      </c>
      <c r="J337" s="53">
        <v>68.12</v>
      </c>
    </row>
    <row r="338" spans="1:10" ht="17.25" customHeight="1" x14ac:dyDescent="0.25">
      <c r="A338" s="4">
        <v>443</v>
      </c>
      <c r="B338" s="5" t="s">
        <v>348</v>
      </c>
      <c r="C338" s="5" t="s">
        <v>350</v>
      </c>
      <c r="D338" s="16">
        <v>0.26956999999999987</v>
      </c>
      <c r="E338" s="16">
        <v>0.26828999999999992</v>
      </c>
      <c r="F338" s="17">
        <v>0.23219999999999996</v>
      </c>
      <c r="G338" s="18">
        <v>565</v>
      </c>
      <c r="H338" s="18">
        <v>203</v>
      </c>
      <c r="I338" s="18">
        <v>565</v>
      </c>
      <c r="J338" s="53">
        <v>88.15</v>
      </c>
    </row>
    <row r="339" spans="1:10" ht="17.25" customHeight="1" x14ac:dyDescent="0.25">
      <c r="A339" s="4">
        <v>404</v>
      </c>
      <c r="B339" s="5" t="s">
        <v>305</v>
      </c>
      <c r="C339" s="5" t="s">
        <v>307</v>
      </c>
      <c r="D339" s="16">
        <v>0.2366299999999999</v>
      </c>
      <c r="E339" s="16">
        <v>0.26065000000000005</v>
      </c>
      <c r="F339" s="17">
        <v>0.28570000000000007</v>
      </c>
      <c r="G339" s="18">
        <v>465</v>
      </c>
      <c r="H339" s="18">
        <v>135.58000000000001</v>
      </c>
      <c r="I339" s="18">
        <v>465</v>
      </c>
      <c r="J339" s="53">
        <v>70.13</v>
      </c>
    </row>
    <row r="340" spans="1:10" ht="17.25" customHeight="1" x14ac:dyDescent="0.25">
      <c r="A340" s="4">
        <v>362</v>
      </c>
      <c r="B340" s="5" t="s">
        <v>253</v>
      </c>
      <c r="C340" s="5" t="s">
        <v>255</v>
      </c>
      <c r="D340" s="16">
        <v>0.26652999999999993</v>
      </c>
      <c r="E340" s="16">
        <v>0.27671000000000001</v>
      </c>
      <c r="F340" s="17">
        <v>0.30820999999999987</v>
      </c>
      <c r="G340" s="18">
        <v>492</v>
      </c>
      <c r="H340" s="18">
        <v>160.15</v>
      </c>
      <c r="I340" s="18">
        <v>492</v>
      </c>
      <c r="J340" s="53">
        <v>66.099999999999994</v>
      </c>
    </row>
    <row r="341" spans="1:10" ht="17.25" customHeight="1" x14ac:dyDescent="0.25">
      <c r="A341" s="4">
        <v>718</v>
      </c>
      <c r="B341" s="5" t="s">
        <v>1698</v>
      </c>
      <c r="C341" s="5" t="s">
        <v>1706</v>
      </c>
      <c r="D341" s="16">
        <v>0.24669999999999992</v>
      </c>
      <c r="E341" s="16">
        <v>0.26773999999999987</v>
      </c>
      <c r="F341" s="17">
        <v>0.29214000000000007</v>
      </c>
      <c r="G341" s="18">
        <v>538</v>
      </c>
      <c r="H341" s="18">
        <v>170.28</v>
      </c>
      <c r="I341" s="18">
        <v>538</v>
      </c>
      <c r="J341" s="53">
        <v>98.19</v>
      </c>
    </row>
    <row r="342" spans="1:10" ht="17.25" customHeight="1" x14ac:dyDescent="0.25">
      <c r="A342" s="4">
        <v>605</v>
      </c>
      <c r="B342" s="5" t="s">
        <v>495</v>
      </c>
      <c r="C342" s="5" t="s">
        <v>499</v>
      </c>
      <c r="D342" s="16">
        <v>0.27621000000000007</v>
      </c>
      <c r="E342" s="16">
        <v>0.26005999999999996</v>
      </c>
      <c r="F342" s="17">
        <v>0.28570000000000007</v>
      </c>
      <c r="G342" s="18">
        <v>582</v>
      </c>
      <c r="H342" s="18">
        <v>223</v>
      </c>
      <c r="I342" s="18">
        <v>582</v>
      </c>
      <c r="J342" s="53">
        <v>102.17</v>
      </c>
    </row>
    <row r="343" spans="1:10" ht="17.25" customHeight="1" x14ac:dyDescent="0.25">
      <c r="A343" s="4">
        <v>562</v>
      </c>
      <c r="B343" s="5" t="s">
        <v>452</v>
      </c>
      <c r="C343" s="5" t="s">
        <v>460</v>
      </c>
      <c r="D343" s="16">
        <v>0.23956</v>
      </c>
      <c r="E343" s="16">
        <v>0.26336000000000004</v>
      </c>
      <c r="F343" s="17">
        <v>0.28570000000000007</v>
      </c>
      <c r="G343" s="18">
        <v>507</v>
      </c>
      <c r="H343" s="18">
        <v>137.41999999999999</v>
      </c>
      <c r="I343" s="18">
        <v>507</v>
      </c>
      <c r="J343" s="53">
        <v>84.16</v>
      </c>
    </row>
    <row r="344" spans="1:10" ht="17.25" customHeight="1" x14ac:dyDescent="0.25">
      <c r="A344" s="4">
        <v>462</v>
      </c>
      <c r="B344" s="5" t="s">
        <v>366</v>
      </c>
      <c r="C344" s="5" t="s">
        <v>369</v>
      </c>
      <c r="D344" s="16">
        <v>0.30049999999999999</v>
      </c>
      <c r="E344" s="16">
        <v>0.28800000000000003</v>
      </c>
      <c r="F344" s="17">
        <v>0.28570999999999991</v>
      </c>
      <c r="G344" s="18">
        <v>566</v>
      </c>
      <c r="H344" s="18">
        <v>169.38</v>
      </c>
      <c r="I344" s="18">
        <v>566</v>
      </c>
      <c r="J344" s="53">
        <v>104.21</v>
      </c>
    </row>
    <row r="345" spans="1:10" ht="17.25" customHeight="1" x14ac:dyDescent="0.25">
      <c r="A345" s="4">
        <v>444</v>
      </c>
      <c r="B345" s="5" t="s">
        <v>348</v>
      </c>
      <c r="C345" s="5" t="s">
        <v>351</v>
      </c>
      <c r="D345" s="16">
        <v>0.26959</v>
      </c>
      <c r="E345" s="16">
        <v>0.25961999999999996</v>
      </c>
      <c r="F345" s="17">
        <v>0.26469999999999994</v>
      </c>
      <c r="G345" s="18">
        <v>545.15</v>
      </c>
      <c r="H345" s="18">
        <v>264.35000000000002</v>
      </c>
      <c r="I345" s="18">
        <v>545.15</v>
      </c>
      <c r="J345" s="53">
        <v>88.15</v>
      </c>
    </row>
    <row r="346" spans="1:10" ht="17.25" customHeight="1" x14ac:dyDescent="0.25">
      <c r="A346" s="4">
        <v>405</v>
      </c>
      <c r="B346" s="5" t="s">
        <v>305</v>
      </c>
      <c r="C346" s="5" t="s">
        <v>308</v>
      </c>
      <c r="D346" s="16">
        <v>0.23693000000000008</v>
      </c>
      <c r="E346" s="16">
        <v>0.25700000000000012</v>
      </c>
      <c r="F346" s="17">
        <v>0.28570999999999991</v>
      </c>
      <c r="G346" s="18">
        <v>471</v>
      </c>
      <c r="H346" s="18">
        <v>139.38999999999999</v>
      </c>
      <c r="I346" s="18">
        <v>471</v>
      </c>
      <c r="J346" s="53">
        <v>70.13</v>
      </c>
    </row>
    <row r="347" spans="1:10" ht="17.25" customHeight="1" x14ac:dyDescent="0.25">
      <c r="A347" s="4">
        <v>563</v>
      </c>
      <c r="B347" s="5" t="s">
        <v>452</v>
      </c>
      <c r="C347" s="5" t="s">
        <v>461</v>
      </c>
      <c r="D347" s="16">
        <v>0.23865000000000003</v>
      </c>
      <c r="E347" s="16">
        <v>0.26075999999999988</v>
      </c>
      <c r="F347" s="17">
        <v>0.28570000000000007</v>
      </c>
      <c r="G347" s="18">
        <v>514</v>
      </c>
      <c r="H347" s="18">
        <v>138.07</v>
      </c>
      <c r="I347" s="18">
        <v>514</v>
      </c>
      <c r="J347" s="53">
        <v>84.16</v>
      </c>
    </row>
    <row r="348" spans="1:10" ht="17.25" customHeight="1" x14ac:dyDescent="0.25">
      <c r="A348" s="4">
        <v>877</v>
      </c>
      <c r="B348" s="5" t="s">
        <v>1786</v>
      </c>
      <c r="C348" s="5" t="s">
        <v>1787</v>
      </c>
      <c r="D348" s="16">
        <v>0.3264800000000001</v>
      </c>
      <c r="E348" s="16">
        <v>0.25390000000000001</v>
      </c>
      <c r="F348" s="17">
        <v>0.28570000000000007</v>
      </c>
      <c r="G348" s="18">
        <v>698</v>
      </c>
      <c r="H348" s="18">
        <v>290</v>
      </c>
      <c r="I348" s="18">
        <v>698</v>
      </c>
      <c r="J348" s="53">
        <v>132.16</v>
      </c>
    </row>
    <row r="349" spans="1:10" ht="17.25" customHeight="1" x14ac:dyDescent="0.25">
      <c r="A349" s="4">
        <v>422</v>
      </c>
      <c r="B349" s="5" t="s">
        <v>320</v>
      </c>
      <c r="C349" s="5" t="s">
        <v>324</v>
      </c>
      <c r="D349" s="16">
        <v>0.29437999999999986</v>
      </c>
      <c r="E349" s="16">
        <v>0.25244</v>
      </c>
      <c r="F349" s="17">
        <v>0.28570999999999991</v>
      </c>
      <c r="G349" s="18">
        <v>643</v>
      </c>
      <c r="H349" s="18">
        <v>193</v>
      </c>
      <c r="I349" s="18">
        <v>643</v>
      </c>
      <c r="J349" s="53">
        <v>102.13</v>
      </c>
    </row>
    <row r="350" spans="1:10" ht="17.25" customHeight="1" x14ac:dyDescent="0.25">
      <c r="A350" s="4">
        <v>838</v>
      </c>
      <c r="B350" s="5" t="s">
        <v>633</v>
      </c>
      <c r="C350" s="5" t="s">
        <v>643</v>
      </c>
      <c r="D350" s="16">
        <v>0.23177000000000003</v>
      </c>
      <c r="E350" s="16">
        <v>0.2589999999999999</v>
      </c>
      <c r="F350" s="17">
        <v>0.2713000000000001</v>
      </c>
      <c r="G350" s="18">
        <v>559.64</v>
      </c>
      <c r="H350" s="18">
        <v>164.16</v>
      </c>
      <c r="I350" s="18">
        <v>559.64</v>
      </c>
      <c r="J350" s="53">
        <v>114.23</v>
      </c>
    </row>
    <row r="351" spans="1:10" ht="17.25" customHeight="1" x14ac:dyDescent="0.25">
      <c r="A351" s="4">
        <v>748</v>
      </c>
      <c r="B351" s="5" t="s">
        <v>1724</v>
      </c>
      <c r="C351" s="5" t="s">
        <v>1730</v>
      </c>
      <c r="D351" s="16">
        <v>0.23792999999999997</v>
      </c>
      <c r="E351" s="16">
        <v>0.26970000000000005</v>
      </c>
      <c r="F351" s="17">
        <v>0.27899999999999991</v>
      </c>
      <c r="G351" s="18">
        <v>530.37</v>
      </c>
      <c r="H351" s="18">
        <v>154.9</v>
      </c>
      <c r="I351" s="18">
        <v>530.37</v>
      </c>
      <c r="J351" s="53">
        <v>100.2</v>
      </c>
    </row>
    <row r="352" spans="1:10" ht="17.25" customHeight="1" x14ac:dyDescent="0.25">
      <c r="A352" s="4">
        <v>967</v>
      </c>
      <c r="B352" s="5" t="s">
        <v>698</v>
      </c>
      <c r="C352" s="5" t="s">
        <v>700</v>
      </c>
      <c r="D352" s="16">
        <v>0.30347999999999997</v>
      </c>
      <c r="E352" s="16">
        <v>0.26254</v>
      </c>
      <c r="F352" s="17">
        <v>0.23950000000000005</v>
      </c>
      <c r="G352" s="18">
        <v>684</v>
      </c>
      <c r="H352" s="18">
        <v>353.15</v>
      </c>
      <c r="I352" s="18">
        <v>684</v>
      </c>
      <c r="J352" s="53">
        <v>130.19</v>
      </c>
    </row>
    <row r="353" spans="1:10" ht="17.25" customHeight="1" x14ac:dyDescent="0.25">
      <c r="A353" s="4">
        <v>1106</v>
      </c>
      <c r="B353" s="5" t="s">
        <v>821</v>
      </c>
      <c r="C353" s="5" t="s">
        <v>823</v>
      </c>
      <c r="D353" s="16">
        <v>0.28251999999999988</v>
      </c>
      <c r="E353" s="16">
        <v>0.23842999999999992</v>
      </c>
      <c r="F353" s="17">
        <v>0.25590000000000002</v>
      </c>
      <c r="G353" s="18">
        <v>761</v>
      </c>
      <c r="H353" s="18">
        <v>307.73</v>
      </c>
      <c r="I353" s="18">
        <v>761</v>
      </c>
      <c r="J353" s="53">
        <v>142.19999999999999</v>
      </c>
    </row>
    <row r="354" spans="1:10" ht="17.25" customHeight="1" x14ac:dyDescent="0.25">
      <c r="A354" s="4">
        <v>1019</v>
      </c>
      <c r="B354" s="5" t="s">
        <v>732</v>
      </c>
      <c r="C354" s="5" t="s">
        <v>733</v>
      </c>
      <c r="D354" s="16">
        <v>0.24405999999999994</v>
      </c>
      <c r="E354" s="16">
        <v>0.26475000000000004</v>
      </c>
      <c r="F354" s="17">
        <v>0.30082999999999993</v>
      </c>
      <c r="G354" s="18">
        <v>610</v>
      </c>
      <c r="H354" s="18">
        <v>198.5</v>
      </c>
      <c r="I354" s="18">
        <v>610</v>
      </c>
      <c r="J354" s="53">
        <v>142.28</v>
      </c>
    </row>
    <row r="355" spans="1:10" ht="17.25" customHeight="1" x14ac:dyDescent="0.25">
      <c r="A355" s="4">
        <v>940</v>
      </c>
      <c r="B355" s="5" t="s">
        <v>664</v>
      </c>
      <c r="C355" s="5" t="s">
        <v>668</v>
      </c>
      <c r="D355" s="16">
        <v>0.23414000000000001</v>
      </c>
      <c r="E355" s="16">
        <v>0.25713000000000008</v>
      </c>
      <c r="F355" s="17">
        <v>0.28570000000000007</v>
      </c>
      <c r="G355" s="18">
        <v>586.75</v>
      </c>
      <c r="H355" s="20">
        <v>192.78</v>
      </c>
      <c r="I355" s="18">
        <v>586.75</v>
      </c>
      <c r="J355" s="53">
        <v>128.25</v>
      </c>
    </row>
    <row r="356" spans="1:10" ht="17.25" customHeight="1" x14ac:dyDescent="0.25">
      <c r="A356" s="4">
        <v>599</v>
      </c>
      <c r="B356" s="5" t="s">
        <v>489</v>
      </c>
      <c r="C356" s="5" t="s">
        <v>492</v>
      </c>
      <c r="D356" s="16">
        <v>0.23466000000000009</v>
      </c>
      <c r="E356" s="16">
        <v>0.26723999999999992</v>
      </c>
      <c r="F356" s="17">
        <v>0.28570000000000007</v>
      </c>
      <c r="G356" s="18">
        <v>497.5</v>
      </c>
      <c r="H356" s="18">
        <v>119.55</v>
      </c>
      <c r="I356" s="18">
        <v>497.5</v>
      </c>
      <c r="J356" s="53">
        <v>86.17</v>
      </c>
    </row>
    <row r="357" spans="1:10" ht="17.25" customHeight="1" x14ac:dyDescent="0.25">
      <c r="A357" s="4">
        <v>510</v>
      </c>
      <c r="B357" s="5" t="s">
        <v>408</v>
      </c>
      <c r="C357" s="5" t="s">
        <v>410</v>
      </c>
      <c r="D357" s="16">
        <v>0.29103000000000012</v>
      </c>
      <c r="E357" s="16">
        <v>0.2464599999999999</v>
      </c>
      <c r="F357" s="17">
        <v>0.27178999999999998</v>
      </c>
      <c r="G357" s="18">
        <v>621</v>
      </c>
      <c r="H357" s="18">
        <v>206.44</v>
      </c>
      <c r="I357" s="18">
        <v>621</v>
      </c>
      <c r="J357" s="53">
        <v>93.13</v>
      </c>
    </row>
    <row r="358" spans="1:10" ht="17.25" customHeight="1" x14ac:dyDescent="0.25">
      <c r="A358" s="4">
        <v>370</v>
      </c>
      <c r="B358" s="5" t="s">
        <v>265</v>
      </c>
      <c r="C358" s="5" t="s">
        <v>266</v>
      </c>
      <c r="D358" s="16">
        <v>0.33860000000000001</v>
      </c>
      <c r="E358" s="16">
        <v>0.26500000000000012</v>
      </c>
      <c r="F358" s="17">
        <v>0.28570999999999991</v>
      </c>
      <c r="G358" s="18">
        <v>610</v>
      </c>
      <c r="H358" s="18">
        <v>209.77</v>
      </c>
      <c r="I358" s="18">
        <v>610</v>
      </c>
      <c r="J358" s="53">
        <v>98.17</v>
      </c>
    </row>
    <row r="359" spans="1:10" ht="17.25" customHeight="1" x14ac:dyDescent="0.25">
      <c r="A359" s="4">
        <v>320</v>
      </c>
      <c r="B359" s="5" t="s">
        <v>204</v>
      </c>
      <c r="C359" s="5" t="s">
        <v>206</v>
      </c>
      <c r="D359" s="16">
        <v>0.32479999999999998</v>
      </c>
      <c r="E359" s="16">
        <v>0.26400000000000001</v>
      </c>
      <c r="F359" s="17">
        <v>0.28570999999999991</v>
      </c>
      <c r="G359" s="18">
        <v>615</v>
      </c>
      <c r="H359" s="18">
        <v>141.16</v>
      </c>
      <c r="I359" s="18">
        <v>615</v>
      </c>
      <c r="J359" s="53">
        <v>103.12</v>
      </c>
    </row>
    <row r="360" spans="1:10" ht="17.25" customHeight="1" x14ac:dyDescent="0.25">
      <c r="A360" s="4">
        <v>208</v>
      </c>
      <c r="B360" s="5" t="s">
        <v>75</v>
      </c>
      <c r="C360" s="5" t="s">
        <v>77</v>
      </c>
      <c r="D360" s="16">
        <v>0.30936000000000008</v>
      </c>
      <c r="E360" s="16">
        <v>0.24668000000000001</v>
      </c>
      <c r="F360" s="17">
        <v>0.27367999999999992</v>
      </c>
      <c r="G360" s="18">
        <v>594</v>
      </c>
      <c r="H360" s="18">
        <v>181.83</v>
      </c>
      <c r="I360" s="18">
        <v>594</v>
      </c>
      <c r="J360" s="53">
        <v>89.09</v>
      </c>
    </row>
    <row r="361" spans="1:10" ht="17.25" customHeight="1" x14ac:dyDescent="0.25">
      <c r="A361" s="4">
        <v>951</v>
      </c>
      <c r="B361" s="5" t="s">
        <v>676</v>
      </c>
      <c r="C361" s="5" t="s">
        <v>679</v>
      </c>
      <c r="D361" s="16">
        <v>0.26812000000000014</v>
      </c>
      <c r="E361" s="16">
        <v>0.26340999999999992</v>
      </c>
      <c r="F361" s="17">
        <v>0.2722</v>
      </c>
      <c r="G361" s="18">
        <v>623</v>
      </c>
      <c r="H361" s="18">
        <v>238.15</v>
      </c>
      <c r="I361" s="18">
        <v>623</v>
      </c>
      <c r="J361" s="53">
        <v>144.25</v>
      </c>
    </row>
    <row r="362" spans="1:10" ht="17.25" customHeight="1" x14ac:dyDescent="0.25">
      <c r="A362" s="4">
        <v>695</v>
      </c>
      <c r="B362" s="5" t="s">
        <v>583</v>
      </c>
      <c r="C362" s="5" t="s">
        <v>584</v>
      </c>
      <c r="D362" s="16">
        <v>0.27963000000000005</v>
      </c>
      <c r="E362" s="16">
        <v>0.27300000000000013</v>
      </c>
      <c r="F362" s="17">
        <v>0.28570999999999991</v>
      </c>
      <c r="G362" s="18">
        <v>583</v>
      </c>
      <c r="H362" s="18">
        <v>319.39999999999998</v>
      </c>
      <c r="I362" s="18">
        <v>583</v>
      </c>
      <c r="J362" s="53">
        <v>94.15</v>
      </c>
    </row>
    <row r="363" spans="1:10" ht="17.25" customHeight="1" x14ac:dyDescent="0.25">
      <c r="A363" s="4">
        <v>852</v>
      </c>
      <c r="B363" s="5" t="s">
        <v>651</v>
      </c>
      <c r="C363" s="5" t="s">
        <v>654</v>
      </c>
      <c r="D363" s="16">
        <v>0.27764999999999995</v>
      </c>
      <c r="E363" s="16">
        <v>0.27263999999999999</v>
      </c>
      <c r="F363" s="17">
        <v>0.29430000000000001</v>
      </c>
      <c r="G363" s="18">
        <v>637.15</v>
      </c>
      <c r="H363" s="18">
        <v>241.55</v>
      </c>
      <c r="I363" s="18">
        <v>637.15</v>
      </c>
      <c r="J363" s="53">
        <v>130.22999999999999</v>
      </c>
    </row>
    <row r="364" spans="1:10" ht="17.25" customHeight="1" x14ac:dyDescent="0.25">
      <c r="A364" s="4">
        <v>823</v>
      </c>
      <c r="B364" s="5" t="s">
        <v>626</v>
      </c>
      <c r="C364" s="5" t="s">
        <v>629</v>
      </c>
      <c r="D364" s="16">
        <v>0.27336999999999989</v>
      </c>
      <c r="E364" s="16">
        <v>0.26615999999999995</v>
      </c>
      <c r="F364" s="17">
        <v>0.29627999999999988</v>
      </c>
      <c r="G364" s="18">
        <v>624</v>
      </c>
      <c r="H364" s="18">
        <v>252.85</v>
      </c>
      <c r="I364" s="18">
        <v>624</v>
      </c>
      <c r="J364" s="53">
        <v>128.21</v>
      </c>
    </row>
    <row r="365" spans="1:10" ht="17.25" customHeight="1" x14ac:dyDescent="0.25">
      <c r="A365" s="4">
        <v>448</v>
      </c>
      <c r="B365" s="5" t="s">
        <v>348</v>
      </c>
      <c r="C365" s="5" t="s">
        <v>355</v>
      </c>
      <c r="D365" s="16">
        <v>0.27942</v>
      </c>
      <c r="E365" s="16">
        <v>0.26669999999999994</v>
      </c>
      <c r="F365" s="17">
        <v>0.28570000000000007</v>
      </c>
      <c r="G365" s="18">
        <v>552</v>
      </c>
      <c r="H365" s="18">
        <v>200</v>
      </c>
      <c r="I365" s="18">
        <v>552</v>
      </c>
      <c r="J365" s="53">
        <v>88.15</v>
      </c>
    </row>
    <row r="366" spans="1:10" ht="17.25" customHeight="1" x14ac:dyDescent="0.25">
      <c r="A366" s="4">
        <v>413</v>
      </c>
      <c r="B366" s="5" t="s">
        <v>315</v>
      </c>
      <c r="C366" s="5" t="s">
        <v>317</v>
      </c>
      <c r="D366" s="16">
        <v>0.28617000000000004</v>
      </c>
      <c r="E366" s="16">
        <v>0.26662000000000008</v>
      </c>
      <c r="F366" s="17">
        <v>0.32850000000000001</v>
      </c>
      <c r="G366" s="18">
        <v>561.08000000000004</v>
      </c>
      <c r="H366" s="18">
        <v>196.29</v>
      </c>
      <c r="I366" s="18">
        <v>561.08000000000004</v>
      </c>
      <c r="J366" s="53">
        <v>86.13</v>
      </c>
    </row>
    <row r="367" spans="1:10" ht="17.25" customHeight="1" x14ac:dyDescent="0.25">
      <c r="A367" s="4">
        <v>1236</v>
      </c>
      <c r="B367" s="5" t="s">
        <v>981</v>
      </c>
      <c r="C367" s="5" t="s">
        <v>983</v>
      </c>
      <c r="D367" s="16">
        <v>0.26940000000000008</v>
      </c>
      <c r="E367" s="26">
        <v>0.23599999999999999</v>
      </c>
      <c r="F367" s="17">
        <v>0.28570999999999991</v>
      </c>
      <c r="G367" s="18">
        <v>797.48</v>
      </c>
      <c r="H367" s="18">
        <v>269.16000000000003</v>
      </c>
      <c r="I367" s="18">
        <v>797.48</v>
      </c>
      <c r="J367" s="53">
        <v>198.3</v>
      </c>
    </row>
    <row r="368" spans="1:10" ht="17.25" customHeight="1" x14ac:dyDescent="0.25">
      <c r="A368" s="4">
        <v>384</v>
      </c>
      <c r="B368" s="5" t="s">
        <v>272</v>
      </c>
      <c r="C368" s="5" t="s">
        <v>281</v>
      </c>
      <c r="D368" s="16">
        <v>0.25229999999999997</v>
      </c>
      <c r="E368" s="16">
        <v>0.27</v>
      </c>
      <c r="F368" s="17">
        <v>0.28570999999999991</v>
      </c>
      <c r="G368" s="18">
        <v>521.99</v>
      </c>
      <c r="H368" s="18">
        <v>163.86</v>
      </c>
      <c r="I368" s="18">
        <v>521.99</v>
      </c>
      <c r="J368" s="53">
        <v>68.12</v>
      </c>
    </row>
    <row r="369" spans="1:10" ht="17.25" customHeight="1" x14ac:dyDescent="0.25">
      <c r="A369" s="4">
        <v>898</v>
      </c>
      <c r="B369" s="5" t="s">
        <v>1800</v>
      </c>
      <c r="C369" s="5" t="s">
        <v>1801</v>
      </c>
      <c r="D369" s="16">
        <v>0.30953000000000008</v>
      </c>
      <c r="E369" s="16">
        <v>0.25658000000000003</v>
      </c>
      <c r="F369" s="17">
        <v>0.26018999999999992</v>
      </c>
      <c r="G369" s="18">
        <v>660</v>
      </c>
      <c r="H369" s="18">
        <v>309.14999999999998</v>
      </c>
      <c r="I369" s="18">
        <v>660</v>
      </c>
      <c r="J369" s="53">
        <v>136.19</v>
      </c>
    </row>
    <row r="370" spans="1:10" ht="17.25" customHeight="1" x14ac:dyDescent="0.25">
      <c r="A370" s="4">
        <v>785</v>
      </c>
      <c r="B370" s="5" t="s">
        <v>595</v>
      </c>
      <c r="C370" s="5" t="s">
        <v>597</v>
      </c>
      <c r="D370" s="16">
        <v>0.3156699999999999</v>
      </c>
      <c r="E370" s="16">
        <v>0.24897999999999998</v>
      </c>
      <c r="F370" s="17">
        <v>0.30276999999999998</v>
      </c>
      <c r="G370" s="18">
        <v>684</v>
      </c>
      <c r="H370" s="18">
        <v>247</v>
      </c>
      <c r="I370" s="18">
        <v>684</v>
      </c>
      <c r="J370" s="53">
        <v>122.16</v>
      </c>
    </row>
    <row r="371" spans="1:10" ht="17.25" customHeight="1" x14ac:dyDescent="0.25">
      <c r="A371" s="4">
        <v>1182</v>
      </c>
      <c r="B371" s="5" t="s">
        <v>913</v>
      </c>
      <c r="C371" s="5" t="s">
        <v>915</v>
      </c>
      <c r="D371" s="16">
        <v>0.28929999999999989</v>
      </c>
      <c r="E371" s="16">
        <v>0.248</v>
      </c>
      <c r="F371" s="17">
        <v>0.28570999999999991</v>
      </c>
      <c r="G371" s="18">
        <v>772.44</v>
      </c>
      <c r="H371" s="18">
        <v>270.16000000000003</v>
      </c>
      <c r="I371" s="18">
        <v>772.44</v>
      </c>
      <c r="J371" s="53">
        <v>170.25</v>
      </c>
    </row>
    <row r="372" spans="1:10" ht="17.25" customHeight="1" x14ac:dyDescent="0.25">
      <c r="A372" s="4">
        <v>284</v>
      </c>
      <c r="B372" s="5" t="s">
        <v>163</v>
      </c>
      <c r="C372" s="5" t="s">
        <v>167</v>
      </c>
      <c r="D372" s="16">
        <v>0.32235999999999998</v>
      </c>
      <c r="E372" s="16">
        <v>0.24173</v>
      </c>
      <c r="F372" s="17">
        <v>0.29638999999999993</v>
      </c>
      <c r="G372" s="18">
        <v>792</v>
      </c>
      <c r="H372" s="18">
        <v>298.14999999999998</v>
      </c>
      <c r="I372" s="18">
        <v>792</v>
      </c>
      <c r="J372" s="53">
        <v>85.1</v>
      </c>
    </row>
    <row r="373" spans="1:10" ht="17.25" customHeight="1" x14ac:dyDescent="0.25">
      <c r="A373" s="4">
        <v>1085</v>
      </c>
      <c r="B373" s="5" t="s">
        <v>732</v>
      </c>
      <c r="C373" s="5" t="s">
        <v>799</v>
      </c>
      <c r="D373" s="16">
        <v>0.23710000000000009</v>
      </c>
      <c r="E373" s="16">
        <v>0.24199999999999999</v>
      </c>
      <c r="F373" s="17">
        <v>0.28570999999999991</v>
      </c>
      <c r="G373" s="18">
        <v>646.70000000000005</v>
      </c>
      <c r="H373" s="18">
        <v>260.56</v>
      </c>
      <c r="I373" s="18">
        <v>646.70000000000005</v>
      </c>
      <c r="J373" s="53">
        <v>142.28</v>
      </c>
    </row>
    <row r="374" spans="1:10" ht="17.25" customHeight="1" x14ac:dyDescent="0.25">
      <c r="A374" s="4">
        <v>1059</v>
      </c>
      <c r="B374" s="5" t="s">
        <v>732</v>
      </c>
      <c r="C374" s="5" t="s">
        <v>773</v>
      </c>
      <c r="D374" s="16">
        <v>0.23100000000000009</v>
      </c>
      <c r="E374" s="16">
        <v>0.2410000000000001</v>
      </c>
      <c r="F374" s="17">
        <v>0.28570999999999991</v>
      </c>
      <c r="G374" s="18">
        <v>622.1</v>
      </c>
      <c r="H374" s="18">
        <v>219.16</v>
      </c>
      <c r="I374" s="18">
        <v>622.1</v>
      </c>
      <c r="J374" s="53">
        <v>142.28</v>
      </c>
    </row>
    <row r="375" spans="1:10" ht="17.25" customHeight="1" x14ac:dyDescent="0.25">
      <c r="A375" s="4">
        <v>939</v>
      </c>
      <c r="B375" s="5" t="s">
        <v>664</v>
      </c>
      <c r="C375" s="5" t="s">
        <v>667</v>
      </c>
      <c r="D375" s="16">
        <v>0.24009999999999998</v>
      </c>
      <c r="E375" s="16">
        <v>0.254</v>
      </c>
      <c r="F375" s="17">
        <v>0.28570999999999991</v>
      </c>
      <c r="G375" s="18">
        <v>602.29999999999995</v>
      </c>
      <c r="H375" s="18">
        <v>171.96</v>
      </c>
      <c r="I375" s="18">
        <v>602.29999999999995</v>
      </c>
      <c r="J375" s="53">
        <v>128.25</v>
      </c>
    </row>
    <row r="376" spans="1:10" ht="17.25" customHeight="1" x14ac:dyDescent="0.25">
      <c r="A376" s="4">
        <v>1060</v>
      </c>
      <c r="B376" s="5" t="s">
        <v>732</v>
      </c>
      <c r="C376" s="5" t="s">
        <v>774</v>
      </c>
      <c r="D376" s="16">
        <v>0.23380000000000001</v>
      </c>
      <c r="E376" s="16">
        <v>0.248</v>
      </c>
      <c r="F376" s="17">
        <v>0.28570999999999991</v>
      </c>
      <c r="G376" s="18">
        <v>609.5</v>
      </c>
      <c r="H376" s="18">
        <v>219.16</v>
      </c>
      <c r="I376" s="18">
        <v>609.5</v>
      </c>
      <c r="J376" s="53">
        <v>142.28</v>
      </c>
    </row>
    <row r="377" spans="1:10" ht="17.25" customHeight="1" x14ac:dyDescent="0.25">
      <c r="A377" s="4">
        <v>1087</v>
      </c>
      <c r="B377" s="5" t="s">
        <v>732</v>
      </c>
      <c r="C377" s="5" t="s">
        <v>801</v>
      </c>
      <c r="D377" s="16">
        <v>0.23439999999999994</v>
      </c>
      <c r="E377" s="16">
        <v>0.23899999999999988</v>
      </c>
      <c r="F377" s="17">
        <v>0.28570999999999991</v>
      </c>
      <c r="G377" s="18">
        <v>639.9</v>
      </c>
      <c r="H377" s="18">
        <v>191.46</v>
      </c>
      <c r="I377" s="18">
        <v>639.9</v>
      </c>
      <c r="J377" s="53">
        <v>142.28</v>
      </c>
    </row>
    <row r="378" spans="1:10" ht="17.25" customHeight="1" x14ac:dyDescent="0.25">
      <c r="A378" s="4">
        <v>1064</v>
      </c>
      <c r="B378" s="5" t="s">
        <v>732</v>
      </c>
      <c r="C378" s="5" t="s">
        <v>778</v>
      </c>
      <c r="D378" s="16">
        <v>0.2278</v>
      </c>
      <c r="E378" s="16">
        <v>0.23599999999999999</v>
      </c>
      <c r="F378" s="17">
        <v>0.28570999999999991</v>
      </c>
      <c r="G378" s="18">
        <v>627.79999999999995</v>
      </c>
      <c r="H378" s="18">
        <v>219.16</v>
      </c>
      <c r="I378" s="18">
        <v>627.79999999999995</v>
      </c>
      <c r="J378" s="53">
        <v>142.28</v>
      </c>
    </row>
    <row r="379" spans="1:10" ht="17.25" customHeight="1" x14ac:dyDescent="0.25">
      <c r="A379" s="4">
        <v>915</v>
      </c>
      <c r="B379" s="5" t="s">
        <v>664</v>
      </c>
      <c r="C379" s="5" t="s">
        <v>1818</v>
      </c>
      <c r="D379" s="16">
        <v>0.27116000000000007</v>
      </c>
      <c r="E379" s="16">
        <v>0.28977000000000008</v>
      </c>
      <c r="F379" s="17">
        <v>0.29339000000000004</v>
      </c>
      <c r="G379" s="18">
        <v>610.04999999999995</v>
      </c>
      <c r="H379" s="18">
        <v>240.12</v>
      </c>
      <c r="I379" s="18">
        <v>610.04999999999995</v>
      </c>
      <c r="J379" s="53">
        <v>128.25</v>
      </c>
    </row>
    <row r="380" spans="1:10" ht="17.25" customHeight="1" x14ac:dyDescent="0.25">
      <c r="A380" s="4">
        <v>553</v>
      </c>
      <c r="B380" s="5" t="s">
        <v>452</v>
      </c>
      <c r="C380" s="5" t="s">
        <v>456</v>
      </c>
      <c r="D380" s="16">
        <v>0.25273000000000012</v>
      </c>
      <c r="E380" s="16">
        <v>0.28405999999999998</v>
      </c>
      <c r="F380" s="17">
        <v>0.29909999999999992</v>
      </c>
      <c r="G380" s="18">
        <v>480</v>
      </c>
      <c r="H380" s="18">
        <v>157.94999999999999</v>
      </c>
      <c r="I380" s="18">
        <v>480</v>
      </c>
      <c r="J380" s="53">
        <v>84.16</v>
      </c>
    </row>
    <row r="381" spans="1:10" ht="17.25" customHeight="1" x14ac:dyDescent="0.25">
      <c r="A381" s="4">
        <v>833</v>
      </c>
      <c r="B381" s="5" t="s">
        <v>633</v>
      </c>
      <c r="C381" s="5" t="s">
        <v>638</v>
      </c>
      <c r="D381" s="16">
        <v>0.25513000000000008</v>
      </c>
      <c r="E381" s="16">
        <v>0.29013</v>
      </c>
      <c r="F381" s="17">
        <v>0.25679999999999992</v>
      </c>
      <c r="G381" s="18">
        <v>562</v>
      </c>
      <c r="H381" s="18">
        <v>147.05000000000001</v>
      </c>
      <c r="I381" s="18">
        <v>562</v>
      </c>
      <c r="J381" s="53">
        <v>114.23</v>
      </c>
    </row>
    <row r="382" spans="1:10" ht="17.25" customHeight="1" x14ac:dyDescent="0.25">
      <c r="A382" s="4">
        <v>1031</v>
      </c>
      <c r="B382" s="5" t="s">
        <v>732</v>
      </c>
      <c r="C382" s="5" t="s">
        <v>745</v>
      </c>
      <c r="D382" s="16">
        <v>0.22829999999999995</v>
      </c>
      <c r="E382" s="16">
        <v>0.24299999999999988</v>
      </c>
      <c r="F382" s="17">
        <v>0.28570999999999991</v>
      </c>
      <c r="G382" s="18">
        <v>612.1</v>
      </c>
      <c r="H382" s="18">
        <v>219.16</v>
      </c>
      <c r="I382" s="18">
        <v>612.1</v>
      </c>
      <c r="J382" s="53">
        <v>142.28</v>
      </c>
    </row>
    <row r="383" spans="1:10" ht="17.25" customHeight="1" x14ac:dyDescent="0.25">
      <c r="A383" s="4">
        <v>745</v>
      </c>
      <c r="B383" s="5" t="s">
        <v>1724</v>
      </c>
      <c r="C383" s="5" t="s">
        <v>1728</v>
      </c>
      <c r="D383" s="16">
        <v>0.24792999999999998</v>
      </c>
      <c r="E383" s="16">
        <v>0.27010000000000001</v>
      </c>
      <c r="F383" s="17">
        <v>0.30840000000000001</v>
      </c>
      <c r="G383" s="18">
        <v>536.4</v>
      </c>
      <c r="H383" s="18">
        <v>138.69999999999999</v>
      </c>
      <c r="I383" s="18">
        <v>536.4</v>
      </c>
      <c r="J383" s="53">
        <v>100.2</v>
      </c>
    </row>
    <row r="384" spans="1:10" ht="17.25" customHeight="1" x14ac:dyDescent="0.25">
      <c r="A384" s="4">
        <v>1061</v>
      </c>
      <c r="B384" s="5" t="s">
        <v>732</v>
      </c>
      <c r="C384" s="5" t="s">
        <v>775</v>
      </c>
      <c r="D384" s="16">
        <v>0.23140000000000005</v>
      </c>
      <c r="E384" s="16">
        <v>0.2410000000000001</v>
      </c>
      <c r="F384" s="17">
        <v>0.28570999999999991</v>
      </c>
      <c r="G384" s="18">
        <v>620.9</v>
      </c>
      <c r="H384" s="18">
        <v>219.16</v>
      </c>
      <c r="I384" s="18">
        <v>620.9</v>
      </c>
      <c r="J384" s="53">
        <v>142.28</v>
      </c>
    </row>
    <row r="385" spans="1:10" ht="17.25" customHeight="1" x14ac:dyDescent="0.25">
      <c r="A385" s="4">
        <v>1062</v>
      </c>
      <c r="B385" s="5" t="s">
        <v>732</v>
      </c>
      <c r="C385" s="5" t="s">
        <v>776</v>
      </c>
      <c r="D385" s="16">
        <v>0.23110000000000008</v>
      </c>
      <c r="E385" s="16">
        <v>0.24</v>
      </c>
      <c r="F385" s="17">
        <v>0.28570999999999991</v>
      </c>
      <c r="G385" s="18">
        <v>612.79999999999995</v>
      </c>
      <c r="H385" s="18">
        <v>219.16</v>
      </c>
      <c r="I385" s="18">
        <v>612.79999999999995</v>
      </c>
      <c r="J385" s="53">
        <v>142.28</v>
      </c>
    </row>
    <row r="386" spans="1:10" ht="17.25" customHeight="1" x14ac:dyDescent="0.25">
      <c r="A386" s="4">
        <v>262</v>
      </c>
      <c r="B386" s="5" t="s">
        <v>143</v>
      </c>
      <c r="C386" s="5" t="s">
        <v>144</v>
      </c>
      <c r="D386" s="16">
        <v>0.37990999999999997</v>
      </c>
      <c r="E386" s="16">
        <v>0.25861000000000001</v>
      </c>
      <c r="F386" s="17">
        <v>0.28570000000000007</v>
      </c>
      <c r="G386" s="18">
        <v>589</v>
      </c>
      <c r="H386" s="18">
        <v>212</v>
      </c>
      <c r="I386" s="18">
        <v>589</v>
      </c>
      <c r="J386" s="53">
        <v>125</v>
      </c>
    </row>
    <row r="387" spans="1:10" ht="17.25" customHeight="1" x14ac:dyDescent="0.25">
      <c r="A387" s="6">
        <v>489</v>
      </c>
      <c r="B387" s="5" t="s">
        <v>386</v>
      </c>
      <c r="C387" s="5" t="s">
        <v>387</v>
      </c>
      <c r="D387" s="16">
        <v>0.40678999999999998</v>
      </c>
      <c r="E387" s="16">
        <v>0.24609999999999999</v>
      </c>
      <c r="F387" s="17">
        <v>0.28570000000000007</v>
      </c>
      <c r="G387" s="18">
        <v>800</v>
      </c>
      <c r="H387" s="18">
        <v>344.65</v>
      </c>
      <c r="I387" s="18">
        <v>800</v>
      </c>
      <c r="J387" s="53">
        <v>162.02000000000001</v>
      </c>
    </row>
    <row r="388" spans="1:10" ht="17.25" customHeight="1" x14ac:dyDescent="0.25">
      <c r="A388" s="4">
        <v>647</v>
      </c>
      <c r="B388" s="5" t="s">
        <v>541</v>
      </c>
      <c r="C388" s="5" t="s">
        <v>542</v>
      </c>
      <c r="D388" s="16">
        <v>0.41230999999999995</v>
      </c>
      <c r="E388" s="16">
        <v>0.23920000000000008</v>
      </c>
      <c r="F388" s="17">
        <v>0.27449000000000012</v>
      </c>
      <c r="G388" s="18">
        <v>733</v>
      </c>
      <c r="H388" s="18">
        <v>316.14999999999998</v>
      </c>
      <c r="I388" s="18">
        <v>733</v>
      </c>
      <c r="J388" s="53">
        <v>188.01</v>
      </c>
    </row>
    <row r="389" spans="1:10" ht="17.25" customHeight="1" x14ac:dyDescent="0.25">
      <c r="A389" s="4">
        <v>1065</v>
      </c>
      <c r="B389" s="5" t="s">
        <v>732</v>
      </c>
      <c r="C389" s="5" t="s">
        <v>779</v>
      </c>
      <c r="D389" s="16">
        <v>0.22500000000000009</v>
      </c>
      <c r="E389" s="16">
        <v>0.23499999999999988</v>
      </c>
      <c r="F389" s="17">
        <v>0.28570999999999991</v>
      </c>
      <c r="G389" s="18">
        <v>618.79999999999995</v>
      </c>
      <c r="H389" s="18">
        <v>219.16</v>
      </c>
      <c r="I389" s="18">
        <v>618.79999999999995</v>
      </c>
      <c r="J389" s="53">
        <v>142.28</v>
      </c>
    </row>
    <row r="390" spans="1:10" ht="17.25" customHeight="1" x14ac:dyDescent="0.25">
      <c r="A390" s="4">
        <v>926</v>
      </c>
      <c r="B390" s="5" t="s">
        <v>664</v>
      </c>
      <c r="C390" s="5" t="s">
        <v>1829</v>
      </c>
      <c r="D390" s="16">
        <v>0.23540000000000005</v>
      </c>
      <c r="E390" s="16">
        <v>0.252</v>
      </c>
      <c r="F390" s="17">
        <v>0.28570999999999991</v>
      </c>
      <c r="G390" s="18">
        <v>591.9</v>
      </c>
      <c r="H390" s="18">
        <v>170.26</v>
      </c>
      <c r="I390" s="18">
        <v>591.9</v>
      </c>
      <c r="J390" s="53">
        <v>128.25</v>
      </c>
    </row>
    <row r="391" spans="1:10" ht="17.25" customHeight="1" x14ac:dyDescent="0.25">
      <c r="A391" s="4">
        <v>834</v>
      </c>
      <c r="B391" s="5" t="s">
        <v>633</v>
      </c>
      <c r="C391" s="5" t="s">
        <v>639</v>
      </c>
      <c r="D391" s="16">
        <v>0.24175999999999997</v>
      </c>
      <c r="E391" s="16">
        <v>0.26578999999999997</v>
      </c>
      <c r="F391" s="17">
        <v>0.2676099999999999</v>
      </c>
      <c r="G391" s="18">
        <v>568.79999999999995</v>
      </c>
      <c r="H391" s="18">
        <v>272.04000000000002</v>
      </c>
      <c r="I391" s="18">
        <v>568.79999999999995</v>
      </c>
      <c r="J391" s="53">
        <v>114.23</v>
      </c>
    </row>
    <row r="392" spans="1:10" ht="17.25" customHeight="1" x14ac:dyDescent="0.25">
      <c r="A392" s="4">
        <v>1032</v>
      </c>
      <c r="B392" s="5" t="s">
        <v>732</v>
      </c>
      <c r="C392" s="5" t="s">
        <v>746</v>
      </c>
      <c r="D392" s="16">
        <v>0.22920000000000007</v>
      </c>
      <c r="E392" s="16">
        <v>0.24199999999999999</v>
      </c>
      <c r="F392" s="17">
        <v>0.28570999999999991</v>
      </c>
      <c r="G392" s="18">
        <v>614</v>
      </c>
      <c r="H392" s="18">
        <v>219.16</v>
      </c>
      <c r="I392" s="18">
        <v>614</v>
      </c>
      <c r="J392" s="53">
        <v>142.28</v>
      </c>
    </row>
    <row r="393" spans="1:10" ht="17.25" customHeight="1" x14ac:dyDescent="0.25">
      <c r="A393" s="4">
        <v>663</v>
      </c>
      <c r="B393" s="5" t="s">
        <v>2246</v>
      </c>
      <c r="C393" s="5" t="s">
        <v>559</v>
      </c>
      <c r="D393" s="16">
        <v>0.3745400000000001</v>
      </c>
      <c r="E393" s="16">
        <v>0.23616999999999999</v>
      </c>
      <c r="F393" s="17">
        <v>0.28570999999999991</v>
      </c>
      <c r="G393" s="18">
        <v>842</v>
      </c>
      <c r="H393" s="18">
        <v>332</v>
      </c>
      <c r="I393" s="18">
        <v>842</v>
      </c>
      <c r="J393" s="53">
        <v>182.13</v>
      </c>
    </row>
    <row r="394" spans="1:10" ht="17.25" customHeight="1" x14ac:dyDescent="0.25">
      <c r="A394" s="4">
        <v>790</v>
      </c>
      <c r="B394" s="5" t="s">
        <v>595</v>
      </c>
      <c r="C394" s="5" t="s">
        <v>602</v>
      </c>
      <c r="D394" s="16">
        <v>0.3491200000000001</v>
      </c>
      <c r="E394" s="16">
        <v>0.28644999999999987</v>
      </c>
      <c r="F394" s="17">
        <v>0.28069999999999995</v>
      </c>
      <c r="G394" s="18">
        <v>729.95</v>
      </c>
      <c r="H394" s="18">
        <v>338.25</v>
      </c>
      <c r="I394" s="18">
        <v>729.95</v>
      </c>
      <c r="J394" s="53">
        <v>122.16</v>
      </c>
    </row>
    <row r="395" spans="1:10" ht="17.25" customHeight="1" x14ac:dyDescent="0.25">
      <c r="A395" s="4">
        <v>927</v>
      </c>
      <c r="B395" s="5" t="s">
        <v>664</v>
      </c>
      <c r="C395" s="5" t="s">
        <v>1830</v>
      </c>
      <c r="D395" s="16">
        <v>0.23439999999999994</v>
      </c>
      <c r="E395" s="16">
        <v>0.25300000000000011</v>
      </c>
      <c r="F395" s="17">
        <v>0.28570999999999991</v>
      </c>
      <c r="G395" s="18">
        <v>583.20000000000005</v>
      </c>
      <c r="H395" s="18">
        <v>170.26</v>
      </c>
      <c r="I395" s="18">
        <v>583.20000000000005</v>
      </c>
      <c r="J395" s="53">
        <v>128.25</v>
      </c>
    </row>
    <row r="396" spans="1:10" ht="17.25" customHeight="1" x14ac:dyDescent="0.25">
      <c r="A396" s="4">
        <v>1033</v>
      </c>
      <c r="B396" s="5" t="s">
        <v>732</v>
      </c>
      <c r="C396" s="5" t="s">
        <v>747</v>
      </c>
      <c r="D396" s="16">
        <v>0.22679999999999989</v>
      </c>
      <c r="E396" s="16">
        <v>0.2410000000000001</v>
      </c>
      <c r="F396" s="17">
        <v>0.28570999999999991</v>
      </c>
      <c r="G396" s="18">
        <v>606.29999999999995</v>
      </c>
      <c r="H396" s="18">
        <v>219.16</v>
      </c>
      <c r="I396" s="18">
        <v>606.29999999999995</v>
      </c>
      <c r="J396" s="53">
        <v>142.28</v>
      </c>
    </row>
    <row r="397" spans="1:10" ht="17.25" customHeight="1" x14ac:dyDescent="0.25">
      <c r="A397" s="4">
        <v>664</v>
      </c>
      <c r="B397" s="5" t="s">
        <v>2246</v>
      </c>
      <c r="C397" s="5" t="s">
        <v>560</v>
      </c>
      <c r="D397" s="16">
        <v>0.38541000000000003</v>
      </c>
      <c r="E397" s="16">
        <v>0.23741000000000012</v>
      </c>
      <c r="F397" s="17">
        <v>0.28570999999999991</v>
      </c>
      <c r="G397" s="18">
        <v>814</v>
      </c>
      <c r="H397" s="18">
        <v>365.65</v>
      </c>
      <c r="I397" s="18">
        <v>814</v>
      </c>
      <c r="J397" s="53">
        <v>182.13</v>
      </c>
    </row>
    <row r="398" spans="1:10" ht="17.25" customHeight="1" x14ac:dyDescent="0.25">
      <c r="A398" s="4">
        <v>791</v>
      </c>
      <c r="B398" s="5" t="s">
        <v>595</v>
      </c>
      <c r="C398" s="5" t="s">
        <v>603</v>
      </c>
      <c r="D398" s="16">
        <v>0.25458000000000003</v>
      </c>
      <c r="E398" s="16">
        <v>0.20987</v>
      </c>
      <c r="F398" s="17">
        <v>0.22629999999999995</v>
      </c>
      <c r="G398" s="18">
        <v>715.65</v>
      </c>
      <c r="H398" s="18">
        <v>336.59</v>
      </c>
      <c r="I398" s="18">
        <v>715.65</v>
      </c>
      <c r="J398" s="53">
        <v>122.16</v>
      </c>
    </row>
    <row r="399" spans="1:10" ht="17.25" customHeight="1" x14ac:dyDescent="0.25">
      <c r="A399" s="4">
        <v>1034</v>
      </c>
      <c r="B399" s="5" t="s">
        <v>732</v>
      </c>
      <c r="C399" s="5" t="s">
        <v>748</v>
      </c>
      <c r="D399" s="16">
        <v>0.22799999999999998</v>
      </c>
      <c r="E399" s="16">
        <v>0.24299999999999988</v>
      </c>
      <c r="F399" s="17">
        <v>0.28570999999999991</v>
      </c>
      <c r="G399" s="18">
        <v>608.29999999999995</v>
      </c>
      <c r="H399" s="18">
        <v>219.16</v>
      </c>
      <c r="I399" s="18">
        <v>608.29999999999995</v>
      </c>
      <c r="J399" s="53">
        <v>142.28</v>
      </c>
    </row>
    <row r="400" spans="1:10" ht="17.25" customHeight="1" x14ac:dyDescent="0.25">
      <c r="A400" s="4">
        <v>227</v>
      </c>
      <c r="B400" s="5" t="s">
        <v>96</v>
      </c>
      <c r="C400" s="5" t="s">
        <v>97</v>
      </c>
      <c r="D400" s="16">
        <v>0.30489999999999995</v>
      </c>
      <c r="E400" s="16">
        <v>0.2511000000000001</v>
      </c>
      <c r="F400" s="17">
        <v>0.28570000000000007</v>
      </c>
      <c r="G400" s="18">
        <v>649</v>
      </c>
      <c r="H400" s="18">
        <v>284.14999999999998</v>
      </c>
      <c r="I400" s="18">
        <v>649</v>
      </c>
      <c r="J400" s="53">
        <v>75.11</v>
      </c>
    </row>
    <row r="401" spans="1:10" ht="17.25" customHeight="1" x14ac:dyDescent="0.25">
      <c r="A401" s="4">
        <v>160</v>
      </c>
      <c r="B401" s="5" t="s">
        <v>14</v>
      </c>
      <c r="C401" s="5" t="s">
        <v>15</v>
      </c>
      <c r="D401" s="16">
        <v>0.50790000000000002</v>
      </c>
      <c r="E401" s="16">
        <v>0.28200000000000003</v>
      </c>
      <c r="F401" s="17">
        <v>0.28570999999999991</v>
      </c>
      <c r="G401" s="18">
        <v>540.20000000000005</v>
      </c>
      <c r="H401" s="18">
        <v>153.76</v>
      </c>
      <c r="I401" s="18">
        <v>540.20000000000005</v>
      </c>
      <c r="J401" s="53">
        <v>120.98</v>
      </c>
    </row>
    <row r="402" spans="1:10" ht="17.25" customHeight="1" x14ac:dyDescent="0.25">
      <c r="A402" s="4">
        <v>162</v>
      </c>
      <c r="B402" s="5" t="s">
        <v>2250</v>
      </c>
      <c r="C402" s="5" t="s">
        <v>17</v>
      </c>
      <c r="D402" s="16">
        <v>0.32482999999999995</v>
      </c>
      <c r="E402" s="16">
        <v>0.25957000000000008</v>
      </c>
      <c r="F402" s="17">
        <v>0.28570000000000007</v>
      </c>
      <c r="G402" s="18">
        <v>514.15</v>
      </c>
      <c r="H402" s="18">
        <v>138.65</v>
      </c>
      <c r="I402" s="18">
        <v>514.15</v>
      </c>
      <c r="J402" s="53">
        <v>76.52</v>
      </c>
    </row>
    <row r="403" spans="1:10" ht="17.25" customHeight="1" x14ac:dyDescent="0.25">
      <c r="A403" s="4">
        <v>711</v>
      </c>
      <c r="B403" s="5" t="s">
        <v>1698</v>
      </c>
      <c r="C403" s="5" t="s">
        <v>1703</v>
      </c>
      <c r="D403" s="16">
        <v>0.24669999999999992</v>
      </c>
      <c r="E403" s="16">
        <v>0.28384000000000009</v>
      </c>
      <c r="F403" s="17">
        <v>0.24201000000000006</v>
      </c>
      <c r="G403" s="18">
        <v>530</v>
      </c>
      <c r="H403" s="18">
        <v>145.66999999999999</v>
      </c>
      <c r="I403" s="18">
        <v>530</v>
      </c>
      <c r="J403" s="53">
        <v>98.19</v>
      </c>
    </row>
    <row r="404" spans="1:10" ht="17.25" customHeight="1" x14ac:dyDescent="0.25">
      <c r="A404" s="4">
        <v>1088</v>
      </c>
      <c r="B404" s="5" t="s">
        <v>732</v>
      </c>
      <c r="C404" s="5" t="s">
        <v>802</v>
      </c>
      <c r="D404" s="16">
        <v>0.23609999999999998</v>
      </c>
      <c r="E404" s="16">
        <v>0.2410000000000001</v>
      </c>
      <c r="F404" s="17">
        <v>0.28570999999999991</v>
      </c>
      <c r="G404" s="18">
        <v>646</v>
      </c>
      <c r="H404" s="18">
        <v>191.46</v>
      </c>
      <c r="I404" s="18">
        <v>646</v>
      </c>
      <c r="J404" s="53">
        <v>142.28</v>
      </c>
    </row>
    <row r="405" spans="1:10" ht="17.25" customHeight="1" x14ac:dyDescent="0.25">
      <c r="A405" s="4">
        <v>1089</v>
      </c>
      <c r="B405" s="5" t="s">
        <v>732</v>
      </c>
      <c r="C405" s="5" t="s">
        <v>803</v>
      </c>
      <c r="D405" s="16">
        <v>0.23120000000000007</v>
      </c>
      <c r="E405" s="16">
        <v>0.24</v>
      </c>
      <c r="F405" s="17">
        <v>0.28570999999999991</v>
      </c>
      <c r="G405" s="18">
        <v>615.29999999999995</v>
      </c>
      <c r="H405" s="18">
        <v>191.46</v>
      </c>
      <c r="I405" s="18">
        <v>615.29999999999995</v>
      </c>
      <c r="J405" s="53">
        <v>142.28</v>
      </c>
    </row>
    <row r="406" spans="1:10" ht="17.25" customHeight="1" x14ac:dyDescent="0.25">
      <c r="A406" s="4">
        <v>1066</v>
      </c>
      <c r="B406" s="5" t="s">
        <v>732</v>
      </c>
      <c r="C406" s="5" t="s">
        <v>780</v>
      </c>
      <c r="D406" s="16">
        <v>0.22819999999999996</v>
      </c>
      <c r="E406" s="16">
        <v>0.23899999999999988</v>
      </c>
      <c r="F406" s="17">
        <v>0.28570999999999991</v>
      </c>
      <c r="G406" s="18">
        <v>611.70000000000005</v>
      </c>
      <c r="H406" s="18">
        <v>219.16</v>
      </c>
      <c r="I406" s="18">
        <v>611.70000000000005</v>
      </c>
      <c r="J406" s="53">
        <v>142.28</v>
      </c>
    </row>
    <row r="407" spans="1:10" ht="17.25" customHeight="1" x14ac:dyDescent="0.25">
      <c r="A407" s="4">
        <v>1090</v>
      </c>
      <c r="B407" s="5" t="s">
        <v>732</v>
      </c>
      <c r="C407" s="5" t="s">
        <v>804</v>
      </c>
      <c r="D407" s="16">
        <v>0.23510000000000009</v>
      </c>
      <c r="E407" s="16">
        <v>0.2410000000000001</v>
      </c>
      <c r="F407" s="17">
        <v>0.28570999999999991</v>
      </c>
      <c r="G407" s="18">
        <v>642.29999999999995</v>
      </c>
      <c r="H407" s="18">
        <v>191.46</v>
      </c>
      <c r="I407" s="18">
        <v>642.29999999999995</v>
      </c>
      <c r="J407" s="53">
        <v>142.28</v>
      </c>
    </row>
    <row r="408" spans="1:10" ht="17.25" customHeight="1" x14ac:dyDescent="0.25">
      <c r="A408" s="4">
        <v>1068</v>
      </c>
      <c r="B408" s="5" t="s">
        <v>732</v>
      </c>
      <c r="C408" s="5" t="s">
        <v>782</v>
      </c>
      <c r="D408" s="16">
        <v>0.2319</v>
      </c>
      <c r="E408" s="16">
        <v>0.24</v>
      </c>
      <c r="F408" s="17">
        <v>0.28570999999999991</v>
      </c>
      <c r="G408" s="18">
        <v>626.79999999999995</v>
      </c>
      <c r="H408" s="18">
        <v>219.16</v>
      </c>
      <c r="I408" s="18">
        <v>626.79999999999995</v>
      </c>
      <c r="J408" s="53">
        <v>142.28</v>
      </c>
    </row>
    <row r="409" spans="1:10" ht="17.25" customHeight="1" x14ac:dyDescent="0.25">
      <c r="A409" s="4">
        <v>917</v>
      </c>
      <c r="B409" s="5" t="s">
        <v>664</v>
      </c>
      <c r="C409" s="5" t="s">
        <v>1820</v>
      </c>
      <c r="D409" s="16">
        <v>0.24259999999999993</v>
      </c>
      <c r="E409" s="16">
        <v>0.254</v>
      </c>
      <c r="F409" s="17">
        <v>0.28570999999999991</v>
      </c>
      <c r="G409" s="18">
        <v>606.79999999999995</v>
      </c>
      <c r="H409" s="18">
        <v>173.67</v>
      </c>
      <c r="I409" s="18">
        <v>606.79999999999995</v>
      </c>
      <c r="J409" s="53">
        <v>128.25</v>
      </c>
    </row>
    <row r="410" spans="1:10" ht="17.25" customHeight="1" x14ac:dyDescent="0.25">
      <c r="A410" s="4">
        <v>1070</v>
      </c>
      <c r="B410" s="5" t="s">
        <v>732</v>
      </c>
      <c r="C410" s="5" t="s">
        <v>784</v>
      </c>
      <c r="D410" s="16">
        <v>0.22970000000000002</v>
      </c>
      <c r="E410" s="16">
        <v>0.23899999999999988</v>
      </c>
      <c r="F410" s="17">
        <v>0.28570999999999991</v>
      </c>
      <c r="G410" s="18">
        <v>616.1</v>
      </c>
      <c r="H410" s="18">
        <v>219.16</v>
      </c>
      <c r="I410" s="18">
        <v>616.1</v>
      </c>
      <c r="J410" s="53">
        <v>142.28</v>
      </c>
    </row>
    <row r="411" spans="1:10" ht="17.25" customHeight="1" x14ac:dyDescent="0.25">
      <c r="A411" s="4">
        <v>1072</v>
      </c>
      <c r="B411" s="5" t="s">
        <v>732</v>
      </c>
      <c r="C411" s="5" t="s">
        <v>786</v>
      </c>
      <c r="D411" s="16">
        <v>0.22760000000000002</v>
      </c>
      <c r="E411" s="16">
        <v>0.24</v>
      </c>
      <c r="F411" s="17">
        <v>0.28570999999999991</v>
      </c>
      <c r="G411" s="18">
        <v>603.5</v>
      </c>
      <c r="H411" s="18">
        <v>219.16</v>
      </c>
      <c r="I411" s="18">
        <v>603.5</v>
      </c>
      <c r="J411" s="53">
        <v>142.28</v>
      </c>
    </row>
    <row r="412" spans="1:10" ht="17.25" customHeight="1" x14ac:dyDescent="0.25">
      <c r="A412" s="4">
        <v>1039</v>
      </c>
      <c r="B412" s="5" t="s">
        <v>732</v>
      </c>
      <c r="C412" s="5" t="s">
        <v>753</v>
      </c>
      <c r="D412" s="16">
        <v>0.22679999999999989</v>
      </c>
      <c r="E412" s="16">
        <v>0.23899999999999988</v>
      </c>
      <c r="F412" s="17">
        <v>0.28570999999999991</v>
      </c>
      <c r="G412" s="18">
        <v>610.9</v>
      </c>
      <c r="H412" s="18">
        <v>219.16</v>
      </c>
      <c r="I412" s="18">
        <v>610.9</v>
      </c>
      <c r="J412" s="53">
        <v>142.28</v>
      </c>
    </row>
    <row r="413" spans="1:10" ht="17.25" customHeight="1" x14ac:dyDescent="0.25">
      <c r="A413" s="4">
        <v>929</v>
      </c>
      <c r="B413" s="5" t="s">
        <v>664</v>
      </c>
      <c r="C413" s="5" t="s">
        <v>1832</v>
      </c>
      <c r="D413" s="16">
        <v>0.23419999999999996</v>
      </c>
      <c r="E413" s="16">
        <v>0.24900000000000011</v>
      </c>
      <c r="F413" s="17">
        <v>0.28570999999999991</v>
      </c>
      <c r="G413" s="18">
        <v>588.1</v>
      </c>
      <c r="H413" s="18">
        <v>160.16</v>
      </c>
      <c r="I413" s="18">
        <v>588.1</v>
      </c>
      <c r="J413" s="53">
        <v>128.25</v>
      </c>
    </row>
    <row r="414" spans="1:10" ht="17.25" customHeight="1" x14ac:dyDescent="0.25">
      <c r="A414" s="4">
        <v>836</v>
      </c>
      <c r="B414" s="5" t="s">
        <v>633</v>
      </c>
      <c r="C414" s="5" t="s">
        <v>641</v>
      </c>
      <c r="D414" s="16">
        <v>0.2347999999999999</v>
      </c>
      <c r="E414" s="16">
        <v>0.254</v>
      </c>
      <c r="F414" s="17">
        <v>0.28570999999999991</v>
      </c>
      <c r="G414" s="18">
        <v>567</v>
      </c>
      <c r="H414" s="18">
        <v>158.19999999999999</v>
      </c>
      <c r="I414" s="18">
        <v>567</v>
      </c>
      <c r="J414" s="53">
        <v>114.23</v>
      </c>
    </row>
    <row r="415" spans="1:10" ht="17.25" customHeight="1" x14ac:dyDescent="0.25">
      <c r="A415" s="4">
        <v>1074</v>
      </c>
      <c r="B415" s="5" t="s">
        <v>732</v>
      </c>
      <c r="C415" s="5" t="s">
        <v>788</v>
      </c>
      <c r="D415" s="16">
        <v>0.23049999999999993</v>
      </c>
      <c r="E415" s="16">
        <v>0.23799999999999999</v>
      </c>
      <c r="F415" s="17">
        <v>0.28570999999999991</v>
      </c>
      <c r="G415" s="18">
        <v>624.5</v>
      </c>
      <c r="H415" s="18">
        <v>219.16</v>
      </c>
      <c r="I415" s="18">
        <v>624.5</v>
      </c>
      <c r="J415" s="53">
        <v>142.28</v>
      </c>
    </row>
    <row r="416" spans="1:10" ht="17.25" customHeight="1" x14ac:dyDescent="0.25">
      <c r="A416" s="4">
        <v>1042</v>
      </c>
      <c r="B416" s="5" t="s">
        <v>732</v>
      </c>
      <c r="C416" s="5" t="s">
        <v>756</v>
      </c>
      <c r="D416" s="16">
        <v>0.2269000000000001</v>
      </c>
      <c r="E416" s="16">
        <v>0.23799999999999999</v>
      </c>
      <c r="F416" s="17">
        <v>0.28570999999999991</v>
      </c>
      <c r="G416" s="18">
        <v>620</v>
      </c>
      <c r="H416" s="18">
        <v>219.16</v>
      </c>
      <c r="I416" s="18">
        <v>620</v>
      </c>
      <c r="J416" s="53">
        <v>142.28</v>
      </c>
    </row>
    <row r="417" spans="1:10" ht="17.25" customHeight="1" x14ac:dyDescent="0.25">
      <c r="A417" s="4">
        <v>931</v>
      </c>
      <c r="B417" s="5" t="s">
        <v>664</v>
      </c>
      <c r="C417" s="5" t="s">
        <v>1834</v>
      </c>
      <c r="D417" s="16">
        <v>0.23619999999999997</v>
      </c>
      <c r="E417" s="16">
        <v>0.25</v>
      </c>
      <c r="F417" s="17">
        <v>0.28570999999999991</v>
      </c>
      <c r="G417" s="18">
        <v>597.5</v>
      </c>
      <c r="H417" s="18">
        <v>160.16</v>
      </c>
      <c r="I417" s="18">
        <v>597.5</v>
      </c>
      <c r="J417" s="53">
        <v>128.25</v>
      </c>
    </row>
    <row r="418" spans="1:10" ht="17.25" customHeight="1" x14ac:dyDescent="0.25">
      <c r="A418" s="4">
        <v>1045</v>
      </c>
      <c r="B418" s="5" t="s">
        <v>732</v>
      </c>
      <c r="C418" s="5" t="s">
        <v>759</v>
      </c>
      <c r="D418" s="16">
        <v>0.22679999999999989</v>
      </c>
      <c r="E418" s="16">
        <v>0.2370000000000001</v>
      </c>
      <c r="F418" s="17">
        <v>0.28570999999999991</v>
      </c>
      <c r="G418" s="18">
        <v>615.5</v>
      </c>
      <c r="H418" s="18">
        <v>219.16</v>
      </c>
      <c r="I418" s="18">
        <v>615.5</v>
      </c>
      <c r="J418" s="53">
        <v>142.28</v>
      </c>
    </row>
    <row r="419" spans="1:10" ht="17.25" customHeight="1" x14ac:dyDescent="0.25">
      <c r="A419" s="4">
        <v>932</v>
      </c>
      <c r="B419" s="5" t="s">
        <v>664</v>
      </c>
      <c r="C419" s="5" t="s">
        <v>1835</v>
      </c>
      <c r="D419" s="16">
        <v>0.23570000000000002</v>
      </c>
      <c r="E419" s="16">
        <v>0.24900000000000011</v>
      </c>
      <c r="F419" s="17">
        <v>0.28570999999999991</v>
      </c>
      <c r="G419" s="18">
        <v>593.70000000000005</v>
      </c>
      <c r="H419" s="18">
        <v>160.16</v>
      </c>
      <c r="I419" s="18">
        <v>593.70000000000005</v>
      </c>
      <c r="J419" s="53">
        <v>128.25</v>
      </c>
    </row>
    <row r="420" spans="1:10" ht="17.25" customHeight="1" x14ac:dyDescent="0.25">
      <c r="A420" s="4">
        <v>1044</v>
      </c>
      <c r="B420" s="5" t="s">
        <v>732</v>
      </c>
      <c r="C420" s="5" t="s">
        <v>758</v>
      </c>
      <c r="D420" s="16">
        <v>0.22639999999999993</v>
      </c>
      <c r="E420" s="16">
        <v>0.23899999999999988</v>
      </c>
      <c r="F420" s="17">
        <v>0.28570999999999991</v>
      </c>
      <c r="G420" s="18">
        <v>606.6</v>
      </c>
      <c r="H420" s="18">
        <v>219.16</v>
      </c>
      <c r="I420" s="18">
        <v>606.6</v>
      </c>
      <c r="J420" s="53">
        <v>142.28</v>
      </c>
    </row>
    <row r="421" spans="1:10" ht="17.25" customHeight="1" x14ac:dyDescent="0.25">
      <c r="A421" s="4">
        <v>921</v>
      </c>
      <c r="B421" s="5" t="s">
        <v>664</v>
      </c>
      <c r="C421" s="5" t="s">
        <v>1824</v>
      </c>
      <c r="D421" s="16">
        <v>0.24292000000000002</v>
      </c>
      <c r="E421" s="16">
        <v>0.26537999999999995</v>
      </c>
      <c r="F421" s="17">
        <v>0.27903999999999995</v>
      </c>
      <c r="G421" s="18">
        <v>590</v>
      </c>
      <c r="H421" s="18">
        <v>158.25</v>
      </c>
      <c r="I421" s="18">
        <v>590</v>
      </c>
      <c r="J421" s="53">
        <v>128.25</v>
      </c>
    </row>
    <row r="422" spans="1:10" ht="17.25" customHeight="1" x14ac:dyDescent="0.25">
      <c r="A422" s="4">
        <v>835</v>
      </c>
      <c r="B422" s="5" t="s">
        <v>633</v>
      </c>
      <c r="C422" s="5" t="s">
        <v>640</v>
      </c>
      <c r="D422" s="16">
        <v>0.24801999999999991</v>
      </c>
      <c r="E422" s="16">
        <v>0.27726000000000006</v>
      </c>
      <c r="F422" s="17">
        <v>0.26570000000000005</v>
      </c>
      <c r="G422" s="18">
        <v>565.4</v>
      </c>
      <c r="H422" s="18">
        <v>272.04000000000002</v>
      </c>
      <c r="I422" s="18">
        <v>565.4</v>
      </c>
      <c r="J422" s="53">
        <v>114.23</v>
      </c>
    </row>
    <row r="423" spans="1:10" ht="17.25" customHeight="1" x14ac:dyDescent="0.25">
      <c r="A423" s="4">
        <v>1023</v>
      </c>
      <c r="B423" s="5" t="s">
        <v>732</v>
      </c>
      <c r="C423" s="5" t="s">
        <v>737</v>
      </c>
      <c r="D423" s="16">
        <v>0.2269000000000001</v>
      </c>
      <c r="E423" s="16">
        <v>0.2410000000000001</v>
      </c>
      <c r="F423" s="17">
        <v>0.28570999999999991</v>
      </c>
      <c r="G423" s="18">
        <v>613.6</v>
      </c>
      <c r="H423" s="18">
        <v>185.46</v>
      </c>
      <c r="I423" s="18">
        <v>613.6</v>
      </c>
      <c r="J423" s="53">
        <v>142.28</v>
      </c>
    </row>
    <row r="424" spans="1:10" ht="17.25" customHeight="1" x14ac:dyDescent="0.25">
      <c r="A424" s="6">
        <v>986</v>
      </c>
      <c r="B424" s="5" t="s">
        <v>708</v>
      </c>
      <c r="C424" s="5" t="s">
        <v>2377</v>
      </c>
      <c r="D424" s="16">
        <v>0.28473999999999999</v>
      </c>
      <c r="E424" s="16">
        <v>0.24012000000000011</v>
      </c>
      <c r="F424" s="17">
        <v>0.28485000000000005</v>
      </c>
      <c r="G424" s="18">
        <v>680</v>
      </c>
      <c r="H424" s="18">
        <v>223.64</v>
      </c>
      <c r="I424" s="18">
        <v>680</v>
      </c>
      <c r="J424" s="53">
        <v>134.22</v>
      </c>
    </row>
    <row r="425" spans="1:10" ht="17.25" customHeight="1" x14ac:dyDescent="0.25">
      <c r="A425" s="4">
        <v>746</v>
      </c>
      <c r="B425" s="5" t="s">
        <v>1724</v>
      </c>
      <c r="C425" s="5" t="s">
        <v>1729</v>
      </c>
      <c r="D425" s="16">
        <v>0.24259000000000008</v>
      </c>
      <c r="E425" s="16">
        <v>0.26444000000000001</v>
      </c>
      <c r="F425" s="17">
        <v>0.29139999999999988</v>
      </c>
      <c r="G425" s="18">
        <v>540.64</v>
      </c>
      <c r="H425" s="18">
        <v>154.55000000000001</v>
      </c>
      <c r="I425" s="18">
        <v>540.64</v>
      </c>
      <c r="J425" s="53">
        <v>100.2</v>
      </c>
    </row>
    <row r="426" spans="1:10" ht="17.25" customHeight="1" x14ac:dyDescent="0.25">
      <c r="A426" s="4">
        <v>575</v>
      </c>
      <c r="B426" s="5" t="s">
        <v>466</v>
      </c>
      <c r="C426" s="5" t="s">
        <v>472</v>
      </c>
      <c r="D426" s="16">
        <v>0.27517000000000014</v>
      </c>
      <c r="E426" s="16">
        <v>0.26556999999999986</v>
      </c>
      <c r="F426" s="17">
        <v>0.28659999999999997</v>
      </c>
      <c r="G426" s="18">
        <v>582.82000000000005</v>
      </c>
      <c r="H426" s="18">
        <v>217.5</v>
      </c>
      <c r="I426" s="18">
        <v>582.82000000000005</v>
      </c>
      <c r="J426" s="53">
        <v>100.16</v>
      </c>
    </row>
    <row r="427" spans="1:10" ht="17.25" customHeight="1" x14ac:dyDescent="0.25">
      <c r="A427" s="4">
        <v>535</v>
      </c>
      <c r="B427" s="5" t="s">
        <v>426</v>
      </c>
      <c r="C427" s="5" t="s">
        <v>435</v>
      </c>
      <c r="D427" s="16">
        <v>0.24595999999999996</v>
      </c>
      <c r="E427" s="16">
        <v>0.26065000000000005</v>
      </c>
      <c r="F427" s="17">
        <v>0.28570999999999991</v>
      </c>
      <c r="G427" s="18">
        <v>544</v>
      </c>
      <c r="H427" s="18">
        <v>170.05</v>
      </c>
      <c r="I427" s="18">
        <v>544</v>
      </c>
      <c r="J427" s="53">
        <v>82.14</v>
      </c>
    </row>
    <row r="428" spans="1:10" ht="17.25" customHeight="1" x14ac:dyDescent="0.25">
      <c r="A428" s="4">
        <v>167</v>
      </c>
      <c r="B428" s="5" t="s">
        <v>2251</v>
      </c>
      <c r="C428" s="5" t="s">
        <v>23</v>
      </c>
      <c r="D428" s="16">
        <v>0.58800000000000008</v>
      </c>
      <c r="E428" s="16">
        <v>0.24900000000000011</v>
      </c>
      <c r="F428" s="17">
        <v>0.28570999999999991</v>
      </c>
      <c r="G428" s="18">
        <v>595.80999999999995</v>
      </c>
      <c r="H428" s="18">
        <v>173.86</v>
      </c>
      <c r="I428" s="18">
        <v>595.80999999999995</v>
      </c>
      <c r="J428" s="53">
        <v>167.98</v>
      </c>
    </row>
    <row r="429" spans="1:10" ht="17.25" customHeight="1" x14ac:dyDescent="0.25">
      <c r="A429" s="4">
        <v>1063</v>
      </c>
      <c r="B429" s="5" t="s">
        <v>732</v>
      </c>
      <c r="C429" s="5" t="s">
        <v>777</v>
      </c>
      <c r="D429" s="16">
        <v>0.22259999999999991</v>
      </c>
      <c r="E429" s="16">
        <v>0.23399999999999999</v>
      </c>
      <c r="F429" s="17">
        <v>0.28570999999999991</v>
      </c>
      <c r="G429" s="18">
        <v>623.4</v>
      </c>
      <c r="H429" s="18">
        <v>219.16</v>
      </c>
      <c r="I429" s="18">
        <v>623.4</v>
      </c>
      <c r="J429" s="53">
        <v>142.28</v>
      </c>
    </row>
    <row r="430" spans="1:10" ht="17.25" customHeight="1" x14ac:dyDescent="0.25">
      <c r="A430" s="4">
        <v>190</v>
      </c>
      <c r="B430" s="5" t="s">
        <v>53</v>
      </c>
      <c r="C430" s="5" t="s">
        <v>54</v>
      </c>
      <c r="D430" s="16">
        <v>0.37773999999999996</v>
      </c>
      <c r="E430" s="16">
        <v>0.23621000000000003</v>
      </c>
      <c r="F430" s="17">
        <v>0.40466000000000002</v>
      </c>
      <c r="G430" s="18">
        <v>729</v>
      </c>
      <c r="H430" s="18">
        <v>290.64999999999998</v>
      </c>
      <c r="I430" s="18">
        <v>729</v>
      </c>
      <c r="J430" s="53">
        <v>106.14</v>
      </c>
    </row>
    <row r="431" spans="1:10" ht="17.25" customHeight="1" x14ac:dyDescent="0.25">
      <c r="A431" s="4">
        <v>283</v>
      </c>
      <c r="B431" s="5" t="s">
        <v>163</v>
      </c>
      <c r="C431" s="5" t="s">
        <v>166</v>
      </c>
      <c r="D431" s="16">
        <v>0.26256999999999997</v>
      </c>
      <c r="E431" s="16">
        <v>0.2218</v>
      </c>
      <c r="F431" s="17">
        <v>0.28570000000000007</v>
      </c>
      <c r="G431" s="18">
        <v>638</v>
      </c>
      <c r="H431" s="18">
        <v>210.12</v>
      </c>
      <c r="I431" s="18">
        <v>638</v>
      </c>
      <c r="J431" s="53">
        <v>85.1</v>
      </c>
    </row>
    <row r="432" spans="1:10" ht="17.25" customHeight="1" x14ac:dyDescent="0.25">
      <c r="A432" s="4">
        <v>426</v>
      </c>
      <c r="B432" s="5" t="s">
        <v>328</v>
      </c>
      <c r="C432" s="5" t="s">
        <v>329</v>
      </c>
      <c r="D432" s="16">
        <v>0.38016000000000005</v>
      </c>
      <c r="E432" s="16">
        <v>0.26878000000000002</v>
      </c>
      <c r="F432" s="17">
        <v>0.31440000000000001</v>
      </c>
      <c r="G432" s="18">
        <v>817</v>
      </c>
      <c r="H432" s="18">
        <v>273.64999999999998</v>
      </c>
      <c r="I432" s="18">
        <v>817</v>
      </c>
      <c r="J432" s="53">
        <v>134.19999999999999</v>
      </c>
    </row>
    <row r="433" spans="1:10" ht="17.25" customHeight="1" x14ac:dyDescent="0.25">
      <c r="A433" s="4">
        <v>376</v>
      </c>
      <c r="B433" s="5" t="s">
        <v>272</v>
      </c>
      <c r="C433" s="5" t="s">
        <v>275</v>
      </c>
      <c r="D433" s="16">
        <v>0.23408999999999991</v>
      </c>
      <c r="E433" s="16">
        <v>0.24625000000000008</v>
      </c>
      <c r="F433" s="17">
        <v>0.29041000000000006</v>
      </c>
      <c r="G433" s="18">
        <v>490</v>
      </c>
      <c r="H433" s="18">
        <v>159.53</v>
      </c>
      <c r="I433" s="18">
        <v>490</v>
      </c>
      <c r="J433" s="53">
        <v>68.12</v>
      </c>
    </row>
    <row r="434" spans="1:10" ht="17.25" customHeight="1" x14ac:dyDescent="0.25">
      <c r="A434" s="4">
        <v>445</v>
      </c>
      <c r="B434" s="5" t="s">
        <v>348</v>
      </c>
      <c r="C434" s="5" t="s">
        <v>352</v>
      </c>
      <c r="D434" s="16">
        <v>0.27218999999999993</v>
      </c>
      <c r="E434" s="16">
        <v>0.26079999999999992</v>
      </c>
      <c r="F434" s="17">
        <v>0.28570000000000007</v>
      </c>
      <c r="G434" s="18">
        <v>579.45000000000005</v>
      </c>
      <c r="H434" s="18">
        <v>155.94999999999999</v>
      </c>
      <c r="I434" s="18">
        <v>579.45000000000005</v>
      </c>
      <c r="J434" s="53">
        <v>88.15</v>
      </c>
    </row>
    <row r="435" spans="1:10" ht="17.25" customHeight="1" x14ac:dyDescent="0.25">
      <c r="A435" s="4">
        <v>406</v>
      </c>
      <c r="B435" s="5" t="s">
        <v>305</v>
      </c>
      <c r="C435" s="5" t="s">
        <v>309</v>
      </c>
      <c r="D435" s="16">
        <v>0.23215000000000008</v>
      </c>
      <c r="E435" s="16">
        <v>0.26923999999999992</v>
      </c>
      <c r="F435" s="17">
        <v>0.26387999999999989</v>
      </c>
      <c r="G435" s="18">
        <v>450.37</v>
      </c>
      <c r="H435" s="18">
        <v>104.66</v>
      </c>
      <c r="I435" s="18">
        <v>450.37</v>
      </c>
      <c r="J435" s="53">
        <v>70.13</v>
      </c>
    </row>
    <row r="436" spans="1:10" ht="17.25" customHeight="1" x14ac:dyDescent="0.25">
      <c r="A436" s="4">
        <v>385</v>
      </c>
      <c r="B436" s="5" t="s">
        <v>272</v>
      </c>
      <c r="C436" s="5" t="s">
        <v>282</v>
      </c>
      <c r="D436" s="16">
        <v>0.24770000000000003</v>
      </c>
      <c r="E436" s="16">
        <v>0.26007999999999987</v>
      </c>
      <c r="F436" s="17">
        <v>0.30807000000000007</v>
      </c>
      <c r="G436" s="18">
        <v>463.2</v>
      </c>
      <c r="H436" s="18">
        <v>183.45</v>
      </c>
      <c r="I436" s="18">
        <v>463.2</v>
      </c>
      <c r="J436" s="53">
        <v>68.12</v>
      </c>
    </row>
    <row r="437" spans="1:10" ht="17.25" customHeight="1" x14ac:dyDescent="0.25">
      <c r="A437" s="4">
        <v>719</v>
      </c>
      <c r="B437" s="5" t="s">
        <v>1698</v>
      </c>
      <c r="C437" s="5" t="s">
        <v>1707</v>
      </c>
      <c r="D437" s="16">
        <v>0.24669999999999992</v>
      </c>
      <c r="E437" s="16">
        <v>0.27383000000000002</v>
      </c>
      <c r="F437" s="17">
        <v>0.28221000000000007</v>
      </c>
      <c r="G437" s="18">
        <v>528</v>
      </c>
      <c r="H437" s="18">
        <v>145</v>
      </c>
      <c r="I437" s="18">
        <v>528</v>
      </c>
      <c r="J437" s="53">
        <v>98.19</v>
      </c>
    </row>
    <row r="438" spans="1:10" ht="17.25" customHeight="1" x14ac:dyDescent="0.25">
      <c r="A438" s="4">
        <v>564</v>
      </c>
      <c r="B438" s="5" t="s">
        <v>452</v>
      </c>
      <c r="C438" s="5" t="s">
        <v>462</v>
      </c>
      <c r="D438" s="16">
        <v>0.24514999999999998</v>
      </c>
      <c r="E438" s="16">
        <v>0.27449999999999997</v>
      </c>
      <c r="F438" s="17">
        <v>0.2844199999999999</v>
      </c>
      <c r="G438" s="18">
        <v>495</v>
      </c>
      <c r="H438" s="18">
        <v>120.2</v>
      </c>
      <c r="I438" s="18">
        <v>495</v>
      </c>
      <c r="J438" s="53">
        <v>84.16</v>
      </c>
    </row>
    <row r="439" spans="1:10" ht="17.25" customHeight="1" x14ac:dyDescent="0.25">
      <c r="A439" s="4">
        <v>446</v>
      </c>
      <c r="B439" s="5" t="s">
        <v>348</v>
      </c>
      <c r="C439" s="5" t="s">
        <v>353</v>
      </c>
      <c r="D439" s="16">
        <v>0.27665000000000006</v>
      </c>
      <c r="E439" s="16">
        <v>0.26439999999999997</v>
      </c>
      <c r="F439" s="17">
        <v>0.28570000000000007</v>
      </c>
      <c r="G439" s="18">
        <v>574</v>
      </c>
      <c r="H439" s="18">
        <v>188</v>
      </c>
      <c r="I439" s="18">
        <v>574</v>
      </c>
      <c r="J439" s="53">
        <v>88.15</v>
      </c>
    </row>
    <row r="440" spans="1:10" ht="17.25" customHeight="1" x14ac:dyDescent="0.25">
      <c r="A440" s="4">
        <v>837</v>
      </c>
      <c r="B440" s="5" t="s">
        <v>633</v>
      </c>
      <c r="C440" s="5" t="s">
        <v>642</v>
      </c>
      <c r="D440" s="16">
        <v>0.25099999999999989</v>
      </c>
      <c r="E440" s="16">
        <v>0.27254</v>
      </c>
      <c r="F440" s="17">
        <v>0.28169</v>
      </c>
      <c r="G440" s="18">
        <v>576.5</v>
      </c>
      <c r="H440" s="18">
        <v>182.28</v>
      </c>
      <c r="I440" s="18">
        <v>576.5</v>
      </c>
      <c r="J440" s="53">
        <v>114.23</v>
      </c>
    </row>
    <row r="441" spans="1:10" ht="17.25" customHeight="1" x14ac:dyDescent="0.25">
      <c r="A441" s="4">
        <v>565</v>
      </c>
      <c r="B441" s="5" t="s">
        <v>452</v>
      </c>
      <c r="C441" s="5" t="s">
        <v>2378</v>
      </c>
      <c r="D441" s="16">
        <v>0.24536000000000002</v>
      </c>
      <c r="E441" s="16">
        <v>0.26737999999999995</v>
      </c>
      <c r="F441" s="17">
        <v>0.28391000000000011</v>
      </c>
      <c r="G441" s="18">
        <v>515</v>
      </c>
      <c r="H441" s="18">
        <v>138.31</v>
      </c>
      <c r="I441" s="18">
        <v>515</v>
      </c>
      <c r="J441" s="53">
        <v>84.16</v>
      </c>
    </row>
    <row r="442" spans="1:10" ht="17.25" customHeight="1" x14ac:dyDescent="0.25">
      <c r="A442" s="6">
        <v>526</v>
      </c>
      <c r="B442" s="5" t="s">
        <v>426</v>
      </c>
      <c r="C442" s="5" t="s">
        <v>428</v>
      </c>
      <c r="D442" s="16">
        <v>0.26790000000000003</v>
      </c>
      <c r="E442" s="16">
        <v>0.26900000000000013</v>
      </c>
      <c r="F442" s="17">
        <v>0.28570999999999991</v>
      </c>
      <c r="G442" s="18">
        <v>535.71</v>
      </c>
      <c r="H442" s="18">
        <v>130.16</v>
      </c>
      <c r="I442" s="18">
        <v>535.71</v>
      </c>
      <c r="J442" s="53">
        <v>82.14</v>
      </c>
    </row>
    <row r="443" spans="1:10" ht="17.25" customHeight="1" x14ac:dyDescent="0.25">
      <c r="A443" s="4">
        <v>839</v>
      </c>
      <c r="B443" s="5" t="s">
        <v>633</v>
      </c>
      <c r="C443" s="5" t="s">
        <v>644</v>
      </c>
      <c r="D443" s="16">
        <v>0.24460999999999999</v>
      </c>
      <c r="E443" s="16">
        <v>0.27441000000000004</v>
      </c>
      <c r="F443" s="17">
        <v>0.2713000000000001</v>
      </c>
      <c r="G443" s="18">
        <v>563.66999999999996</v>
      </c>
      <c r="H443" s="18">
        <v>152.6</v>
      </c>
      <c r="I443" s="18">
        <v>563.66999999999996</v>
      </c>
      <c r="J443" s="53">
        <v>114.23</v>
      </c>
    </row>
    <row r="444" spans="1:10" ht="17.25" customHeight="1" x14ac:dyDescent="0.25">
      <c r="A444" s="4">
        <v>749</v>
      </c>
      <c r="B444" s="5" t="s">
        <v>1724</v>
      </c>
      <c r="C444" s="5" t="s">
        <v>1731</v>
      </c>
      <c r="D444" s="16">
        <v>0.24512</v>
      </c>
      <c r="E444" s="16">
        <v>0.28059999999999996</v>
      </c>
      <c r="F444" s="17">
        <v>0.26249999999999996</v>
      </c>
      <c r="G444" s="18">
        <v>535.25</v>
      </c>
      <c r="H444" s="18">
        <v>153.75</v>
      </c>
      <c r="I444" s="18">
        <v>535.25</v>
      </c>
      <c r="J444" s="53">
        <v>100.2</v>
      </c>
    </row>
    <row r="445" spans="1:10" ht="17.25" customHeight="1" x14ac:dyDescent="0.25">
      <c r="A445" s="4">
        <v>1020</v>
      </c>
      <c r="B445" s="5" t="s">
        <v>732</v>
      </c>
      <c r="C445" s="5" t="s">
        <v>734</v>
      </c>
      <c r="D445" s="16">
        <v>0.24405999999999994</v>
      </c>
      <c r="E445" s="16">
        <v>0.26568999999999998</v>
      </c>
      <c r="F445" s="17">
        <v>0.28692000000000006</v>
      </c>
      <c r="G445" s="18">
        <v>613</v>
      </c>
      <c r="H445" s="18">
        <v>188.35</v>
      </c>
      <c r="I445" s="18">
        <v>613</v>
      </c>
      <c r="J445" s="53">
        <v>142.28</v>
      </c>
    </row>
    <row r="446" spans="1:10" ht="17.25" customHeight="1" x14ac:dyDescent="0.25">
      <c r="A446" s="6">
        <v>941</v>
      </c>
      <c r="B446" s="5" t="s">
        <v>664</v>
      </c>
      <c r="C446" s="5" t="s">
        <v>669</v>
      </c>
      <c r="D446" s="16">
        <v>0.24245000000000005</v>
      </c>
      <c r="E446" s="16">
        <v>0.26710999999999996</v>
      </c>
      <c r="F446" s="17">
        <v>0.28007000000000004</v>
      </c>
      <c r="G446" s="18">
        <v>590.15</v>
      </c>
      <c r="H446" s="18">
        <v>165.55</v>
      </c>
      <c r="I446" s="18">
        <v>590.15</v>
      </c>
      <c r="J446" s="53">
        <v>128.25</v>
      </c>
    </row>
    <row r="447" spans="1:10" ht="17.25" customHeight="1" x14ac:dyDescent="0.25">
      <c r="A447" s="4">
        <v>511</v>
      </c>
      <c r="B447" s="5" t="s">
        <v>408</v>
      </c>
      <c r="C447" s="5" t="s">
        <v>411</v>
      </c>
      <c r="D447" s="16">
        <v>0.29102000000000006</v>
      </c>
      <c r="E447" s="16">
        <v>0.24341999999999997</v>
      </c>
      <c r="F447" s="17">
        <v>0.28343000000000007</v>
      </c>
      <c r="G447" s="18">
        <v>645</v>
      </c>
      <c r="H447" s="18">
        <v>255.01</v>
      </c>
      <c r="I447" s="18">
        <v>645</v>
      </c>
      <c r="J447" s="53">
        <v>93.13</v>
      </c>
    </row>
    <row r="448" spans="1:10" ht="17.25" customHeight="1" x14ac:dyDescent="0.25">
      <c r="A448" s="4">
        <v>371</v>
      </c>
      <c r="B448" s="5" t="s">
        <v>265</v>
      </c>
      <c r="C448" s="5" t="s">
        <v>267</v>
      </c>
      <c r="D448" s="16">
        <v>0.33660000000000001</v>
      </c>
      <c r="E448" s="16">
        <v>0.2629999999999999</v>
      </c>
      <c r="F448" s="17">
        <v>0.28570999999999991</v>
      </c>
      <c r="G448" s="18">
        <v>615</v>
      </c>
      <c r="H448" s="18">
        <v>204.18</v>
      </c>
      <c r="I448" s="18">
        <v>615</v>
      </c>
      <c r="J448" s="53">
        <v>98.17</v>
      </c>
    </row>
    <row r="449" spans="1:10" ht="17.25" customHeight="1" x14ac:dyDescent="0.25">
      <c r="A449" s="4">
        <v>650</v>
      </c>
      <c r="B449" s="5" t="s">
        <v>544</v>
      </c>
      <c r="C449" s="5" t="s">
        <v>545</v>
      </c>
      <c r="D449" s="16">
        <v>0.41564000000000001</v>
      </c>
      <c r="E449" s="16">
        <v>0.23215000000000008</v>
      </c>
      <c r="F449" s="17">
        <v>0.28570000000000007</v>
      </c>
      <c r="G449" s="18">
        <v>667</v>
      </c>
      <c r="H449" s="18">
        <v>272</v>
      </c>
      <c r="I449" s="18">
        <v>667</v>
      </c>
      <c r="J449" s="53">
        <v>191.11</v>
      </c>
    </row>
    <row r="450" spans="1:10" ht="17.25" customHeight="1" x14ac:dyDescent="0.25">
      <c r="A450" s="4">
        <v>449</v>
      </c>
      <c r="B450" s="5" t="s">
        <v>348</v>
      </c>
      <c r="C450" s="5" t="s">
        <v>356</v>
      </c>
      <c r="D450" s="16">
        <v>0.28353000000000006</v>
      </c>
      <c r="E450" s="16">
        <v>0.2652000000000001</v>
      </c>
      <c r="F450" s="17">
        <v>0.28570000000000007</v>
      </c>
      <c r="G450" s="18">
        <v>547</v>
      </c>
      <c r="H450" s="18">
        <v>204.15</v>
      </c>
      <c r="I450" s="18">
        <v>547</v>
      </c>
      <c r="J450" s="53">
        <v>88.15</v>
      </c>
    </row>
    <row r="451" spans="1:10" ht="17.25" customHeight="1" x14ac:dyDescent="0.25">
      <c r="A451" s="4">
        <v>928</v>
      </c>
      <c r="B451" s="5" t="s">
        <v>664</v>
      </c>
      <c r="C451" s="5" t="s">
        <v>1831</v>
      </c>
      <c r="D451" s="16">
        <v>0.23280000000000012</v>
      </c>
      <c r="E451" s="16">
        <v>0.25</v>
      </c>
      <c r="F451" s="17">
        <v>0.28570999999999991</v>
      </c>
      <c r="G451" s="18">
        <v>585.4</v>
      </c>
      <c r="H451" s="18">
        <v>170.26</v>
      </c>
      <c r="I451" s="18">
        <v>585.4</v>
      </c>
      <c r="J451" s="53">
        <v>128.25</v>
      </c>
    </row>
    <row r="452" spans="1:10" ht="17.25" customHeight="1" x14ac:dyDescent="0.25">
      <c r="A452" s="4">
        <v>1035</v>
      </c>
      <c r="B452" s="5" t="s">
        <v>732</v>
      </c>
      <c r="C452" s="5" t="s">
        <v>749</v>
      </c>
      <c r="D452" s="16">
        <v>0.22540000000000004</v>
      </c>
      <c r="E452" s="16">
        <v>0.24</v>
      </c>
      <c r="F452" s="17">
        <v>0.28570999999999991</v>
      </c>
      <c r="G452" s="18">
        <v>606.9</v>
      </c>
      <c r="H452" s="18">
        <v>219.16</v>
      </c>
      <c r="I452" s="18">
        <v>606.9</v>
      </c>
      <c r="J452" s="53">
        <v>142.28</v>
      </c>
    </row>
    <row r="453" spans="1:10" ht="17.25" customHeight="1" x14ac:dyDescent="0.25">
      <c r="A453" s="4">
        <v>1036</v>
      </c>
      <c r="B453" s="5" t="s">
        <v>732</v>
      </c>
      <c r="C453" s="5" t="s">
        <v>750</v>
      </c>
      <c r="D453" s="16">
        <v>0.22849999999999993</v>
      </c>
      <c r="E453" s="16">
        <v>0.24</v>
      </c>
      <c r="F453" s="17">
        <v>0.28570999999999991</v>
      </c>
      <c r="G453" s="18">
        <v>612.20000000000005</v>
      </c>
      <c r="H453" s="18">
        <v>219.16</v>
      </c>
      <c r="I453" s="18">
        <v>612.20000000000005</v>
      </c>
      <c r="J453" s="53">
        <v>142.28</v>
      </c>
    </row>
    <row r="454" spans="1:10" ht="17.25" customHeight="1" x14ac:dyDescent="0.25">
      <c r="A454" s="4">
        <v>645</v>
      </c>
      <c r="B454" s="5" t="s">
        <v>2252</v>
      </c>
      <c r="C454" s="5" t="s">
        <v>538</v>
      </c>
      <c r="D454" s="16">
        <v>0.44961000000000007</v>
      </c>
      <c r="E454" s="16">
        <v>0.2410000000000001</v>
      </c>
      <c r="F454" s="17">
        <v>0.28570000000000007</v>
      </c>
      <c r="G454" s="18">
        <v>686</v>
      </c>
      <c r="H454" s="18">
        <v>293.14999999999998</v>
      </c>
      <c r="I454" s="18">
        <v>686</v>
      </c>
      <c r="J454" s="53">
        <v>225.55</v>
      </c>
    </row>
    <row r="455" spans="1:10" ht="17.25" customHeight="1" x14ac:dyDescent="0.25">
      <c r="A455" s="4">
        <v>1067</v>
      </c>
      <c r="B455" s="5" t="s">
        <v>732</v>
      </c>
      <c r="C455" s="5" t="s">
        <v>781</v>
      </c>
      <c r="D455" s="16">
        <v>0.22819999999999996</v>
      </c>
      <c r="E455" s="16">
        <v>0.24199999999999999</v>
      </c>
      <c r="F455" s="17">
        <v>0.28570999999999991</v>
      </c>
      <c r="G455" s="18">
        <v>594.6</v>
      </c>
      <c r="H455" s="18">
        <v>219.16</v>
      </c>
      <c r="I455" s="18">
        <v>594.6</v>
      </c>
      <c r="J455" s="53">
        <v>142.28</v>
      </c>
    </row>
    <row r="456" spans="1:10" ht="17.25" customHeight="1" x14ac:dyDescent="0.25">
      <c r="A456" s="4">
        <v>1069</v>
      </c>
      <c r="B456" s="5" t="s">
        <v>732</v>
      </c>
      <c r="C456" s="5" t="s">
        <v>783</v>
      </c>
      <c r="D456" s="16">
        <v>0.22970000000000002</v>
      </c>
      <c r="E456" s="16">
        <v>0.23899999999999988</v>
      </c>
      <c r="F456" s="17">
        <v>0.28570999999999991</v>
      </c>
      <c r="G456" s="18">
        <v>617.29999999999995</v>
      </c>
      <c r="H456" s="18">
        <v>219.16</v>
      </c>
      <c r="I456" s="18">
        <v>617.29999999999995</v>
      </c>
      <c r="J456" s="53">
        <v>142.28</v>
      </c>
    </row>
    <row r="457" spans="1:10" ht="17.25" customHeight="1" x14ac:dyDescent="0.25">
      <c r="A457" s="4">
        <v>1071</v>
      </c>
      <c r="B457" s="5" t="s">
        <v>732</v>
      </c>
      <c r="C457" s="5" t="s">
        <v>785</v>
      </c>
      <c r="D457" s="16">
        <v>0.23110000000000008</v>
      </c>
      <c r="E457" s="16">
        <v>0.2410000000000001</v>
      </c>
      <c r="F457" s="17">
        <v>0.28570999999999991</v>
      </c>
      <c r="G457" s="18">
        <v>620.9</v>
      </c>
      <c r="H457" s="18">
        <v>219.16</v>
      </c>
      <c r="I457" s="18">
        <v>620.9</v>
      </c>
      <c r="J457" s="53">
        <v>142.28</v>
      </c>
    </row>
    <row r="458" spans="1:10" ht="17.25" customHeight="1" x14ac:dyDescent="0.25">
      <c r="A458" s="4">
        <v>1040</v>
      </c>
      <c r="B458" s="5" t="s">
        <v>732</v>
      </c>
      <c r="C458" s="5" t="s">
        <v>754</v>
      </c>
      <c r="D458" s="16">
        <v>0.22480000000000011</v>
      </c>
      <c r="E458" s="16">
        <v>0.23799999999999999</v>
      </c>
      <c r="F458" s="17">
        <v>0.28570999999999991</v>
      </c>
      <c r="G458" s="18">
        <v>601.79999999999995</v>
      </c>
      <c r="H458" s="18">
        <v>219.16</v>
      </c>
      <c r="I458" s="18">
        <v>601.79999999999995</v>
      </c>
      <c r="J458" s="53">
        <v>142.28</v>
      </c>
    </row>
    <row r="459" spans="1:10" ht="17.25" customHeight="1" x14ac:dyDescent="0.25">
      <c r="A459" s="4">
        <v>930</v>
      </c>
      <c r="B459" s="5" t="s">
        <v>664</v>
      </c>
      <c r="C459" s="5" t="s">
        <v>1833</v>
      </c>
      <c r="D459" s="16">
        <v>0.23360000000000003</v>
      </c>
      <c r="E459" s="16">
        <v>0.25099999999999989</v>
      </c>
      <c r="F459" s="17">
        <v>0.28570999999999991</v>
      </c>
      <c r="G459" s="18">
        <v>580</v>
      </c>
      <c r="H459" s="18">
        <v>160.16</v>
      </c>
      <c r="I459" s="18">
        <v>580</v>
      </c>
      <c r="J459" s="53">
        <v>128.25</v>
      </c>
    </row>
    <row r="460" spans="1:10" ht="17.25" customHeight="1" x14ac:dyDescent="0.25">
      <c r="A460" s="4">
        <v>1073</v>
      </c>
      <c r="B460" s="5" t="s">
        <v>732</v>
      </c>
      <c r="C460" s="5" t="s">
        <v>787</v>
      </c>
      <c r="D460" s="16">
        <v>0.23120000000000007</v>
      </c>
      <c r="E460" s="16">
        <v>0.23899999999999988</v>
      </c>
      <c r="F460" s="17">
        <v>0.28570999999999991</v>
      </c>
      <c r="G460" s="18">
        <v>625.70000000000005</v>
      </c>
      <c r="H460" s="18">
        <v>219.16</v>
      </c>
      <c r="I460" s="18">
        <v>625.70000000000005</v>
      </c>
      <c r="J460" s="53">
        <v>142.28</v>
      </c>
    </row>
    <row r="461" spans="1:10" ht="17.25" customHeight="1" x14ac:dyDescent="0.25">
      <c r="A461" s="4">
        <v>1043</v>
      </c>
      <c r="B461" s="5" t="s">
        <v>732</v>
      </c>
      <c r="C461" s="5" t="s">
        <v>757</v>
      </c>
      <c r="D461" s="16">
        <v>0.2269000000000001</v>
      </c>
      <c r="E461" s="16">
        <v>0.2370000000000001</v>
      </c>
      <c r="F461" s="17">
        <v>0.28570999999999991</v>
      </c>
      <c r="G461" s="18">
        <v>614.29999999999995</v>
      </c>
      <c r="H461" s="18">
        <v>219.16</v>
      </c>
      <c r="I461" s="18">
        <v>614.29999999999995</v>
      </c>
      <c r="J461" s="53">
        <v>142.28</v>
      </c>
    </row>
    <row r="462" spans="1:10" ht="17.25" customHeight="1" x14ac:dyDescent="0.25">
      <c r="A462" s="4">
        <v>1046</v>
      </c>
      <c r="B462" s="5" t="s">
        <v>732</v>
      </c>
      <c r="C462" s="5" t="s">
        <v>760</v>
      </c>
      <c r="D462" s="16">
        <v>0.2269000000000001</v>
      </c>
      <c r="E462" s="16">
        <v>0.2370000000000001</v>
      </c>
      <c r="F462" s="17">
        <v>0.28570999999999991</v>
      </c>
      <c r="G462" s="18">
        <v>615.70000000000005</v>
      </c>
      <c r="H462" s="18">
        <v>219.16</v>
      </c>
      <c r="I462" s="18">
        <v>615.70000000000005</v>
      </c>
      <c r="J462" s="53">
        <v>142.28</v>
      </c>
    </row>
    <row r="463" spans="1:10" ht="17.25" customHeight="1" x14ac:dyDescent="0.25">
      <c r="A463" s="4">
        <v>922</v>
      </c>
      <c r="B463" s="5" t="s">
        <v>664</v>
      </c>
      <c r="C463" s="5" t="s">
        <v>1825</v>
      </c>
      <c r="D463" s="16">
        <v>0.23750000000000004</v>
      </c>
      <c r="E463" s="16">
        <v>0.25499999999999989</v>
      </c>
      <c r="F463" s="17">
        <v>0.28570999999999991</v>
      </c>
      <c r="G463" s="18">
        <v>584.95000000000005</v>
      </c>
      <c r="H463" s="18">
        <v>159.96</v>
      </c>
      <c r="I463" s="18">
        <v>584.95000000000005</v>
      </c>
      <c r="J463" s="53">
        <v>128.25</v>
      </c>
    </row>
    <row r="464" spans="1:10" ht="17.25" customHeight="1" x14ac:dyDescent="0.25">
      <c r="A464" s="4">
        <v>987</v>
      </c>
      <c r="B464" s="5" t="s">
        <v>708</v>
      </c>
      <c r="C464" s="5" t="s">
        <v>2379</v>
      </c>
      <c r="D464" s="16">
        <v>0.27847</v>
      </c>
      <c r="E464" s="16">
        <v>0.25635999999999992</v>
      </c>
      <c r="F464" s="17">
        <v>0.29537000000000013</v>
      </c>
      <c r="G464" s="18">
        <v>665</v>
      </c>
      <c r="H464" s="18">
        <v>210.27</v>
      </c>
      <c r="I464" s="18">
        <v>665</v>
      </c>
      <c r="J464" s="53">
        <v>134.22</v>
      </c>
    </row>
    <row r="465" spans="1:10" ht="17.25" customHeight="1" x14ac:dyDescent="0.25">
      <c r="A465" s="4">
        <v>1024</v>
      </c>
      <c r="B465" s="5" t="s">
        <v>732</v>
      </c>
      <c r="C465" s="5" t="s">
        <v>738</v>
      </c>
      <c r="D465" s="16">
        <v>0.22370000000000001</v>
      </c>
      <c r="E465" s="16">
        <v>0.2370000000000001</v>
      </c>
      <c r="F465" s="17">
        <v>0.28570999999999991</v>
      </c>
      <c r="G465" s="18">
        <v>609.6</v>
      </c>
      <c r="H465" s="18">
        <v>185.46</v>
      </c>
      <c r="I465" s="18">
        <v>609.6</v>
      </c>
      <c r="J465" s="53">
        <v>142.28</v>
      </c>
    </row>
    <row r="466" spans="1:10" ht="17.25" customHeight="1" x14ac:dyDescent="0.25">
      <c r="A466" s="6">
        <v>988</v>
      </c>
      <c r="B466" s="5" t="s">
        <v>708</v>
      </c>
      <c r="C466" s="5" t="s">
        <v>2380</v>
      </c>
      <c r="D466" s="16">
        <v>0.2740499999999999</v>
      </c>
      <c r="E466" s="16">
        <v>0.25435000000000008</v>
      </c>
      <c r="F466" s="17">
        <v>0.28570999999999991</v>
      </c>
      <c r="G466" s="18">
        <v>667</v>
      </c>
      <c r="H466" s="18">
        <v>206.22</v>
      </c>
      <c r="I466" s="18">
        <v>667</v>
      </c>
      <c r="J466" s="53">
        <v>134.22</v>
      </c>
    </row>
    <row r="467" spans="1:10" ht="17.25" customHeight="1" x14ac:dyDescent="0.25">
      <c r="A467" s="4">
        <v>1038</v>
      </c>
      <c r="B467" s="5" t="s">
        <v>732</v>
      </c>
      <c r="C467" s="5" t="s">
        <v>752</v>
      </c>
      <c r="D467" s="16">
        <v>0.22429999999999994</v>
      </c>
      <c r="E467" s="16">
        <v>0.2370000000000001</v>
      </c>
      <c r="F467" s="17">
        <v>0.28570999999999991</v>
      </c>
      <c r="G467" s="18">
        <v>607.6</v>
      </c>
      <c r="H467" s="18">
        <v>219.16</v>
      </c>
      <c r="I467" s="18">
        <v>607.6</v>
      </c>
      <c r="J467" s="53">
        <v>142.28</v>
      </c>
    </row>
    <row r="468" spans="1:10" ht="17.25" customHeight="1" x14ac:dyDescent="0.25">
      <c r="A468" s="4">
        <v>720</v>
      </c>
      <c r="B468" s="5" t="s">
        <v>1698</v>
      </c>
      <c r="C468" s="5" t="s">
        <v>1708</v>
      </c>
      <c r="D468" s="16">
        <v>0.24669999999999992</v>
      </c>
      <c r="E468" s="16">
        <v>0.2713000000000001</v>
      </c>
      <c r="F468" s="17">
        <v>0.28371999999999997</v>
      </c>
      <c r="G468" s="18">
        <v>534</v>
      </c>
      <c r="H468" s="18">
        <v>131.69999999999999</v>
      </c>
      <c r="I468" s="18">
        <v>534</v>
      </c>
      <c r="J468" s="53">
        <v>98.19</v>
      </c>
    </row>
    <row r="469" spans="1:10" ht="17.25" customHeight="1" x14ac:dyDescent="0.25">
      <c r="A469" s="4">
        <v>566</v>
      </c>
      <c r="B469" s="5" t="s">
        <v>452</v>
      </c>
      <c r="C469" s="5" t="s">
        <v>463</v>
      </c>
      <c r="D469" s="16">
        <v>0.24191000000000007</v>
      </c>
      <c r="E469" s="16">
        <v>0.2716400000000001</v>
      </c>
      <c r="F469" s="17">
        <v>0.28570999999999991</v>
      </c>
      <c r="G469" s="18">
        <v>496</v>
      </c>
      <c r="H469" s="18">
        <v>119.51</v>
      </c>
      <c r="I469" s="18">
        <v>496</v>
      </c>
      <c r="J469" s="53">
        <v>84.16</v>
      </c>
    </row>
    <row r="470" spans="1:10" ht="17.25" customHeight="1" x14ac:dyDescent="0.25">
      <c r="A470" s="4">
        <v>606</v>
      </c>
      <c r="B470" s="5" t="s">
        <v>495</v>
      </c>
      <c r="C470" s="5" t="s">
        <v>500</v>
      </c>
      <c r="D470" s="16">
        <v>0.27673999999999999</v>
      </c>
      <c r="E470" s="16">
        <v>0.26827000000000001</v>
      </c>
      <c r="F470" s="17">
        <v>0.28570999999999991</v>
      </c>
      <c r="G470" s="18">
        <v>574.4</v>
      </c>
      <c r="H470" s="18">
        <v>183</v>
      </c>
      <c r="I470" s="18">
        <v>574.4</v>
      </c>
      <c r="J470" s="53">
        <v>102.17</v>
      </c>
    </row>
    <row r="471" spans="1:10" ht="17.25" customHeight="1" x14ac:dyDescent="0.25">
      <c r="A471" s="4">
        <v>567</v>
      </c>
      <c r="B471" s="5" t="s">
        <v>452</v>
      </c>
      <c r="C471" s="5" t="s">
        <v>2381</v>
      </c>
      <c r="D471" s="16">
        <v>0.24204000000000003</v>
      </c>
      <c r="E471" s="16">
        <v>0.26985999999999999</v>
      </c>
      <c r="F471" s="17">
        <v>0.28570999999999991</v>
      </c>
      <c r="G471" s="18">
        <v>499</v>
      </c>
      <c r="H471" s="18">
        <v>138.30000000000001</v>
      </c>
      <c r="I471" s="18">
        <v>499</v>
      </c>
      <c r="J471" s="53">
        <v>84.16</v>
      </c>
    </row>
    <row r="472" spans="1:10" ht="17.25" customHeight="1" x14ac:dyDescent="0.25">
      <c r="A472" s="4">
        <v>527</v>
      </c>
      <c r="B472" s="5" t="s">
        <v>426</v>
      </c>
      <c r="C472" s="5" t="s">
        <v>429</v>
      </c>
      <c r="D472" s="16">
        <v>0.26489999999999991</v>
      </c>
      <c r="E472" s="16">
        <v>0.26500000000000012</v>
      </c>
      <c r="F472" s="17">
        <v>0.28570999999999991</v>
      </c>
      <c r="G472" s="18">
        <v>543.75</v>
      </c>
      <c r="H472" s="18">
        <v>112.31</v>
      </c>
      <c r="I472" s="18">
        <v>543.75</v>
      </c>
      <c r="J472" s="53">
        <v>82.14</v>
      </c>
    </row>
    <row r="473" spans="1:10" ht="17.25" customHeight="1" x14ac:dyDescent="0.25">
      <c r="A473" s="4">
        <v>840</v>
      </c>
      <c r="B473" s="5" t="s">
        <v>633</v>
      </c>
      <c r="C473" s="5" t="s">
        <v>645</v>
      </c>
      <c r="D473" s="16">
        <v>0.23934999999999995</v>
      </c>
      <c r="E473" s="16">
        <v>0.25882000000000005</v>
      </c>
      <c r="F473" s="17">
        <v>0.28323999999999994</v>
      </c>
      <c r="G473" s="18">
        <v>561.74</v>
      </c>
      <c r="H473" s="18">
        <v>152.19999999999999</v>
      </c>
      <c r="I473" s="18">
        <v>561.74</v>
      </c>
      <c r="J473" s="53">
        <v>114.23</v>
      </c>
    </row>
    <row r="474" spans="1:10" ht="17.25" customHeight="1" x14ac:dyDescent="0.25">
      <c r="A474" s="4">
        <v>1021</v>
      </c>
      <c r="B474" s="5" t="s">
        <v>732</v>
      </c>
      <c r="C474" s="5" t="s">
        <v>735</v>
      </c>
      <c r="D474" s="16">
        <v>0.24405999999999994</v>
      </c>
      <c r="E474" s="16">
        <v>0.26161999999999996</v>
      </c>
      <c r="F474" s="17">
        <v>0.30462999999999996</v>
      </c>
      <c r="G474" s="18">
        <v>610</v>
      </c>
      <c r="H474" s="18">
        <v>174.45</v>
      </c>
      <c r="I474" s="18">
        <v>610</v>
      </c>
      <c r="J474" s="53">
        <v>142.28</v>
      </c>
    </row>
    <row r="475" spans="1:10" ht="17.25" customHeight="1" x14ac:dyDescent="0.25">
      <c r="A475" s="4">
        <v>942</v>
      </c>
      <c r="B475" s="5" t="s">
        <v>664</v>
      </c>
      <c r="C475" s="5" t="s">
        <v>670</v>
      </c>
      <c r="D475" s="16">
        <v>0.2452399999999999</v>
      </c>
      <c r="E475" s="16">
        <v>0.26570999999999989</v>
      </c>
      <c r="F475" s="17">
        <v>0.29984000000000011</v>
      </c>
      <c r="G475" s="18">
        <v>587.65</v>
      </c>
      <c r="H475" s="18">
        <v>159.94999999999999</v>
      </c>
      <c r="I475" s="18">
        <v>587.65</v>
      </c>
      <c r="J475" s="53">
        <v>128.25</v>
      </c>
    </row>
    <row r="476" spans="1:10" ht="17.25" customHeight="1" x14ac:dyDescent="0.25">
      <c r="A476" s="4">
        <v>512</v>
      </c>
      <c r="B476" s="5" t="s">
        <v>408</v>
      </c>
      <c r="C476" s="5" t="s">
        <v>412</v>
      </c>
      <c r="D476" s="16">
        <v>0.28600000000000003</v>
      </c>
      <c r="E476" s="16">
        <v>0.24103999999999992</v>
      </c>
      <c r="F476" s="17">
        <v>0.27523999999999993</v>
      </c>
      <c r="G476" s="18">
        <v>646.15</v>
      </c>
      <c r="H476" s="18">
        <v>276.73</v>
      </c>
      <c r="I476" s="18">
        <v>646.15</v>
      </c>
      <c r="J476" s="53">
        <v>93.13</v>
      </c>
    </row>
    <row r="477" spans="1:10" ht="17.25" customHeight="1" x14ac:dyDescent="0.25">
      <c r="A477" s="4">
        <v>1037</v>
      </c>
      <c r="B477" s="5" t="s">
        <v>732</v>
      </c>
      <c r="C477" s="5" t="s">
        <v>751</v>
      </c>
      <c r="D477" s="16">
        <v>0.22489999999999988</v>
      </c>
      <c r="E477" s="16">
        <v>0.23799999999999999</v>
      </c>
      <c r="F477" s="17">
        <v>0.28570999999999991</v>
      </c>
      <c r="G477" s="18">
        <v>601</v>
      </c>
      <c r="H477" s="18">
        <v>219.16</v>
      </c>
      <c r="I477" s="18">
        <v>601</v>
      </c>
      <c r="J477" s="53">
        <v>142.28</v>
      </c>
    </row>
    <row r="478" spans="1:10" ht="17.25" customHeight="1" x14ac:dyDescent="0.25">
      <c r="A478" s="4">
        <v>1041</v>
      </c>
      <c r="B478" s="5" t="s">
        <v>732</v>
      </c>
      <c r="C478" s="5" t="s">
        <v>755</v>
      </c>
      <c r="D478" s="16">
        <v>0.22639999999999993</v>
      </c>
      <c r="E478" s="16">
        <v>0.2410000000000001</v>
      </c>
      <c r="F478" s="17">
        <v>0.28570999999999991</v>
      </c>
      <c r="G478" s="18">
        <v>606.70000000000005</v>
      </c>
      <c r="H478" s="18">
        <v>219.16</v>
      </c>
      <c r="I478" s="18">
        <v>606.70000000000005</v>
      </c>
      <c r="J478" s="53">
        <v>142.28</v>
      </c>
    </row>
    <row r="479" spans="1:10" ht="17.25" customHeight="1" x14ac:dyDescent="0.25">
      <c r="A479" s="6">
        <v>989</v>
      </c>
      <c r="B479" s="5" t="s">
        <v>708</v>
      </c>
      <c r="C479" s="5" t="s">
        <v>2382</v>
      </c>
      <c r="D479" s="16">
        <v>0.27847</v>
      </c>
      <c r="E479" s="16">
        <v>0.25931999999999999</v>
      </c>
      <c r="F479" s="17">
        <v>0.29461000000000004</v>
      </c>
      <c r="G479" s="18">
        <v>655</v>
      </c>
      <c r="H479" s="18">
        <v>188.82</v>
      </c>
      <c r="I479" s="18">
        <v>655</v>
      </c>
      <c r="J479" s="53">
        <v>134.22</v>
      </c>
    </row>
    <row r="480" spans="1:10" ht="17.25" customHeight="1" x14ac:dyDescent="0.25">
      <c r="A480" s="4">
        <v>753</v>
      </c>
      <c r="B480" s="5" t="s">
        <v>1733</v>
      </c>
      <c r="C480" s="5" t="s">
        <v>1736</v>
      </c>
      <c r="D480" s="16">
        <v>0.26900000000000013</v>
      </c>
      <c r="E480" s="16">
        <v>0.25072000000000005</v>
      </c>
      <c r="F480" s="17">
        <v>0.33119999999999994</v>
      </c>
      <c r="G480" s="18">
        <v>605</v>
      </c>
      <c r="H480" s="18">
        <v>293.14999999999998</v>
      </c>
      <c r="I480" s="18">
        <v>605</v>
      </c>
      <c r="J480" s="53">
        <v>116.2</v>
      </c>
    </row>
    <row r="481" spans="1:10" ht="17.25" customHeight="1" x14ac:dyDescent="0.25">
      <c r="A481" s="4">
        <v>732</v>
      </c>
      <c r="B481" s="5" t="s">
        <v>1710</v>
      </c>
      <c r="C481" s="5" t="s">
        <v>1714</v>
      </c>
      <c r="D481" s="16">
        <v>0.26428999999999991</v>
      </c>
      <c r="E481" s="16">
        <v>0.25679999999999992</v>
      </c>
      <c r="F481" s="17">
        <v>0.28570999999999991</v>
      </c>
      <c r="G481" s="18">
        <v>601</v>
      </c>
      <c r="H481" s="18">
        <v>199.25</v>
      </c>
      <c r="I481" s="18">
        <v>601</v>
      </c>
      <c r="J481" s="53">
        <v>114.18</v>
      </c>
    </row>
    <row r="482" spans="1:10" ht="17.25" customHeight="1" x14ac:dyDescent="0.25">
      <c r="A482" s="4">
        <v>1022</v>
      </c>
      <c r="B482" s="5" t="s">
        <v>732</v>
      </c>
      <c r="C482" s="5" t="s">
        <v>736</v>
      </c>
      <c r="D482" s="16">
        <v>0.24405999999999994</v>
      </c>
      <c r="E482" s="16">
        <v>0.26378999999999997</v>
      </c>
      <c r="F482" s="17">
        <v>0.29451999999999989</v>
      </c>
      <c r="G482" s="18">
        <v>610</v>
      </c>
      <c r="H482" s="18">
        <v>185.45</v>
      </c>
      <c r="I482" s="18">
        <v>610</v>
      </c>
      <c r="J482" s="53">
        <v>142.28</v>
      </c>
    </row>
    <row r="483" spans="1:10" ht="17.25" customHeight="1" x14ac:dyDescent="0.25">
      <c r="A483" s="4">
        <v>634</v>
      </c>
      <c r="B483" s="5" t="s">
        <v>522</v>
      </c>
      <c r="C483" s="5" t="s">
        <v>523</v>
      </c>
      <c r="D483" s="16">
        <v>0.26868000000000003</v>
      </c>
      <c r="E483" s="16">
        <v>0.26500000000000012</v>
      </c>
      <c r="F483" s="17">
        <v>0.28570999999999991</v>
      </c>
      <c r="G483" s="18">
        <v>681</v>
      </c>
      <c r="H483" s="18">
        <v>331</v>
      </c>
      <c r="I483" s="18">
        <v>681</v>
      </c>
      <c r="J483" s="53">
        <v>117.19</v>
      </c>
    </row>
    <row r="484" spans="1:10" ht="17.25" customHeight="1" x14ac:dyDescent="0.25">
      <c r="A484" s="4">
        <v>875</v>
      </c>
      <c r="B484" s="5" t="s">
        <v>1782</v>
      </c>
      <c r="C484" s="5" t="s">
        <v>1783</v>
      </c>
      <c r="D484" s="16">
        <v>0.35000000000000009</v>
      </c>
      <c r="E484" s="16">
        <v>0.27600000000000002</v>
      </c>
      <c r="F484" s="17">
        <v>0.29000000000000004</v>
      </c>
      <c r="G484" s="18">
        <v>788</v>
      </c>
      <c r="H484" s="18">
        <v>346</v>
      </c>
      <c r="I484" s="18">
        <v>788</v>
      </c>
      <c r="J484" s="53">
        <v>145.16</v>
      </c>
    </row>
    <row r="485" spans="1:10" ht="17.25" customHeight="1" x14ac:dyDescent="0.25">
      <c r="A485" s="4">
        <v>1333</v>
      </c>
      <c r="B485" s="21" t="s">
        <v>2253</v>
      </c>
      <c r="C485" s="21" t="s">
        <v>1842</v>
      </c>
      <c r="D485" s="23">
        <v>0.32501999999999986</v>
      </c>
      <c r="E485" s="23">
        <v>0.22599999999999998</v>
      </c>
      <c r="F485" s="24">
        <v>0.28570999999999991</v>
      </c>
      <c r="G485" s="25">
        <v>832</v>
      </c>
      <c r="H485" s="25">
        <v>446.65</v>
      </c>
      <c r="I485" s="18">
        <v>832</v>
      </c>
      <c r="J485" s="53">
        <v>302.45</v>
      </c>
    </row>
    <row r="486" spans="1:10" ht="17.25" customHeight="1" x14ac:dyDescent="0.25">
      <c r="A486" s="4">
        <v>1125</v>
      </c>
      <c r="B486" s="5" t="s">
        <v>850</v>
      </c>
      <c r="C486" s="5" t="s">
        <v>851</v>
      </c>
      <c r="D486" s="16">
        <v>0.27888000000000002</v>
      </c>
      <c r="E486" s="16">
        <v>0.22046999999999994</v>
      </c>
      <c r="F486" s="17">
        <v>0.24019999999999997</v>
      </c>
      <c r="G486" s="18">
        <v>803.15</v>
      </c>
      <c r="H486" s="18">
        <v>366.56</v>
      </c>
      <c r="I486" s="18">
        <v>803.15</v>
      </c>
      <c r="J486" s="53">
        <v>154.21</v>
      </c>
    </row>
    <row r="487" spans="1:10" ht="17.25" customHeight="1" x14ac:dyDescent="0.25">
      <c r="A487" s="4">
        <v>611</v>
      </c>
      <c r="B487" s="5" t="s">
        <v>502</v>
      </c>
      <c r="C487" s="5" t="s">
        <v>503</v>
      </c>
      <c r="D487" s="16">
        <v>0.28990000000000005</v>
      </c>
      <c r="E487" s="16">
        <v>0.27005999999999997</v>
      </c>
      <c r="F487" s="17">
        <v>0.28570999999999991</v>
      </c>
      <c r="G487" s="18">
        <v>541</v>
      </c>
      <c r="H487" s="18">
        <v>173.15</v>
      </c>
      <c r="I487" s="18">
        <v>541</v>
      </c>
      <c r="J487" s="53">
        <v>118.17</v>
      </c>
    </row>
    <row r="488" spans="1:10" ht="17.25" customHeight="1" x14ac:dyDescent="0.25">
      <c r="A488" s="4">
        <v>111</v>
      </c>
      <c r="B488" s="5" t="s">
        <v>1625</v>
      </c>
      <c r="C488" s="5" t="s">
        <v>1626</v>
      </c>
      <c r="D488" s="16">
        <v>0.28207000000000004</v>
      </c>
      <c r="E488" s="16">
        <v>0.26004000000000005</v>
      </c>
      <c r="F488" s="17">
        <v>0.27760000000000007</v>
      </c>
      <c r="G488" s="18">
        <v>461</v>
      </c>
      <c r="H488" s="18">
        <v>150.15</v>
      </c>
      <c r="I488" s="18">
        <v>461</v>
      </c>
      <c r="J488" s="53">
        <v>44.05</v>
      </c>
    </row>
    <row r="489" spans="1:10" ht="17.25" customHeight="1" x14ac:dyDescent="0.25">
      <c r="A489" s="4">
        <v>123</v>
      </c>
      <c r="B489" s="5" t="s">
        <v>1644</v>
      </c>
      <c r="C489" s="5" t="s">
        <v>1645</v>
      </c>
      <c r="D489" s="16">
        <v>0.28126000000000007</v>
      </c>
      <c r="E489" s="16">
        <v>0.21906000000000003</v>
      </c>
      <c r="F489" s="17">
        <v>0.28570000000000007</v>
      </c>
      <c r="G489" s="18">
        <v>761</v>
      </c>
      <c r="H489" s="18">
        <v>354.15</v>
      </c>
      <c r="I489" s="18">
        <v>761</v>
      </c>
      <c r="J489" s="53">
        <v>59.07</v>
      </c>
    </row>
    <row r="490" spans="1:10" ht="17.25" customHeight="1" x14ac:dyDescent="0.25">
      <c r="A490" s="4">
        <v>777</v>
      </c>
      <c r="B490" s="5" t="s">
        <v>1761</v>
      </c>
      <c r="C490" s="5" t="s">
        <v>1762</v>
      </c>
      <c r="D490" s="16">
        <v>0.31014000000000008</v>
      </c>
      <c r="E490" s="16">
        <v>0.2370000000000001</v>
      </c>
      <c r="F490" s="17">
        <v>0.28570000000000007</v>
      </c>
      <c r="G490" s="18">
        <v>825</v>
      </c>
      <c r="H490" s="18">
        <v>386.65</v>
      </c>
      <c r="I490" s="18">
        <v>825</v>
      </c>
      <c r="J490" s="53">
        <v>135.16</v>
      </c>
    </row>
    <row r="491" spans="1:10" ht="17.25" customHeight="1" x14ac:dyDescent="0.25">
      <c r="A491" s="4">
        <v>114</v>
      </c>
      <c r="B491" s="5" t="s">
        <v>1630</v>
      </c>
      <c r="C491" s="5" t="s">
        <v>1631</v>
      </c>
      <c r="D491" s="16">
        <v>0.35182000000000002</v>
      </c>
      <c r="E491" s="16">
        <v>0.26954000000000011</v>
      </c>
      <c r="F491" s="17">
        <v>0.26842999999999995</v>
      </c>
      <c r="G491" s="18">
        <v>592.71</v>
      </c>
      <c r="H491" s="18">
        <v>289.81</v>
      </c>
      <c r="I491" s="18">
        <v>592.71</v>
      </c>
      <c r="J491" s="53">
        <v>60.05</v>
      </c>
    </row>
    <row r="492" spans="1:10" ht="17.25" customHeight="1" x14ac:dyDescent="0.25">
      <c r="A492" s="4">
        <v>274</v>
      </c>
      <c r="B492" s="5" t="s">
        <v>154</v>
      </c>
      <c r="C492" s="5" t="s">
        <v>155</v>
      </c>
      <c r="D492" s="16">
        <v>0.33577999999999997</v>
      </c>
      <c r="E492" s="16">
        <v>0.2407999999999999</v>
      </c>
      <c r="F492" s="17">
        <v>0.26990000000000003</v>
      </c>
      <c r="G492" s="18">
        <v>569.15</v>
      </c>
      <c r="H492" s="18">
        <v>200.15</v>
      </c>
      <c r="I492" s="18">
        <v>569.15</v>
      </c>
      <c r="J492" s="53">
        <v>102.09</v>
      </c>
    </row>
    <row r="493" spans="1:10" ht="17.25" customHeight="1" x14ac:dyDescent="0.25">
      <c r="A493" s="4">
        <v>181</v>
      </c>
      <c r="B493" s="5" t="s">
        <v>43</v>
      </c>
      <c r="C493" s="5" t="s">
        <v>44</v>
      </c>
      <c r="D493" s="16">
        <v>0.27727999999999997</v>
      </c>
      <c r="E493" s="16">
        <v>0.25760000000000005</v>
      </c>
      <c r="F493" s="17">
        <v>0.29903000000000013</v>
      </c>
      <c r="G493" s="18">
        <v>508.2</v>
      </c>
      <c r="H493" s="18">
        <v>178.45</v>
      </c>
      <c r="I493" s="18">
        <v>508.2</v>
      </c>
      <c r="J493" s="53">
        <v>58.08</v>
      </c>
    </row>
    <row r="494" spans="1:10" ht="17.25" customHeight="1" x14ac:dyDescent="0.25">
      <c r="A494" s="4">
        <v>281</v>
      </c>
      <c r="B494" s="5" t="s">
        <v>163</v>
      </c>
      <c r="C494" s="5" t="s">
        <v>164</v>
      </c>
      <c r="D494" s="16">
        <v>0.28032999999999997</v>
      </c>
      <c r="E494" s="16">
        <v>0.23985000000000012</v>
      </c>
      <c r="F494" s="17">
        <v>0.28570000000000007</v>
      </c>
      <c r="G494" s="18">
        <v>647</v>
      </c>
      <c r="H494" s="18">
        <v>253.15</v>
      </c>
      <c r="I494" s="18">
        <v>647</v>
      </c>
      <c r="J494" s="53">
        <v>85.1</v>
      </c>
    </row>
    <row r="495" spans="1:10" ht="17.25" customHeight="1" x14ac:dyDescent="0.25">
      <c r="A495" s="4">
        <v>100</v>
      </c>
      <c r="B495" s="5" t="s">
        <v>1607</v>
      </c>
      <c r="C495" s="5" t="s">
        <v>1608</v>
      </c>
      <c r="D495" s="16">
        <v>0.23730000000000007</v>
      </c>
      <c r="E495" s="16">
        <v>0.22642000000000007</v>
      </c>
      <c r="F495" s="17">
        <v>0.28127999999999997</v>
      </c>
      <c r="G495" s="18">
        <v>545.5</v>
      </c>
      <c r="H495" s="18">
        <v>229.32</v>
      </c>
      <c r="I495" s="18">
        <v>545.5</v>
      </c>
      <c r="J495" s="53">
        <v>41.05</v>
      </c>
    </row>
    <row r="496" spans="1:10" ht="17.25" customHeight="1" x14ac:dyDescent="0.25">
      <c r="A496" s="4">
        <v>92</v>
      </c>
      <c r="B496" s="5" t="s">
        <v>2254</v>
      </c>
      <c r="C496" s="5" t="s">
        <v>1597</v>
      </c>
      <c r="D496" s="16">
        <v>0.39702999999999999</v>
      </c>
      <c r="E496" s="16">
        <v>0.26868999999999987</v>
      </c>
      <c r="F496" s="17">
        <v>0.28570000000000007</v>
      </c>
      <c r="G496" s="18">
        <v>508</v>
      </c>
      <c r="H496" s="18">
        <v>160.30000000000001</v>
      </c>
      <c r="I496" s="18">
        <v>508</v>
      </c>
      <c r="J496" s="53">
        <v>78.5</v>
      </c>
    </row>
    <row r="497" spans="1:10" ht="17.25" customHeight="1" x14ac:dyDescent="0.25">
      <c r="A497" s="4">
        <v>390</v>
      </c>
      <c r="B497" s="5" t="s">
        <v>289</v>
      </c>
      <c r="C497" s="5" t="s">
        <v>290</v>
      </c>
      <c r="D497" s="16">
        <v>0.30994999999999995</v>
      </c>
      <c r="E497" s="16">
        <v>0.25791999999999993</v>
      </c>
      <c r="F497" s="17">
        <v>0.25053999999999998</v>
      </c>
      <c r="G497" s="18">
        <v>602</v>
      </c>
      <c r="H497" s="18">
        <v>249.65</v>
      </c>
      <c r="I497" s="18">
        <v>602</v>
      </c>
      <c r="J497" s="53">
        <v>100.12</v>
      </c>
    </row>
    <row r="498" spans="1:10" ht="17.25" customHeight="1" x14ac:dyDescent="0.25">
      <c r="A498" s="4">
        <v>72</v>
      </c>
      <c r="B498" s="5" t="s">
        <v>1568</v>
      </c>
      <c r="C498" s="5" t="s">
        <v>1569</v>
      </c>
      <c r="D498" s="16">
        <v>0.23016999999999999</v>
      </c>
      <c r="E498" s="16">
        <v>0.27090999999999998</v>
      </c>
      <c r="F498" s="17">
        <v>0.28570999999999991</v>
      </c>
      <c r="G498" s="18">
        <v>308.32</v>
      </c>
      <c r="H498" s="18">
        <v>192.4</v>
      </c>
      <c r="I498" s="18">
        <v>308.32</v>
      </c>
      <c r="J498" s="53">
        <v>26.04</v>
      </c>
    </row>
    <row r="499" spans="1:10" ht="17.25" customHeight="1" x14ac:dyDescent="0.25">
      <c r="A499" s="4">
        <v>153</v>
      </c>
      <c r="B499" s="5" t="s">
        <v>1694</v>
      </c>
      <c r="C499" s="5" t="s">
        <v>1695</v>
      </c>
      <c r="D499" s="16">
        <v>0.28459000000000012</v>
      </c>
      <c r="E499" s="16">
        <v>0.26123999999999992</v>
      </c>
      <c r="F499" s="17">
        <v>0.2488999999999999</v>
      </c>
      <c r="G499" s="18">
        <v>506</v>
      </c>
      <c r="H499" s="18">
        <v>185.45</v>
      </c>
      <c r="I499" s="18">
        <v>506</v>
      </c>
      <c r="J499" s="53">
        <v>56.06</v>
      </c>
    </row>
    <row r="500" spans="1:10" ht="17.25" customHeight="1" x14ac:dyDescent="0.25">
      <c r="A500" s="4">
        <v>169</v>
      </c>
      <c r="B500" s="5" t="s">
        <v>26</v>
      </c>
      <c r="C500" s="5" t="s">
        <v>27</v>
      </c>
      <c r="D500" s="16">
        <v>0.27377999999999991</v>
      </c>
      <c r="E500" s="16">
        <v>0.252</v>
      </c>
      <c r="F500" s="17">
        <v>0.28570999999999991</v>
      </c>
      <c r="G500" s="18">
        <v>710</v>
      </c>
      <c r="H500" s="18">
        <v>357.65</v>
      </c>
      <c r="I500" s="18">
        <v>710</v>
      </c>
      <c r="J500" s="53">
        <v>71.08</v>
      </c>
    </row>
    <row r="501" spans="1:10" ht="17.25" customHeight="1" x14ac:dyDescent="0.25">
      <c r="A501" s="4">
        <v>155</v>
      </c>
      <c r="B501" s="5" t="s">
        <v>9</v>
      </c>
      <c r="C501" s="5" t="s">
        <v>1697</v>
      </c>
      <c r="D501" s="16">
        <v>0.34644999999999992</v>
      </c>
      <c r="E501" s="16">
        <v>0.25822000000000012</v>
      </c>
      <c r="F501" s="17">
        <v>0.30701000000000001</v>
      </c>
      <c r="G501" s="18">
        <v>615</v>
      </c>
      <c r="H501" s="18">
        <v>286.64999999999998</v>
      </c>
      <c r="I501" s="18">
        <v>615</v>
      </c>
      <c r="J501" s="53">
        <v>72.06</v>
      </c>
    </row>
    <row r="502" spans="1:10" ht="17.25" customHeight="1" x14ac:dyDescent="0.25">
      <c r="A502" s="4">
        <v>148</v>
      </c>
      <c r="B502" s="5" t="s">
        <v>1685</v>
      </c>
      <c r="C502" s="5" t="s">
        <v>1686</v>
      </c>
      <c r="D502" s="16">
        <v>0.25029999999999997</v>
      </c>
      <c r="E502" s="16">
        <v>0.22930000000000006</v>
      </c>
      <c r="F502" s="17">
        <v>0.28939000000000004</v>
      </c>
      <c r="G502" s="18">
        <v>535</v>
      </c>
      <c r="H502" s="18">
        <v>189.63</v>
      </c>
      <c r="I502" s="18">
        <v>535</v>
      </c>
      <c r="J502" s="53">
        <v>53.06</v>
      </c>
    </row>
    <row r="503" spans="1:10" ht="17.25" customHeight="1" x14ac:dyDescent="0.25">
      <c r="A503" s="6">
        <v>543</v>
      </c>
      <c r="B503" s="5" t="s">
        <v>2255</v>
      </c>
      <c r="C503" s="5" t="s">
        <v>444</v>
      </c>
      <c r="D503" s="16">
        <v>0.36536999999999997</v>
      </c>
      <c r="E503" s="16">
        <v>0.25914999999999999</v>
      </c>
      <c r="F503" s="17">
        <v>0.28200000000000003</v>
      </c>
      <c r="G503" s="18">
        <v>809</v>
      </c>
      <c r="H503" s="18">
        <v>425.5</v>
      </c>
      <c r="I503" s="18">
        <v>809</v>
      </c>
      <c r="J503" s="53">
        <v>146.13999999999999</v>
      </c>
    </row>
    <row r="504" spans="1:10" ht="17.25" customHeight="1" x14ac:dyDescent="0.25">
      <c r="A504" s="4">
        <v>515</v>
      </c>
      <c r="B504" s="5" t="s">
        <v>416</v>
      </c>
      <c r="C504" s="5" t="s">
        <v>417</v>
      </c>
      <c r="D504" s="16">
        <v>0.26638000000000006</v>
      </c>
      <c r="E504" s="16">
        <v>0.23008000000000006</v>
      </c>
      <c r="F504" s="17">
        <v>0.28378999999999999</v>
      </c>
      <c r="G504" s="18">
        <v>781</v>
      </c>
      <c r="H504" s="18">
        <v>275.64</v>
      </c>
      <c r="I504" s="18">
        <v>781</v>
      </c>
      <c r="J504" s="53">
        <v>108.14</v>
      </c>
    </row>
    <row r="505" spans="1:10" ht="17.25" customHeight="1" x14ac:dyDescent="0.25">
      <c r="A505" s="4">
        <v>391</v>
      </c>
      <c r="B505" s="5" t="s">
        <v>289</v>
      </c>
      <c r="C505" s="5" t="s">
        <v>291</v>
      </c>
      <c r="D505" s="16">
        <v>0.30888999999999989</v>
      </c>
      <c r="E505" s="16">
        <v>0.25662999999999991</v>
      </c>
      <c r="F505" s="17">
        <v>0.28570999999999991</v>
      </c>
      <c r="G505" s="18">
        <v>559</v>
      </c>
      <c r="H505" s="18">
        <v>138</v>
      </c>
      <c r="I505" s="18">
        <v>559</v>
      </c>
      <c r="J505" s="53">
        <v>100.12</v>
      </c>
    </row>
    <row r="506" spans="1:10" ht="17.25" customHeight="1" x14ac:dyDescent="0.25">
      <c r="A506" s="4">
        <v>182</v>
      </c>
      <c r="B506" s="5" t="s">
        <v>43</v>
      </c>
      <c r="C506" s="5" t="s">
        <v>45</v>
      </c>
      <c r="D506" s="16">
        <v>0.28346999999999989</v>
      </c>
      <c r="E506" s="16">
        <v>0.25408000000000008</v>
      </c>
      <c r="F506" s="17">
        <v>0.28570999999999991</v>
      </c>
      <c r="G506" s="18">
        <v>545.04999999999995</v>
      </c>
      <c r="H506" s="18">
        <v>144.15</v>
      </c>
      <c r="I506" s="18">
        <v>545.04999999999995</v>
      </c>
      <c r="J506" s="53">
        <v>58.08</v>
      </c>
    </row>
    <row r="507" spans="1:10" ht="17.25" customHeight="1" x14ac:dyDescent="0.25">
      <c r="A507" s="4">
        <v>203</v>
      </c>
      <c r="B507" s="5" t="s">
        <v>69</v>
      </c>
      <c r="C507" s="5" t="s">
        <v>70</v>
      </c>
      <c r="D507" s="16">
        <v>0.23116000000000003</v>
      </c>
      <c r="E507" s="16">
        <v>0.23965999999999998</v>
      </c>
      <c r="F507" s="17">
        <v>0.20760000000000001</v>
      </c>
      <c r="G507" s="18">
        <v>505</v>
      </c>
      <c r="H507" s="18">
        <v>184.95</v>
      </c>
      <c r="I507" s="18">
        <v>505</v>
      </c>
      <c r="J507" s="53">
        <v>57.09</v>
      </c>
    </row>
    <row r="508" spans="1:10" ht="17.25" customHeight="1" x14ac:dyDescent="0.25">
      <c r="A508" s="4">
        <v>1003</v>
      </c>
      <c r="B508" s="5" t="s">
        <v>716</v>
      </c>
      <c r="C508" s="5" t="s">
        <v>2383</v>
      </c>
      <c r="D508" s="16">
        <v>0.26915</v>
      </c>
      <c r="E508" s="16">
        <v>0.26143999999999989</v>
      </c>
      <c r="F508" s="17">
        <v>0.28570999999999991</v>
      </c>
      <c r="G508" s="18">
        <v>652</v>
      </c>
      <c r="H508" s="18">
        <v>220</v>
      </c>
      <c r="I508" s="18">
        <v>652</v>
      </c>
      <c r="J508" s="53">
        <v>136.22999999999999</v>
      </c>
    </row>
    <row r="509" spans="1:10" ht="17.25" customHeight="1" x14ac:dyDescent="0.25">
      <c r="A509" s="4">
        <v>163</v>
      </c>
      <c r="B509" s="5" t="s">
        <v>2256</v>
      </c>
      <c r="C509" s="5" t="s">
        <v>2384</v>
      </c>
      <c r="D509" s="16">
        <v>0.39710000000000001</v>
      </c>
      <c r="E509" s="16">
        <v>0.26475999999999988</v>
      </c>
      <c r="F509" s="17">
        <v>0.30308000000000002</v>
      </c>
      <c r="G509" s="18">
        <v>610</v>
      </c>
      <c r="H509" s="18">
        <v>215.95</v>
      </c>
      <c r="I509" s="18">
        <v>610</v>
      </c>
      <c r="J509" s="53">
        <v>92.52</v>
      </c>
    </row>
    <row r="510" spans="1:10" ht="17.25" customHeight="1" x14ac:dyDescent="0.25">
      <c r="A510" s="4">
        <v>881</v>
      </c>
      <c r="B510" s="5" t="s">
        <v>1788</v>
      </c>
      <c r="C510" s="5" t="s">
        <v>2385</v>
      </c>
      <c r="D510" s="16">
        <v>0.27937999999999996</v>
      </c>
      <c r="E510" s="16">
        <v>0.2451000000000001</v>
      </c>
      <c r="F510" s="17">
        <v>0.29512000000000005</v>
      </c>
      <c r="G510" s="18">
        <v>654</v>
      </c>
      <c r="H510" s="18">
        <v>249.95</v>
      </c>
      <c r="I510" s="18">
        <v>654</v>
      </c>
      <c r="J510" s="53">
        <v>118.18</v>
      </c>
    </row>
    <row r="511" spans="1:10" ht="17.25" customHeight="1" x14ac:dyDescent="0.25">
      <c r="A511" s="4">
        <v>999</v>
      </c>
      <c r="B511" s="5" t="s">
        <v>716</v>
      </c>
      <c r="C511" s="5" t="s">
        <v>2386</v>
      </c>
      <c r="D511" s="16">
        <v>0.27306000000000008</v>
      </c>
      <c r="E511" s="26">
        <v>0.26073999999999997</v>
      </c>
      <c r="F511" s="17">
        <v>0.28570000000000007</v>
      </c>
      <c r="G511" s="18">
        <v>649</v>
      </c>
      <c r="H511" s="18">
        <v>220</v>
      </c>
      <c r="I511" s="18">
        <v>649</v>
      </c>
      <c r="J511" s="53">
        <v>136.22999999999999</v>
      </c>
    </row>
    <row r="512" spans="1:10" ht="17.25" customHeight="1" x14ac:dyDescent="0.25">
      <c r="A512" s="4">
        <v>1001</v>
      </c>
      <c r="B512" s="5" t="s">
        <v>716</v>
      </c>
      <c r="C512" s="5" t="s">
        <v>2387</v>
      </c>
      <c r="D512" s="16">
        <v>0.27031999999999989</v>
      </c>
      <c r="E512" s="16">
        <v>0.25601000000000007</v>
      </c>
      <c r="F512" s="17">
        <v>0.26039999999999996</v>
      </c>
      <c r="G512" s="18">
        <v>632</v>
      </c>
      <c r="H512" s="18">
        <v>209.15</v>
      </c>
      <c r="I512" s="18">
        <v>632</v>
      </c>
      <c r="J512" s="53">
        <v>136.22999999999999</v>
      </c>
    </row>
    <row r="513" spans="1:10" ht="17.25" customHeight="1" x14ac:dyDescent="0.25">
      <c r="A513" s="4">
        <v>972</v>
      </c>
      <c r="B513" s="5" t="s">
        <v>705</v>
      </c>
      <c r="C513" s="5" t="s">
        <v>706</v>
      </c>
      <c r="D513" s="16">
        <v>0.30746999999999991</v>
      </c>
      <c r="E513" s="16">
        <v>0.2565599999999999</v>
      </c>
      <c r="F513" s="17">
        <v>0.29525000000000001</v>
      </c>
      <c r="G513" s="18">
        <v>723</v>
      </c>
      <c r="H513" s="18">
        <v>294.5</v>
      </c>
      <c r="I513" s="18">
        <v>723</v>
      </c>
      <c r="J513" s="53">
        <v>148.19999999999999</v>
      </c>
    </row>
    <row r="514" spans="1:10" ht="17.25" customHeight="1" x14ac:dyDescent="0.25">
      <c r="A514" s="4">
        <v>509</v>
      </c>
      <c r="B514" s="5" t="s">
        <v>408</v>
      </c>
      <c r="C514" s="5" t="s">
        <v>409</v>
      </c>
      <c r="D514" s="16">
        <v>0.31190000000000007</v>
      </c>
      <c r="E514" s="16">
        <v>0.25</v>
      </c>
      <c r="F514" s="17">
        <v>0.28570999999999991</v>
      </c>
      <c r="G514" s="18">
        <v>699</v>
      </c>
      <c r="H514" s="18">
        <v>267.13</v>
      </c>
      <c r="I514" s="18">
        <v>699</v>
      </c>
      <c r="J514" s="53">
        <v>93.13</v>
      </c>
    </row>
    <row r="515" spans="1:10" ht="17.25" customHeight="1" x14ac:dyDescent="0.25">
      <c r="A515" s="4">
        <v>682</v>
      </c>
      <c r="B515" s="5" t="s">
        <v>574</v>
      </c>
      <c r="C515" s="5" t="s">
        <v>575</v>
      </c>
      <c r="D515" s="16">
        <v>0.3208899999999999</v>
      </c>
      <c r="E515" s="16">
        <v>0.26119000000000003</v>
      </c>
      <c r="F515" s="17">
        <v>0.28010000000000002</v>
      </c>
      <c r="G515" s="18">
        <v>641.65</v>
      </c>
      <c r="H515" s="18">
        <v>235.65</v>
      </c>
      <c r="I515" s="18">
        <v>641.65</v>
      </c>
      <c r="J515" s="53">
        <v>108.14</v>
      </c>
    </row>
    <row r="516" spans="1:10" ht="17.25" customHeight="1" x14ac:dyDescent="0.25">
      <c r="A516" s="4">
        <v>1201</v>
      </c>
      <c r="B516" s="5" t="s">
        <v>939</v>
      </c>
      <c r="C516" s="5" t="s">
        <v>940</v>
      </c>
      <c r="D516" s="16">
        <v>0.36491000000000007</v>
      </c>
      <c r="E516" s="16">
        <v>0.24019999999999997</v>
      </c>
      <c r="F516" s="17">
        <v>0.28570000000000007</v>
      </c>
      <c r="G516" s="18">
        <v>900</v>
      </c>
      <c r="H516" s="18">
        <v>559.15</v>
      </c>
      <c r="I516" s="18">
        <v>900</v>
      </c>
      <c r="J516" s="53">
        <v>208.21</v>
      </c>
    </row>
    <row r="517" spans="1:10" ht="17.25" customHeight="1" x14ac:dyDescent="0.25">
      <c r="A517" s="4">
        <v>523</v>
      </c>
      <c r="B517" s="7" t="s">
        <v>2257</v>
      </c>
      <c r="C517" s="5" t="s">
        <v>423</v>
      </c>
      <c r="D517" s="16">
        <v>0.52024999999999988</v>
      </c>
      <c r="E517" s="16">
        <v>0.27509000000000006</v>
      </c>
      <c r="F517" s="17">
        <v>0.28570999999999991</v>
      </c>
      <c r="G517" s="18">
        <v>783</v>
      </c>
      <c r="H517" s="18">
        <v>465.15</v>
      </c>
      <c r="I517" s="18">
        <v>783</v>
      </c>
      <c r="J517" s="53">
        <v>176.12</v>
      </c>
    </row>
    <row r="518" spans="1:10" ht="17.25" customHeight="1" x14ac:dyDescent="0.25">
      <c r="A518" s="4">
        <v>903</v>
      </c>
      <c r="B518" s="5" t="s">
        <v>2242</v>
      </c>
      <c r="C518" s="5" t="s">
        <v>1809</v>
      </c>
      <c r="D518" s="16">
        <v>0.30854999999999988</v>
      </c>
      <c r="E518" s="16">
        <v>0.23160000000000003</v>
      </c>
      <c r="F518" s="17">
        <v>0.28570999999999991</v>
      </c>
      <c r="G518" s="18">
        <v>811</v>
      </c>
      <c r="H518" s="18">
        <v>379.65</v>
      </c>
      <c r="I518" s="18">
        <v>811</v>
      </c>
      <c r="J518" s="53">
        <v>188.22</v>
      </c>
    </row>
    <row r="519" spans="1:10" ht="17.25" customHeight="1" x14ac:dyDescent="0.25">
      <c r="A519" s="4">
        <v>963</v>
      </c>
      <c r="B519" s="5" t="s">
        <v>693</v>
      </c>
      <c r="C519" s="5" t="s">
        <v>695</v>
      </c>
      <c r="D519" s="16">
        <v>0.31299999999999994</v>
      </c>
      <c r="E519" s="16">
        <v>0.248</v>
      </c>
      <c r="F519" s="17">
        <v>0.28570999999999991</v>
      </c>
      <c r="G519" s="18">
        <v>773.48</v>
      </c>
      <c r="H519" s="18">
        <v>173.66</v>
      </c>
      <c r="I519" s="18">
        <v>773.48</v>
      </c>
      <c r="J519" s="53">
        <v>128.16999999999999</v>
      </c>
    </row>
    <row r="520" spans="1:10" ht="17.25" customHeight="1" x14ac:dyDescent="0.25">
      <c r="A520" s="4">
        <v>665</v>
      </c>
      <c r="B520" s="5" t="s">
        <v>561</v>
      </c>
      <c r="C520" s="5" t="s">
        <v>562</v>
      </c>
      <c r="D520" s="16">
        <v>0.32759000000000005</v>
      </c>
      <c r="E520" s="16">
        <v>0.25780000000000003</v>
      </c>
      <c r="F520" s="17">
        <v>0.28499999999999992</v>
      </c>
      <c r="G520" s="18">
        <v>695</v>
      </c>
      <c r="H520" s="18">
        <v>247.15</v>
      </c>
      <c r="I520" s="18">
        <v>695</v>
      </c>
      <c r="J520" s="53">
        <v>106.17</v>
      </c>
    </row>
    <row r="521" spans="1:10" ht="17.25" customHeight="1" x14ac:dyDescent="0.25">
      <c r="A521" s="4">
        <v>493</v>
      </c>
      <c r="B521" s="5" t="s">
        <v>394</v>
      </c>
      <c r="C521" s="5" t="s">
        <v>395</v>
      </c>
      <c r="D521" s="16">
        <v>0.30089999999999995</v>
      </c>
      <c r="E521" s="16">
        <v>0.26770000000000005</v>
      </c>
      <c r="F521" s="17">
        <v>0.28180000000000005</v>
      </c>
      <c r="G521" s="18">
        <v>562.16</v>
      </c>
      <c r="H521" s="18">
        <v>278.68</v>
      </c>
      <c r="I521" s="18">
        <v>562.16</v>
      </c>
      <c r="J521" s="53">
        <v>78.11</v>
      </c>
    </row>
    <row r="522" spans="1:10" ht="17.25" customHeight="1" x14ac:dyDescent="0.25">
      <c r="A522" s="6">
        <v>655</v>
      </c>
      <c r="B522" s="5" t="s">
        <v>550</v>
      </c>
      <c r="C522" s="5" t="s">
        <v>551</v>
      </c>
      <c r="D522" s="16">
        <v>0.30420000000000003</v>
      </c>
      <c r="E522" s="16">
        <v>0.24792999999999998</v>
      </c>
      <c r="F522" s="17">
        <v>0.28410000000000002</v>
      </c>
      <c r="G522" s="18">
        <v>699.35</v>
      </c>
      <c r="H522" s="18">
        <v>260.39999999999998</v>
      </c>
      <c r="I522" s="18">
        <v>699.35</v>
      </c>
      <c r="J522" s="53">
        <v>103.12</v>
      </c>
    </row>
    <row r="523" spans="1:10" ht="17.25" customHeight="1" x14ac:dyDescent="0.25">
      <c r="A523" s="4">
        <v>1179</v>
      </c>
      <c r="B523" s="5" t="s">
        <v>909</v>
      </c>
      <c r="C523" s="5" t="s">
        <v>910</v>
      </c>
      <c r="D523" s="16">
        <v>0.30835999999999997</v>
      </c>
      <c r="E523" s="16">
        <v>0.23633999999999999</v>
      </c>
      <c r="F523" s="17">
        <v>0.2730999999999999</v>
      </c>
      <c r="G523" s="18">
        <v>816</v>
      </c>
      <c r="H523" s="18">
        <v>321.35000000000002</v>
      </c>
      <c r="I523" s="18">
        <v>816</v>
      </c>
      <c r="J523" s="53">
        <v>182.22</v>
      </c>
    </row>
    <row r="524" spans="1:10" ht="17.25" customHeight="1" x14ac:dyDescent="0.25">
      <c r="A524" s="4">
        <v>766</v>
      </c>
      <c r="B524" s="5" t="s">
        <v>1748</v>
      </c>
      <c r="C524" s="5" t="s">
        <v>1749</v>
      </c>
      <c r="D524" s="16">
        <v>0.38453000000000004</v>
      </c>
      <c r="E524" s="16">
        <v>0.25807000000000002</v>
      </c>
      <c r="F524" s="17">
        <v>0.33304</v>
      </c>
      <c r="G524" s="18">
        <v>754</v>
      </c>
      <c r="H524" s="18">
        <v>304.5</v>
      </c>
      <c r="I524" s="18">
        <v>754</v>
      </c>
      <c r="J524" s="53">
        <v>134.19999999999999</v>
      </c>
    </row>
    <row r="525" spans="1:10" ht="17.25" customHeight="1" x14ac:dyDescent="0.25">
      <c r="A525" s="4">
        <v>653</v>
      </c>
      <c r="B525" s="5" t="s">
        <v>546</v>
      </c>
      <c r="C525" s="5" t="s">
        <v>547</v>
      </c>
      <c r="D525" s="16">
        <v>0.41969000000000012</v>
      </c>
      <c r="E525" s="16">
        <v>0.25387000000000004</v>
      </c>
      <c r="F525" s="17">
        <v>0.28570000000000007</v>
      </c>
      <c r="G525" s="18">
        <v>737</v>
      </c>
      <c r="H525" s="18">
        <v>268.39999999999998</v>
      </c>
      <c r="I525" s="18">
        <v>737</v>
      </c>
      <c r="J525" s="53">
        <v>195.47</v>
      </c>
    </row>
    <row r="526" spans="1:10" ht="17.25" customHeight="1" x14ac:dyDescent="0.25">
      <c r="A526" s="6">
        <v>654</v>
      </c>
      <c r="B526" s="5" t="s">
        <v>548</v>
      </c>
      <c r="C526" s="5" t="s">
        <v>549</v>
      </c>
      <c r="D526" s="16">
        <v>0.40095999999999998</v>
      </c>
      <c r="E526" s="16">
        <v>0.26310000000000011</v>
      </c>
      <c r="F526" s="17">
        <v>0.28570000000000007</v>
      </c>
      <c r="G526" s="18">
        <v>565</v>
      </c>
      <c r="H526" s="18">
        <v>244.14</v>
      </c>
      <c r="I526" s="18">
        <v>565</v>
      </c>
      <c r="J526" s="53">
        <v>146.11000000000001</v>
      </c>
    </row>
    <row r="527" spans="1:10" ht="17.25" customHeight="1" x14ac:dyDescent="0.25">
      <c r="A527" s="4">
        <v>671</v>
      </c>
      <c r="B527" s="5" t="s">
        <v>2258</v>
      </c>
      <c r="C527" s="5" t="s">
        <v>566</v>
      </c>
      <c r="D527" s="16">
        <v>0.34197999999999995</v>
      </c>
      <c r="E527" s="16">
        <v>0.25374000000000008</v>
      </c>
      <c r="F527" s="17">
        <v>0.28570000000000007</v>
      </c>
      <c r="G527" s="18">
        <v>686</v>
      </c>
      <c r="H527" s="18">
        <v>234.15</v>
      </c>
      <c r="I527" s="18">
        <v>686</v>
      </c>
      <c r="J527" s="53">
        <v>126.58</v>
      </c>
    </row>
    <row r="528" spans="1:10" ht="17.25" customHeight="1" x14ac:dyDescent="0.25">
      <c r="A528" s="4">
        <v>885</v>
      </c>
      <c r="B528" s="5" t="s">
        <v>1790</v>
      </c>
      <c r="C528" s="5" t="s">
        <v>1791</v>
      </c>
      <c r="D528" s="16">
        <v>0.33444999999999991</v>
      </c>
      <c r="E528" s="16">
        <v>0.25370000000000004</v>
      </c>
      <c r="F528" s="17">
        <v>0.33360000000000012</v>
      </c>
      <c r="G528" s="18">
        <v>699</v>
      </c>
      <c r="H528" s="18">
        <v>221.65</v>
      </c>
      <c r="I528" s="18">
        <v>699</v>
      </c>
      <c r="J528" s="53">
        <v>150.16999999999999</v>
      </c>
    </row>
    <row r="529" spans="1:10" ht="17.25" customHeight="1" x14ac:dyDescent="0.25">
      <c r="A529" s="4">
        <v>683</v>
      </c>
      <c r="B529" s="5" t="s">
        <v>574</v>
      </c>
      <c r="C529" s="5" t="s">
        <v>576</v>
      </c>
      <c r="D529" s="16">
        <v>0.32318000000000002</v>
      </c>
      <c r="E529" s="16">
        <v>0.26404000000000005</v>
      </c>
      <c r="F529" s="17">
        <v>0.22399999999999998</v>
      </c>
      <c r="G529" s="18">
        <v>677</v>
      </c>
      <c r="H529" s="18">
        <v>257.85000000000002</v>
      </c>
      <c r="I529" s="18">
        <v>677</v>
      </c>
      <c r="J529" s="53">
        <v>108.14</v>
      </c>
    </row>
    <row r="530" spans="1:10" ht="17.25" customHeight="1" x14ac:dyDescent="0.25">
      <c r="A530" s="4">
        <v>1207</v>
      </c>
      <c r="B530" s="5" t="s">
        <v>945</v>
      </c>
      <c r="C530" s="5" t="s">
        <v>946</v>
      </c>
      <c r="D530" s="16">
        <v>0.30581999999999998</v>
      </c>
      <c r="E530" s="16">
        <v>0.22320000000000007</v>
      </c>
      <c r="F530" s="17">
        <v>0.32699999999999996</v>
      </c>
      <c r="G530" s="18">
        <v>820</v>
      </c>
      <c r="H530" s="18">
        <v>292.55</v>
      </c>
      <c r="I530" s="18">
        <v>820</v>
      </c>
      <c r="J530" s="53">
        <v>212.24</v>
      </c>
    </row>
    <row r="531" spans="1:10" ht="17.25" customHeight="1" x14ac:dyDescent="0.25">
      <c r="A531" s="6">
        <v>658</v>
      </c>
      <c r="B531" s="5" t="s">
        <v>553</v>
      </c>
      <c r="C531" s="5" t="s">
        <v>554</v>
      </c>
      <c r="D531" s="16">
        <v>0.39857999999999993</v>
      </c>
      <c r="E531" s="16">
        <v>0.25970000000000004</v>
      </c>
      <c r="F531" s="17">
        <v>0.31939999999999991</v>
      </c>
      <c r="G531" s="18">
        <v>731</v>
      </c>
      <c r="H531" s="18">
        <v>257</v>
      </c>
      <c r="I531" s="18">
        <v>731</v>
      </c>
      <c r="J531" s="53">
        <v>161.03</v>
      </c>
    </row>
    <row r="532" spans="1:10" ht="17.25" customHeight="1" x14ac:dyDescent="0.25">
      <c r="A532" s="6">
        <v>689</v>
      </c>
      <c r="B532" s="5" t="s">
        <v>579</v>
      </c>
      <c r="C532" s="5" t="s">
        <v>580</v>
      </c>
      <c r="D532" s="16">
        <v>0.28726999999999991</v>
      </c>
      <c r="E532" s="16">
        <v>0.26524999999999999</v>
      </c>
      <c r="F532" s="17">
        <v>0.13446000000000002</v>
      </c>
      <c r="G532" s="18">
        <v>683.5</v>
      </c>
      <c r="H532" s="18">
        <v>227.15</v>
      </c>
      <c r="I532" s="18">
        <v>683.5</v>
      </c>
      <c r="J532" s="53">
        <v>107.15</v>
      </c>
    </row>
    <row r="533" spans="1:10" ht="17.25" customHeight="1" x14ac:dyDescent="0.25">
      <c r="A533" s="4">
        <v>1000</v>
      </c>
      <c r="B533" s="5" t="s">
        <v>716</v>
      </c>
      <c r="C533" s="5" t="s">
        <v>2388</v>
      </c>
      <c r="D533" s="16">
        <v>0.27973999999999988</v>
      </c>
      <c r="E533" s="16">
        <v>0.26439999999999997</v>
      </c>
      <c r="F533" s="17">
        <v>0.31499999999999995</v>
      </c>
      <c r="G533" s="18">
        <v>648</v>
      </c>
      <c r="H533" s="18">
        <v>220</v>
      </c>
      <c r="I533" s="18">
        <v>648</v>
      </c>
      <c r="J533" s="53">
        <v>136.22999999999999</v>
      </c>
    </row>
    <row r="534" spans="1:10" ht="17.25" customHeight="1" x14ac:dyDescent="0.25">
      <c r="A534" s="4">
        <v>1002</v>
      </c>
      <c r="B534" s="5" t="s">
        <v>716</v>
      </c>
      <c r="C534" s="5" t="s">
        <v>2389</v>
      </c>
      <c r="D534" s="16">
        <v>0.26923999999999992</v>
      </c>
      <c r="E534" s="16">
        <v>0.26424000000000003</v>
      </c>
      <c r="F534" s="17">
        <v>0.20684999999999998</v>
      </c>
      <c r="G534" s="18">
        <v>643</v>
      </c>
      <c r="H534" s="18">
        <v>211.61</v>
      </c>
      <c r="I534" s="18">
        <v>643</v>
      </c>
      <c r="J534" s="53">
        <v>136.22999999999999</v>
      </c>
    </row>
    <row r="535" spans="1:10" ht="17.25" customHeight="1" x14ac:dyDescent="0.25">
      <c r="A535" s="4">
        <v>156</v>
      </c>
      <c r="B535" s="5" t="s">
        <v>9</v>
      </c>
      <c r="C535" s="5" t="s">
        <v>2390</v>
      </c>
      <c r="D535" s="16">
        <v>0.36993999999999994</v>
      </c>
      <c r="E535" s="16">
        <v>0.23599999999999999</v>
      </c>
      <c r="F535" s="17">
        <v>0.28570999999999991</v>
      </c>
      <c r="G535" s="18">
        <v>686</v>
      </c>
      <c r="H535" s="18">
        <v>239.75</v>
      </c>
      <c r="I535" s="18">
        <v>686</v>
      </c>
      <c r="J535" s="53">
        <v>72.06</v>
      </c>
    </row>
    <row r="536" spans="1:10" ht="17.25" customHeight="1" x14ac:dyDescent="0.25">
      <c r="A536" s="4">
        <v>1156</v>
      </c>
      <c r="B536" s="5" t="s">
        <v>883</v>
      </c>
      <c r="C536" s="5" t="s">
        <v>884</v>
      </c>
      <c r="D536" s="16">
        <v>0.27811999999999992</v>
      </c>
      <c r="E536" s="16">
        <v>0.26184999999999992</v>
      </c>
      <c r="F536" s="17">
        <v>0.28129999999999988</v>
      </c>
      <c r="G536" s="18">
        <v>727</v>
      </c>
      <c r="H536" s="18">
        <v>276.77999999999997</v>
      </c>
      <c r="I536" s="18">
        <v>727</v>
      </c>
      <c r="J536" s="53">
        <v>166.3</v>
      </c>
    </row>
    <row r="537" spans="1:10" ht="17.25" customHeight="1" x14ac:dyDescent="0.25">
      <c r="A537" s="4">
        <v>1126</v>
      </c>
      <c r="B537" s="5" t="s">
        <v>850</v>
      </c>
      <c r="C537" s="5" t="s">
        <v>852</v>
      </c>
      <c r="D537" s="16">
        <v>0.30766000000000004</v>
      </c>
      <c r="E537" s="16">
        <v>0.25374999999999992</v>
      </c>
      <c r="F537" s="17">
        <v>0.27892000000000006</v>
      </c>
      <c r="G537" s="18">
        <v>789.26</v>
      </c>
      <c r="H537" s="18">
        <v>342.37</v>
      </c>
      <c r="I537" s="18">
        <v>789.26</v>
      </c>
      <c r="J537" s="53">
        <v>154.21</v>
      </c>
    </row>
    <row r="538" spans="1:10" ht="17.25" customHeight="1" x14ac:dyDescent="0.25">
      <c r="A538" s="4">
        <v>107</v>
      </c>
      <c r="B538" s="5" t="s">
        <v>1619</v>
      </c>
      <c r="C538" s="5" t="s">
        <v>1620</v>
      </c>
      <c r="D538" s="16">
        <v>0.43042999999999987</v>
      </c>
      <c r="E538" s="16">
        <v>0.25409999999999999</v>
      </c>
      <c r="F538" s="17">
        <v>0.28570000000000007</v>
      </c>
      <c r="G538" s="18">
        <v>579</v>
      </c>
      <c r="H538" s="18">
        <v>231.65</v>
      </c>
      <c r="I538" s="18">
        <v>579</v>
      </c>
      <c r="J538" s="53">
        <v>114.96</v>
      </c>
    </row>
    <row r="539" spans="1:10" ht="17.25" customHeight="1" x14ac:dyDescent="0.25">
      <c r="A539" s="4">
        <v>521</v>
      </c>
      <c r="B539" s="5" t="s">
        <v>420</v>
      </c>
      <c r="C539" s="5" t="s">
        <v>421</v>
      </c>
      <c r="D539" s="16">
        <v>0.32929000000000008</v>
      </c>
      <c r="E539" s="16">
        <v>0.26358999999999999</v>
      </c>
      <c r="F539" s="17">
        <v>0.30190000000000006</v>
      </c>
      <c r="G539" s="18">
        <v>783</v>
      </c>
      <c r="H539" s="18">
        <v>246.85</v>
      </c>
      <c r="I539" s="18">
        <v>783</v>
      </c>
      <c r="J539" s="53">
        <v>124.14</v>
      </c>
    </row>
    <row r="540" spans="1:10" ht="17.25" customHeight="1" x14ac:dyDescent="0.25">
      <c r="A540" s="4">
        <v>1234</v>
      </c>
      <c r="B540" s="5" t="s">
        <v>979</v>
      </c>
      <c r="C540" s="5" t="s">
        <v>980</v>
      </c>
      <c r="D540" s="16">
        <v>0.33722000000000008</v>
      </c>
      <c r="E540" s="16">
        <v>0.28100000000000014</v>
      </c>
      <c r="F540" s="17">
        <v>0.28570999999999991</v>
      </c>
      <c r="G540" s="18">
        <v>849</v>
      </c>
      <c r="H540" s="18">
        <v>426.15</v>
      </c>
      <c r="I540" s="18">
        <v>849</v>
      </c>
      <c r="J540" s="53">
        <v>228.29</v>
      </c>
    </row>
    <row r="541" spans="1:10" ht="17.25" customHeight="1" x14ac:dyDescent="0.25">
      <c r="A541" s="6">
        <v>484</v>
      </c>
      <c r="B541" s="5" t="s">
        <v>383</v>
      </c>
      <c r="C541" s="5" t="s">
        <v>384</v>
      </c>
      <c r="D541" s="16">
        <v>0.48497000000000012</v>
      </c>
      <c r="E541" s="16">
        <v>0.26631999999999989</v>
      </c>
      <c r="F541" s="17">
        <v>0.28210000000000002</v>
      </c>
      <c r="G541" s="18">
        <v>670.15</v>
      </c>
      <c r="H541" s="18">
        <v>242.43</v>
      </c>
      <c r="I541" s="18">
        <v>670.15</v>
      </c>
      <c r="J541" s="53">
        <v>157.01</v>
      </c>
    </row>
    <row r="542" spans="1:10" ht="17.25" customHeight="1" x14ac:dyDescent="0.25">
      <c r="A542" s="4">
        <v>1</v>
      </c>
      <c r="B542" s="5" t="s">
        <v>2259</v>
      </c>
      <c r="C542" s="5" t="s">
        <v>1452</v>
      </c>
      <c r="D542" s="16">
        <v>0.67201</v>
      </c>
      <c r="E542" s="16">
        <v>0.25624000000000002</v>
      </c>
      <c r="F542" s="17">
        <v>0.26439999999999997</v>
      </c>
      <c r="G542" s="18">
        <v>426.15</v>
      </c>
      <c r="H542" s="18">
        <v>113.65</v>
      </c>
      <c r="I542" s="18">
        <v>426.15</v>
      </c>
      <c r="J542" s="53">
        <v>165.36</v>
      </c>
    </row>
    <row r="543" spans="1:10" ht="17.25" customHeight="1" x14ac:dyDescent="0.25">
      <c r="A543" s="4">
        <v>21</v>
      </c>
      <c r="B543" s="5" t="s">
        <v>1484</v>
      </c>
      <c r="C543" s="5" t="s">
        <v>1485</v>
      </c>
      <c r="D543" s="16">
        <v>0.68686000000000003</v>
      </c>
      <c r="E543" s="16">
        <v>0.27700000000000014</v>
      </c>
      <c r="F543" s="17">
        <v>0.28570000000000007</v>
      </c>
      <c r="G543" s="18">
        <v>557</v>
      </c>
      <c r="H543" s="18">
        <v>185.2</v>
      </c>
      <c r="I543" s="18">
        <v>557</v>
      </c>
      <c r="J543" s="53">
        <v>232.85</v>
      </c>
    </row>
    <row r="544" spans="1:10" ht="17.25" customHeight="1" x14ac:dyDescent="0.25">
      <c r="A544" s="4">
        <v>117</v>
      </c>
      <c r="B544" s="5" t="s">
        <v>1635</v>
      </c>
      <c r="C544" s="5" t="s">
        <v>1636</v>
      </c>
      <c r="D544" s="16">
        <v>0.50699000000000005</v>
      </c>
      <c r="E544" s="16">
        <v>0.25917999999999997</v>
      </c>
      <c r="F544" s="17">
        <v>0.27980000000000005</v>
      </c>
      <c r="G544" s="18">
        <v>503.8</v>
      </c>
      <c r="H544" s="18">
        <v>154.55000000000001</v>
      </c>
      <c r="I544" s="18">
        <v>503.8</v>
      </c>
      <c r="J544" s="53">
        <v>108.36</v>
      </c>
    </row>
    <row r="545" spans="1:10" ht="17.25" customHeight="1" x14ac:dyDescent="0.25">
      <c r="A545" s="4">
        <v>2</v>
      </c>
      <c r="B545" s="5" t="s">
        <v>1453</v>
      </c>
      <c r="C545" s="5" t="s">
        <v>1454</v>
      </c>
      <c r="D545" s="16">
        <v>0.69849000000000006</v>
      </c>
      <c r="E545" s="16">
        <v>0.28000000000000003</v>
      </c>
      <c r="F545" s="17">
        <v>0.28570000000000007</v>
      </c>
      <c r="G545" s="18">
        <v>606</v>
      </c>
      <c r="H545" s="18">
        <v>252.15</v>
      </c>
      <c r="I545" s="18">
        <v>606</v>
      </c>
      <c r="J545" s="53">
        <v>198.27</v>
      </c>
    </row>
    <row r="546" spans="1:10" ht="17.25" customHeight="1" x14ac:dyDescent="0.25">
      <c r="A546" s="4">
        <v>51</v>
      </c>
      <c r="B546" s="5" t="s">
        <v>1531</v>
      </c>
      <c r="C546" s="5" t="s">
        <v>1532</v>
      </c>
      <c r="D546" s="16">
        <v>0.6705000000000001</v>
      </c>
      <c r="E546" s="16">
        <v>0.24</v>
      </c>
      <c r="F546" s="17">
        <v>0.30000000000000004</v>
      </c>
      <c r="G546" s="18">
        <v>432</v>
      </c>
      <c r="H546" s="18">
        <v>173</v>
      </c>
      <c r="I546" s="18">
        <v>432</v>
      </c>
      <c r="J546" s="53">
        <v>160.91999999999999</v>
      </c>
    </row>
    <row r="547" spans="1:10" ht="17.25" customHeight="1" x14ac:dyDescent="0.25">
      <c r="A547" s="4">
        <v>3</v>
      </c>
      <c r="B547" s="5" t="s">
        <v>1455</v>
      </c>
      <c r="C547" s="5" t="s">
        <v>1456</v>
      </c>
      <c r="D547" s="16">
        <v>0.74109999999999987</v>
      </c>
      <c r="E547" s="16">
        <v>0.26995000000000013</v>
      </c>
      <c r="F547" s="17">
        <v>0.28005999999999998</v>
      </c>
      <c r="G547" s="18">
        <v>340.15</v>
      </c>
      <c r="H547" s="18">
        <v>105.15</v>
      </c>
      <c r="I547" s="18">
        <v>340.15</v>
      </c>
      <c r="J547" s="53">
        <v>148.91</v>
      </c>
    </row>
    <row r="548" spans="1:10" ht="17.25" customHeight="1" x14ac:dyDescent="0.25">
      <c r="A548" s="4">
        <v>237</v>
      </c>
      <c r="B548" s="5" t="s">
        <v>112</v>
      </c>
      <c r="C548" s="5" t="s">
        <v>113</v>
      </c>
      <c r="D548" s="16">
        <v>0.26400000000000001</v>
      </c>
      <c r="E548" s="16">
        <v>0.27099999999999991</v>
      </c>
      <c r="F548" s="17">
        <v>0.28570999999999991</v>
      </c>
      <c r="G548" s="18">
        <v>478.02</v>
      </c>
      <c r="H548" s="18">
        <v>237.16</v>
      </c>
      <c r="I548" s="18">
        <v>478.02</v>
      </c>
      <c r="J548" s="53">
        <v>50.06</v>
      </c>
    </row>
    <row r="549" spans="1:10" ht="17.25" customHeight="1" x14ac:dyDescent="0.25">
      <c r="A549" s="4">
        <v>570</v>
      </c>
      <c r="B549" s="5" t="s">
        <v>466</v>
      </c>
      <c r="C549" s="5" t="s">
        <v>467</v>
      </c>
      <c r="D549" s="16">
        <v>0.2676400000000001</v>
      </c>
      <c r="E549" s="16">
        <v>0.26200000000000001</v>
      </c>
      <c r="F549" s="17">
        <v>0.28570000000000007</v>
      </c>
      <c r="G549" s="18">
        <v>536</v>
      </c>
      <c r="H549" s="18">
        <v>181.25</v>
      </c>
      <c r="I549" s="18">
        <v>536</v>
      </c>
      <c r="J549" s="53">
        <v>100.16</v>
      </c>
    </row>
    <row r="550" spans="1:10" ht="17.25" customHeight="1" x14ac:dyDescent="0.25">
      <c r="A550" s="4">
        <v>904</v>
      </c>
      <c r="B550" s="5" t="s">
        <v>1810</v>
      </c>
      <c r="C550" s="5" t="s">
        <v>1811</v>
      </c>
      <c r="D550" s="16">
        <v>0.25160000000000005</v>
      </c>
      <c r="E550" s="16">
        <v>0.25600000000000001</v>
      </c>
      <c r="F550" s="17">
        <v>0.28570999999999991</v>
      </c>
      <c r="G550" s="18">
        <v>625.04999999999995</v>
      </c>
      <c r="H550" s="18">
        <v>165.18</v>
      </c>
      <c r="I550" s="18">
        <v>625.04999999999995</v>
      </c>
      <c r="J550" s="53">
        <v>126.24</v>
      </c>
    </row>
    <row r="551" spans="1:10" ht="17.25" customHeight="1" x14ac:dyDescent="0.25">
      <c r="A551" s="4">
        <v>1224</v>
      </c>
      <c r="B551" s="5" t="s">
        <v>967</v>
      </c>
      <c r="C551" s="5" t="s">
        <v>968</v>
      </c>
      <c r="D551" s="16">
        <v>0.22019999999999995</v>
      </c>
      <c r="E551" s="16">
        <v>0.21300000000000008</v>
      </c>
      <c r="F551" s="17">
        <v>0.28570999999999991</v>
      </c>
      <c r="G551" s="18">
        <v>762.23</v>
      </c>
      <c r="H551" s="18">
        <v>276.16000000000003</v>
      </c>
      <c r="I551" s="18">
        <v>762.23</v>
      </c>
      <c r="J551" s="53">
        <v>230.45</v>
      </c>
    </row>
    <row r="552" spans="1:10" ht="17.25" customHeight="1" x14ac:dyDescent="0.25">
      <c r="A552" s="4">
        <v>865</v>
      </c>
      <c r="B552" s="5" t="s">
        <v>1769</v>
      </c>
      <c r="C552" s="5" t="s">
        <v>1770</v>
      </c>
      <c r="D552" s="16">
        <v>0.30030000000000001</v>
      </c>
      <c r="E552" s="16">
        <v>0.26500000000000012</v>
      </c>
      <c r="F552" s="17">
        <v>0.28570999999999991</v>
      </c>
      <c r="G552" s="18">
        <v>704.16</v>
      </c>
      <c r="H552" s="18">
        <v>202.16</v>
      </c>
      <c r="I552" s="18">
        <v>704.16</v>
      </c>
      <c r="J552" s="53">
        <v>178.36</v>
      </c>
    </row>
    <row r="553" spans="1:10" ht="17.25" customHeight="1" x14ac:dyDescent="0.25">
      <c r="A553" s="4">
        <v>1267</v>
      </c>
      <c r="B553" s="5" t="s">
        <v>1020</v>
      </c>
      <c r="C553" s="5" t="s">
        <v>2260</v>
      </c>
      <c r="D553" s="16">
        <v>0.20789999999999997</v>
      </c>
      <c r="E553" s="16">
        <v>0.20100000000000007</v>
      </c>
      <c r="F553" s="17">
        <v>0.28570999999999991</v>
      </c>
      <c r="G553" s="18">
        <v>787.27</v>
      </c>
      <c r="H553" s="18">
        <v>288.16000000000003</v>
      </c>
      <c r="I553" s="18">
        <v>787.27</v>
      </c>
      <c r="J553" s="53">
        <v>258.5</v>
      </c>
    </row>
    <row r="554" spans="1:10" ht="17.25" customHeight="1" x14ac:dyDescent="0.25">
      <c r="A554" s="4">
        <v>623</v>
      </c>
      <c r="B554" s="5" t="s">
        <v>512</v>
      </c>
      <c r="C554" s="5" t="s">
        <v>513</v>
      </c>
      <c r="D554" s="16">
        <v>0.27849999999999997</v>
      </c>
      <c r="E554" s="16">
        <v>0.26500000000000012</v>
      </c>
      <c r="F554" s="17">
        <v>0.28570999999999991</v>
      </c>
      <c r="G554" s="18">
        <v>609</v>
      </c>
      <c r="H554" s="18">
        <v>178.03</v>
      </c>
      <c r="I554" s="18">
        <v>609</v>
      </c>
      <c r="J554" s="53">
        <v>118.24</v>
      </c>
    </row>
    <row r="555" spans="1:10" ht="17.25" customHeight="1" x14ac:dyDescent="0.25">
      <c r="A555" s="4">
        <v>1119</v>
      </c>
      <c r="B555" s="5" t="s">
        <v>840</v>
      </c>
      <c r="C555" s="5" t="s">
        <v>842</v>
      </c>
      <c r="D555" s="16">
        <v>0.24019999999999997</v>
      </c>
      <c r="E555" s="16">
        <v>0.23199999999999998</v>
      </c>
      <c r="F555" s="17">
        <v>0.28570999999999991</v>
      </c>
      <c r="G555" s="18">
        <v>717.91</v>
      </c>
      <c r="H555" s="18">
        <v>254.66</v>
      </c>
      <c r="I555" s="18">
        <v>717.91</v>
      </c>
      <c r="J555" s="53">
        <v>188.37</v>
      </c>
    </row>
    <row r="556" spans="1:10" ht="17.25" customHeight="1" x14ac:dyDescent="0.25">
      <c r="A556" s="4">
        <v>1342</v>
      </c>
      <c r="B556" s="21" t="s">
        <v>1100</v>
      </c>
      <c r="C556" s="21" t="s">
        <v>1101</v>
      </c>
      <c r="D556" s="16">
        <v>0.2601</v>
      </c>
      <c r="E556" s="16">
        <v>0.17900000000000005</v>
      </c>
      <c r="F556" s="17">
        <v>0.28570999999999991</v>
      </c>
      <c r="G556" s="18">
        <v>832.33</v>
      </c>
      <c r="H556" s="18">
        <v>308.16000000000003</v>
      </c>
      <c r="I556" s="18">
        <v>832.33</v>
      </c>
      <c r="J556" s="53">
        <v>314.61</v>
      </c>
    </row>
    <row r="557" spans="1:10" ht="17.25" customHeight="1" x14ac:dyDescent="0.25">
      <c r="A557" s="4">
        <v>1098</v>
      </c>
      <c r="B557" s="5" t="s">
        <v>812</v>
      </c>
      <c r="C557" s="5" t="s">
        <v>813</v>
      </c>
      <c r="D557" s="16">
        <v>0.24780000000000002</v>
      </c>
      <c r="E557" s="16">
        <v>0.23899999999999988</v>
      </c>
      <c r="F557" s="17">
        <v>0.28570999999999991</v>
      </c>
      <c r="G557" s="18">
        <v>701.03</v>
      </c>
      <c r="H557" s="18">
        <v>238.16</v>
      </c>
      <c r="I557" s="18">
        <v>701.03</v>
      </c>
      <c r="J557" s="53">
        <v>174.35</v>
      </c>
    </row>
    <row r="558" spans="1:10" ht="17.25" customHeight="1" x14ac:dyDescent="0.25">
      <c r="A558" s="4">
        <v>460</v>
      </c>
      <c r="B558" s="5" t="s">
        <v>366</v>
      </c>
      <c r="C558" s="5" t="s">
        <v>367</v>
      </c>
      <c r="D558" s="16">
        <v>0.28259999999999996</v>
      </c>
      <c r="E558" s="16">
        <v>0.26500000000000012</v>
      </c>
      <c r="F558" s="17">
        <v>0.28570999999999991</v>
      </c>
      <c r="G558" s="18">
        <v>591</v>
      </c>
      <c r="H558" s="18">
        <v>175.33</v>
      </c>
      <c r="I558" s="18">
        <v>591</v>
      </c>
      <c r="J558" s="53">
        <v>104.21</v>
      </c>
    </row>
    <row r="559" spans="1:10" ht="17.25" customHeight="1" x14ac:dyDescent="0.25">
      <c r="A559" s="4">
        <v>1196</v>
      </c>
      <c r="B559" s="5" t="s">
        <v>933</v>
      </c>
      <c r="C559" s="5" t="s">
        <v>934</v>
      </c>
      <c r="D559" s="16">
        <v>0.22649999999999992</v>
      </c>
      <c r="E559" s="16">
        <v>0.21900000000000008</v>
      </c>
      <c r="F559" s="17">
        <v>0.28570999999999991</v>
      </c>
      <c r="G559" s="18">
        <v>748.42</v>
      </c>
      <c r="H559" s="18">
        <v>271.16000000000003</v>
      </c>
      <c r="I559" s="18">
        <v>748.42</v>
      </c>
      <c r="J559" s="53">
        <v>216.43</v>
      </c>
    </row>
    <row r="560" spans="1:10" ht="17.25" customHeight="1" x14ac:dyDescent="0.25">
      <c r="A560" s="4">
        <v>1169</v>
      </c>
      <c r="B560" s="5" t="s">
        <v>897</v>
      </c>
      <c r="C560" s="5" t="s">
        <v>898</v>
      </c>
      <c r="D560" s="16">
        <v>0.23280000000000012</v>
      </c>
      <c r="E560" s="16">
        <v>0.22500000000000009</v>
      </c>
      <c r="F560" s="17">
        <v>0.28570999999999991</v>
      </c>
      <c r="G560" s="18">
        <v>733.68</v>
      </c>
      <c r="H560" s="18">
        <v>259.16000000000003</v>
      </c>
      <c r="I560" s="18">
        <v>733.68</v>
      </c>
      <c r="J560" s="53">
        <v>202.4</v>
      </c>
    </row>
    <row r="561" spans="1:10" ht="17.25" customHeight="1" x14ac:dyDescent="0.25">
      <c r="A561" s="4">
        <v>1326</v>
      </c>
      <c r="B561" s="5" t="s">
        <v>1091</v>
      </c>
      <c r="C561" s="5" t="s">
        <v>1092</v>
      </c>
      <c r="D561" s="16">
        <v>0.26059999999999994</v>
      </c>
      <c r="E561" s="16">
        <v>0.18500000000000005</v>
      </c>
      <c r="F561" s="17">
        <v>0.28570999999999991</v>
      </c>
      <c r="G561" s="18">
        <v>821.75</v>
      </c>
      <c r="H561" s="18">
        <v>303.16000000000003</v>
      </c>
      <c r="I561" s="18">
        <v>821.75</v>
      </c>
      <c r="J561" s="53">
        <v>300.58</v>
      </c>
    </row>
    <row r="562" spans="1:10" ht="17.25" customHeight="1" x14ac:dyDescent="0.25">
      <c r="A562" s="4">
        <v>953</v>
      </c>
      <c r="B562" s="5" t="s">
        <v>680</v>
      </c>
      <c r="C562" s="5" t="s">
        <v>681</v>
      </c>
      <c r="D562" s="16">
        <v>0.25560000000000005</v>
      </c>
      <c r="E562" s="16">
        <v>0.246</v>
      </c>
      <c r="F562" s="17">
        <v>0.28570999999999991</v>
      </c>
      <c r="G562" s="18">
        <v>681.56</v>
      </c>
      <c r="H562" s="18">
        <v>231.16</v>
      </c>
      <c r="I562" s="18">
        <v>681.56</v>
      </c>
      <c r="J562" s="53">
        <v>160.32</v>
      </c>
    </row>
    <row r="563" spans="1:10" ht="17.25" customHeight="1" x14ac:dyDescent="0.25">
      <c r="A563" s="4">
        <v>756</v>
      </c>
      <c r="B563" s="5" t="s">
        <v>1738</v>
      </c>
      <c r="C563" s="5" t="s">
        <v>1739</v>
      </c>
      <c r="D563" s="16">
        <v>0.26970000000000005</v>
      </c>
      <c r="E563" s="16">
        <v>0.2589999999999999</v>
      </c>
      <c r="F563" s="17">
        <v>0.28570999999999991</v>
      </c>
      <c r="G563" s="18">
        <v>653.5</v>
      </c>
      <c r="H563" s="18">
        <v>206.66</v>
      </c>
      <c r="I563" s="18">
        <v>653.5</v>
      </c>
      <c r="J563" s="53">
        <v>132.27000000000001</v>
      </c>
    </row>
    <row r="564" spans="1:10" ht="17.25" customHeight="1" x14ac:dyDescent="0.25">
      <c r="A564" s="4">
        <v>861</v>
      </c>
      <c r="B564" s="5" t="s">
        <v>1764</v>
      </c>
      <c r="C564" s="5" t="s">
        <v>1765</v>
      </c>
      <c r="D564" s="16">
        <v>0.27110000000000012</v>
      </c>
      <c r="E564" s="16">
        <v>0.26</v>
      </c>
      <c r="F564" s="17">
        <v>0.28570999999999991</v>
      </c>
      <c r="G564" s="18">
        <v>650</v>
      </c>
      <c r="H564" s="18">
        <v>209.86</v>
      </c>
      <c r="I564" s="18">
        <v>650</v>
      </c>
      <c r="J564" s="53">
        <v>146.29</v>
      </c>
    </row>
    <row r="565" spans="1:10" ht="17.25" customHeight="1" x14ac:dyDescent="0.25">
      <c r="A565" s="4">
        <v>1309</v>
      </c>
      <c r="B565" s="5" t="s">
        <v>1069</v>
      </c>
      <c r="C565" s="5" t="s">
        <v>1070</v>
      </c>
      <c r="D565" s="16">
        <v>0.26109999999999989</v>
      </c>
      <c r="E565" s="16">
        <v>0.18999999999999995</v>
      </c>
      <c r="F565" s="17">
        <v>0.28570999999999991</v>
      </c>
      <c r="G565" s="18">
        <v>810.53</v>
      </c>
      <c r="H565" s="18">
        <v>298.16000000000003</v>
      </c>
      <c r="I565" s="18">
        <v>810.53</v>
      </c>
      <c r="J565" s="53">
        <v>286.56</v>
      </c>
    </row>
    <row r="566" spans="1:10" ht="17.25" customHeight="1" x14ac:dyDescent="0.25">
      <c r="A566" s="4">
        <v>1281</v>
      </c>
      <c r="B566" s="5" t="s">
        <v>1035</v>
      </c>
      <c r="C566" s="5" t="s">
        <v>1036</v>
      </c>
      <c r="D566" s="16">
        <v>0.20179999999999998</v>
      </c>
      <c r="E566" s="16">
        <v>0.19500000000000006</v>
      </c>
      <c r="F566" s="17">
        <v>0.28570999999999991</v>
      </c>
      <c r="G566" s="18">
        <v>798.63</v>
      </c>
      <c r="H566" s="18">
        <v>294.16000000000003</v>
      </c>
      <c r="I566" s="18">
        <v>798.63</v>
      </c>
      <c r="J566" s="53">
        <v>272.52999999999997</v>
      </c>
    </row>
    <row r="567" spans="1:10" ht="17.25" customHeight="1" x14ac:dyDescent="0.25">
      <c r="A567" s="4">
        <v>1247</v>
      </c>
      <c r="B567" s="5" t="s">
        <v>998</v>
      </c>
      <c r="C567" s="5" t="s">
        <v>999</v>
      </c>
      <c r="D567" s="16">
        <v>0.21399999999999997</v>
      </c>
      <c r="E567" s="16">
        <v>0.20700000000000007</v>
      </c>
      <c r="F567" s="17">
        <v>0.28570999999999991</v>
      </c>
      <c r="G567" s="18">
        <v>775.15</v>
      </c>
      <c r="H567" s="18">
        <v>284.16000000000003</v>
      </c>
      <c r="I567" s="18">
        <v>775.15</v>
      </c>
      <c r="J567" s="53">
        <v>244.48</v>
      </c>
    </row>
    <row r="568" spans="1:10" ht="17.25" customHeight="1" x14ac:dyDescent="0.25">
      <c r="A568" s="4">
        <v>801</v>
      </c>
      <c r="B568" s="5" t="s">
        <v>614</v>
      </c>
      <c r="C568" s="5" t="s">
        <v>615</v>
      </c>
      <c r="D568" s="16">
        <v>0.30987999999999993</v>
      </c>
      <c r="E568" s="16">
        <v>0.25846999999999998</v>
      </c>
      <c r="F568" s="17">
        <v>0.28570000000000007</v>
      </c>
      <c r="G568" s="18">
        <v>639</v>
      </c>
      <c r="H568" s="18">
        <v>199.85</v>
      </c>
      <c r="I568" s="18">
        <v>639</v>
      </c>
      <c r="J568" s="53">
        <v>158.19</v>
      </c>
    </row>
    <row r="569" spans="1:10" ht="17.25" customHeight="1" x14ac:dyDescent="0.25">
      <c r="A569" s="4">
        <v>997</v>
      </c>
      <c r="B569" s="5" t="s">
        <v>716</v>
      </c>
      <c r="C569" s="5" t="s">
        <v>717</v>
      </c>
      <c r="D569" s="16">
        <v>0.27302000000000004</v>
      </c>
      <c r="E569" s="16">
        <v>0.25605999999999995</v>
      </c>
      <c r="F569" s="17">
        <v>0.26468999999999987</v>
      </c>
      <c r="G569" s="18">
        <v>638</v>
      </c>
      <c r="H569" s="18">
        <v>320.14999999999998</v>
      </c>
      <c r="I569" s="18">
        <v>638</v>
      </c>
      <c r="J569" s="53">
        <v>136.22999999999999</v>
      </c>
    </row>
    <row r="570" spans="1:10" ht="17.25" customHeight="1" x14ac:dyDescent="0.25">
      <c r="A570" s="4">
        <v>1006</v>
      </c>
      <c r="B570" s="5" t="s">
        <v>719</v>
      </c>
      <c r="C570" s="5" t="s">
        <v>720</v>
      </c>
      <c r="D570" s="16">
        <v>0.33139999999999992</v>
      </c>
      <c r="E570" s="16">
        <v>0.2330000000000001</v>
      </c>
      <c r="F570" s="17">
        <v>0.28570999999999991</v>
      </c>
      <c r="G570" s="18">
        <v>709</v>
      </c>
      <c r="H570" s="18">
        <v>453.25</v>
      </c>
      <c r="I570" s="18">
        <v>709</v>
      </c>
      <c r="J570" s="53">
        <v>152.22999999999999</v>
      </c>
    </row>
    <row r="571" spans="1:10" ht="17.25" customHeight="1" x14ac:dyDescent="0.25">
      <c r="A571" s="4">
        <v>49</v>
      </c>
      <c r="B571" s="5" t="s">
        <v>1527</v>
      </c>
      <c r="C571" s="5" t="s">
        <v>1528</v>
      </c>
      <c r="D571" s="16">
        <v>0.46382000000000012</v>
      </c>
      <c r="E571" s="16">
        <v>0.26160000000000005</v>
      </c>
      <c r="F571" s="17">
        <v>0.2903</v>
      </c>
      <c r="G571" s="18">
        <v>304.19</v>
      </c>
      <c r="H571" s="18">
        <v>216.58</v>
      </c>
      <c r="I571" s="18">
        <v>304.19</v>
      </c>
      <c r="J571" s="53">
        <v>44.01</v>
      </c>
    </row>
    <row r="572" spans="1:10" ht="17.25" customHeight="1" x14ac:dyDescent="0.25">
      <c r="A572" s="4">
        <v>50</v>
      </c>
      <c r="B572" s="5" t="s">
        <v>1529</v>
      </c>
      <c r="C572" s="5" t="s">
        <v>1530</v>
      </c>
      <c r="D572" s="16">
        <v>0.47588999999999992</v>
      </c>
      <c r="E572" s="16">
        <v>0.28749000000000002</v>
      </c>
      <c r="F572" s="17">
        <v>0.3226</v>
      </c>
      <c r="G572" s="18">
        <v>552</v>
      </c>
      <c r="H572" s="18">
        <v>161.58000000000001</v>
      </c>
      <c r="I572" s="18">
        <v>552</v>
      </c>
      <c r="J572" s="53">
        <v>76.14</v>
      </c>
    </row>
    <row r="573" spans="1:10" ht="17.25" customHeight="1" x14ac:dyDescent="0.25">
      <c r="A573" s="4">
        <v>47</v>
      </c>
      <c r="B573" s="29" t="s">
        <v>2261</v>
      </c>
      <c r="C573" s="5" t="s">
        <v>1525</v>
      </c>
      <c r="D573" s="16">
        <v>0.29817999999999989</v>
      </c>
      <c r="E573" s="16">
        <v>0.27655000000000007</v>
      </c>
      <c r="F573" s="17">
        <v>0.29052999999999995</v>
      </c>
      <c r="G573" s="18">
        <v>132.91999999999999</v>
      </c>
      <c r="H573" s="18">
        <v>68.150000000000006</v>
      </c>
      <c r="I573" s="18">
        <v>132.91999999999999</v>
      </c>
      <c r="J573" s="53">
        <v>28.01</v>
      </c>
    </row>
    <row r="574" spans="1:10" ht="17.25" customHeight="1" x14ac:dyDescent="0.25">
      <c r="A574" s="4">
        <v>10</v>
      </c>
      <c r="B574" s="5" t="s">
        <v>1468</v>
      </c>
      <c r="C574" s="5" t="s">
        <v>1469</v>
      </c>
      <c r="D574" s="16">
        <v>0.56606999999999985</v>
      </c>
      <c r="E574" s="16">
        <v>0.27662999999999993</v>
      </c>
      <c r="F574" s="17">
        <v>0.29000000000000004</v>
      </c>
      <c r="G574" s="18">
        <v>556.35</v>
      </c>
      <c r="H574" s="18">
        <v>250.33</v>
      </c>
      <c r="I574" s="18">
        <v>556.35</v>
      </c>
      <c r="J574" s="53">
        <v>153.82</v>
      </c>
    </row>
    <row r="575" spans="1:10" ht="17.25" customHeight="1" x14ac:dyDescent="0.25">
      <c r="A575" s="4">
        <v>12</v>
      </c>
      <c r="B575" s="5" t="s">
        <v>1472</v>
      </c>
      <c r="C575" s="5" t="s">
        <v>1473</v>
      </c>
      <c r="D575" s="16">
        <v>0.62949000000000011</v>
      </c>
      <c r="E575" s="16">
        <v>0.28390000000000004</v>
      </c>
      <c r="F575" s="17">
        <v>0.29095000000000004</v>
      </c>
      <c r="G575" s="18">
        <v>227.5</v>
      </c>
      <c r="H575" s="18">
        <v>89.56</v>
      </c>
      <c r="I575" s="18">
        <v>227.5</v>
      </c>
      <c r="J575" s="53">
        <v>88</v>
      </c>
    </row>
    <row r="576" spans="1:10" ht="17.25" customHeight="1" x14ac:dyDescent="0.25">
      <c r="A576" s="4">
        <v>11</v>
      </c>
      <c r="B576" s="5" t="s">
        <v>1470</v>
      </c>
      <c r="C576" s="5" t="s">
        <v>1471</v>
      </c>
      <c r="D576" s="16">
        <v>0.46779999999999999</v>
      </c>
      <c r="E576" s="16">
        <v>0.32912999999999992</v>
      </c>
      <c r="F576" s="17">
        <v>0.28570000000000007</v>
      </c>
      <c r="G576" s="18">
        <v>297</v>
      </c>
      <c r="H576" s="18">
        <v>161.88999999999999</v>
      </c>
      <c r="I576" s="18">
        <v>297</v>
      </c>
      <c r="J576" s="53">
        <v>66.010000000000005</v>
      </c>
    </row>
    <row r="577" spans="1:10" ht="17.25" customHeight="1" x14ac:dyDescent="0.25">
      <c r="A577" s="4">
        <v>48</v>
      </c>
      <c r="B577" s="29" t="s">
        <v>2262</v>
      </c>
      <c r="C577" s="5" t="s">
        <v>1526</v>
      </c>
      <c r="D577" s="16">
        <v>0.44481999999999999</v>
      </c>
      <c r="E577" s="16">
        <v>0.28943000000000008</v>
      </c>
      <c r="F577" s="17">
        <v>0.27139999999999986</v>
      </c>
      <c r="G577" s="18">
        <v>378.8</v>
      </c>
      <c r="H577" s="18">
        <v>134.35</v>
      </c>
      <c r="I577" s="18">
        <v>378.8</v>
      </c>
      <c r="J577" s="53">
        <v>60.08</v>
      </c>
    </row>
    <row r="578" spans="1:10" ht="17.25" customHeight="1" x14ac:dyDescent="0.25">
      <c r="A578" s="4">
        <v>93</v>
      </c>
      <c r="B578" s="5" t="s">
        <v>2254</v>
      </c>
      <c r="C578" s="5" t="s">
        <v>1598</v>
      </c>
      <c r="D578" s="16">
        <v>0.38125000000000009</v>
      </c>
      <c r="E578" s="16">
        <v>0.23960000000000004</v>
      </c>
      <c r="F578" s="17">
        <v>0.28570999999999991</v>
      </c>
      <c r="G578" s="18">
        <v>555</v>
      </c>
      <c r="H578" s="18">
        <v>293</v>
      </c>
      <c r="I578" s="18">
        <v>555</v>
      </c>
      <c r="J578" s="53">
        <v>78.5</v>
      </c>
    </row>
    <row r="579" spans="1:10" ht="17.25" customHeight="1" x14ac:dyDescent="0.25">
      <c r="A579" s="4">
        <v>94</v>
      </c>
      <c r="B579" s="5" t="s">
        <v>2263</v>
      </c>
      <c r="C579" s="5" t="s">
        <v>1599</v>
      </c>
      <c r="D579" s="16">
        <v>0.41192000000000006</v>
      </c>
      <c r="E579" s="16">
        <v>0.23248000000000002</v>
      </c>
      <c r="F579" s="17">
        <v>0.28570999999999991</v>
      </c>
      <c r="G579" s="18">
        <v>686</v>
      </c>
      <c r="H579" s="18">
        <v>333.15</v>
      </c>
      <c r="I579" s="18">
        <v>686</v>
      </c>
      <c r="J579" s="53">
        <v>94.5</v>
      </c>
    </row>
    <row r="580" spans="1:10" ht="17.25" customHeight="1" x14ac:dyDescent="0.25">
      <c r="A580" s="4">
        <v>77</v>
      </c>
      <c r="B580" s="5" t="s">
        <v>1574</v>
      </c>
      <c r="C580" s="5" t="s">
        <v>1575</v>
      </c>
      <c r="D580" s="16">
        <v>0.47008000000000005</v>
      </c>
      <c r="E580" s="16">
        <v>0.25419999999999998</v>
      </c>
      <c r="F580" s="17">
        <v>0.28570000000000007</v>
      </c>
      <c r="G580" s="18">
        <v>581</v>
      </c>
      <c r="H580" s="18">
        <v>251.15</v>
      </c>
      <c r="I580" s="18">
        <v>581</v>
      </c>
      <c r="J580" s="53">
        <v>112.94</v>
      </c>
    </row>
    <row r="581" spans="1:10" ht="17.25" customHeight="1" x14ac:dyDescent="0.25">
      <c r="A581" s="4">
        <v>14</v>
      </c>
      <c r="B581" s="5" t="s">
        <v>2264</v>
      </c>
      <c r="C581" s="5" t="s">
        <v>1476</v>
      </c>
      <c r="D581" s="16">
        <v>0.51858000000000004</v>
      </c>
      <c r="E581" s="16">
        <v>0.2660499999999999</v>
      </c>
      <c r="F581" s="17">
        <v>0.28122999999999987</v>
      </c>
      <c r="G581" s="18">
        <v>369.3</v>
      </c>
      <c r="H581" s="18">
        <v>115.73</v>
      </c>
      <c r="I581" s="18">
        <v>369.3</v>
      </c>
      <c r="J581" s="53">
        <v>86.47</v>
      </c>
    </row>
    <row r="582" spans="1:10" ht="17.25" customHeight="1" x14ac:dyDescent="0.25">
      <c r="A582" s="4">
        <v>23</v>
      </c>
      <c r="B582" s="5" t="s">
        <v>2265</v>
      </c>
      <c r="C582" s="5" t="s">
        <v>1488</v>
      </c>
      <c r="D582" s="16">
        <v>0.44379999999999997</v>
      </c>
      <c r="E582" s="16">
        <v>0.22999999999999998</v>
      </c>
      <c r="F582" s="17">
        <v>0.28570999999999991</v>
      </c>
      <c r="G582" s="18">
        <v>424.91</v>
      </c>
      <c r="H582" s="18">
        <v>140.16</v>
      </c>
      <c r="I582" s="18">
        <v>424.91</v>
      </c>
      <c r="J582" s="53">
        <v>68.48</v>
      </c>
    </row>
    <row r="583" spans="1:10" ht="17.25" customHeight="1" x14ac:dyDescent="0.25">
      <c r="A583" s="4">
        <v>16</v>
      </c>
      <c r="B583" s="5" t="s">
        <v>1478</v>
      </c>
      <c r="C583" s="5" t="s">
        <v>1479</v>
      </c>
      <c r="D583" s="16">
        <v>0.49807000000000001</v>
      </c>
      <c r="E583" s="16">
        <v>0.25273999999999996</v>
      </c>
      <c r="F583" s="17">
        <v>0.28766000000000003</v>
      </c>
      <c r="G583" s="18">
        <v>536.4</v>
      </c>
      <c r="H583" s="18">
        <v>209.63</v>
      </c>
      <c r="I583" s="18">
        <v>536.4</v>
      </c>
      <c r="J583" s="53">
        <v>119.38</v>
      </c>
    </row>
    <row r="584" spans="1:10" ht="17.25" customHeight="1" x14ac:dyDescent="0.25">
      <c r="A584" s="4">
        <v>54</v>
      </c>
      <c r="B584" s="5" t="s">
        <v>2266</v>
      </c>
      <c r="C584" s="5" t="s">
        <v>1536</v>
      </c>
      <c r="D584" s="16">
        <v>0.61451999999999996</v>
      </c>
      <c r="E584" s="16">
        <v>0.28454000000000002</v>
      </c>
      <c r="F584" s="17">
        <v>0.28529999999999989</v>
      </c>
      <c r="G584" s="18">
        <v>353.15</v>
      </c>
      <c r="H584" s="18">
        <v>173.71</v>
      </c>
      <c r="I584" s="18">
        <v>353.15</v>
      </c>
      <c r="J584" s="53">
        <v>154.47</v>
      </c>
    </row>
    <row r="585" spans="1:10" ht="17.25" customHeight="1" x14ac:dyDescent="0.25">
      <c r="A585" s="4">
        <v>247</v>
      </c>
      <c r="B585" s="5" t="s">
        <v>2267</v>
      </c>
      <c r="C585" s="5" t="s">
        <v>130</v>
      </c>
      <c r="D585" s="16">
        <v>0.33146999999999993</v>
      </c>
      <c r="E585" s="16">
        <v>0.26427</v>
      </c>
      <c r="F585" s="17">
        <v>0.27859999999999996</v>
      </c>
      <c r="G585" s="18">
        <v>525</v>
      </c>
      <c r="H585" s="18">
        <v>143.15</v>
      </c>
      <c r="I585" s="18">
        <v>525</v>
      </c>
      <c r="J585" s="53">
        <v>88.54</v>
      </c>
    </row>
    <row r="586" spans="1:10" ht="17.25" customHeight="1" x14ac:dyDescent="0.25">
      <c r="A586" s="4">
        <v>53</v>
      </c>
      <c r="B586" s="5" t="s">
        <v>2268</v>
      </c>
      <c r="C586" s="5" t="s">
        <v>1535</v>
      </c>
      <c r="D586" s="16">
        <v>0.55067999999999984</v>
      </c>
      <c r="E586" s="16">
        <v>0.25930000000000009</v>
      </c>
      <c r="F586" s="17">
        <v>0.3073999999999999</v>
      </c>
      <c r="G586" s="18">
        <v>379.15</v>
      </c>
      <c r="H586" s="18">
        <v>115</v>
      </c>
      <c r="I586" s="18">
        <v>379.15</v>
      </c>
      <c r="J586" s="53">
        <v>116.47</v>
      </c>
    </row>
    <row r="587" spans="1:10" ht="17.25" customHeight="1" x14ac:dyDescent="0.25">
      <c r="A587" s="4">
        <v>5</v>
      </c>
      <c r="B587" s="5" t="s">
        <v>1459</v>
      </c>
      <c r="C587" s="5" t="s">
        <v>1460</v>
      </c>
      <c r="D587" s="16">
        <v>0.58753000000000011</v>
      </c>
      <c r="E587" s="16">
        <v>0.2789600000000001</v>
      </c>
      <c r="F587" s="17">
        <v>0.29069999999999996</v>
      </c>
      <c r="G587" s="18">
        <v>301.95999999999998</v>
      </c>
      <c r="H587" s="18">
        <v>92.15</v>
      </c>
      <c r="I587" s="18">
        <v>301.95999999999998</v>
      </c>
      <c r="J587" s="53">
        <v>207.92</v>
      </c>
    </row>
    <row r="588" spans="1:10" ht="17.25" customHeight="1" x14ac:dyDescent="0.25">
      <c r="A588" s="4">
        <v>1286</v>
      </c>
      <c r="B588" s="5" t="s">
        <v>1041</v>
      </c>
      <c r="C588" s="5" t="s">
        <v>1042</v>
      </c>
      <c r="D588" s="16">
        <v>0.31491999999999987</v>
      </c>
      <c r="E588" s="16">
        <v>0.21284999999999998</v>
      </c>
      <c r="F588" s="17">
        <v>0.28570999999999991</v>
      </c>
      <c r="G588" s="18">
        <v>979</v>
      </c>
      <c r="H588" s="18">
        <v>531.15</v>
      </c>
      <c r="I588" s="18">
        <v>979</v>
      </c>
      <c r="J588" s="53">
        <v>228.29</v>
      </c>
    </row>
    <row r="589" spans="1:10" ht="17.25" customHeight="1" x14ac:dyDescent="0.25">
      <c r="A589" s="4">
        <v>905</v>
      </c>
      <c r="B589" s="5" t="s">
        <v>1810</v>
      </c>
      <c r="C589" s="5" t="s">
        <v>2391</v>
      </c>
      <c r="D589" s="16">
        <v>0.2419</v>
      </c>
      <c r="E589" s="16">
        <v>0.24699999999999989</v>
      </c>
      <c r="F589" s="17">
        <v>0.28570999999999991</v>
      </c>
      <c r="G589" s="18">
        <v>607.86</v>
      </c>
      <c r="H589" s="18">
        <v>223.46</v>
      </c>
      <c r="I589" s="18">
        <v>607.86</v>
      </c>
      <c r="J589" s="53">
        <v>126.24</v>
      </c>
    </row>
    <row r="590" spans="1:10" ht="17.25" customHeight="1" x14ac:dyDescent="0.25">
      <c r="A590" s="4">
        <v>906</v>
      </c>
      <c r="B590" s="5" t="s">
        <v>1810</v>
      </c>
      <c r="C590" s="5" t="s">
        <v>2392</v>
      </c>
      <c r="D590" s="16">
        <v>0.2258</v>
      </c>
      <c r="E590" s="16">
        <v>0.24500000000000011</v>
      </c>
      <c r="F590" s="17">
        <v>0.28570999999999991</v>
      </c>
      <c r="G590" s="18">
        <v>602.20000000000005</v>
      </c>
      <c r="H590" s="18">
        <v>188.76</v>
      </c>
      <c r="I590" s="18">
        <v>602.20000000000005</v>
      </c>
      <c r="J590" s="53">
        <v>126.24</v>
      </c>
    </row>
    <row r="591" spans="1:10" ht="17.25" customHeight="1" x14ac:dyDescent="0.25">
      <c r="A591" s="4">
        <v>531</v>
      </c>
      <c r="B591" s="5" t="s">
        <v>426</v>
      </c>
      <c r="C591" s="5" t="s">
        <v>2393</v>
      </c>
      <c r="D591" s="16">
        <v>0.24751000000000012</v>
      </c>
      <c r="E591" s="16">
        <v>0.26019999999999999</v>
      </c>
      <c r="F591" s="17">
        <v>0.28909999999999991</v>
      </c>
      <c r="G591" s="18">
        <v>538</v>
      </c>
      <c r="H591" s="18">
        <v>177.05</v>
      </c>
      <c r="I591" s="18">
        <v>538</v>
      </c>
      <c r="J591" s="53">
        <v>82.14</v>
      </c>
    </row>
    <row r="592" spans="1:10" ht="17.25" customHeight="1" x14ac:dyDescent="0.25">
      <c r="A592" s="4">
        <v>75</v>
      </c>
      <c r="B592" s="5" t="s">
        <v>1572</v>
      </c>
      <c r="C592" s="5" t="s">
        <v>2394</v>
      </c>
      <c r="D592" s="16">
        <v>0.43930000000000002</v>
      </c>
      <c r="E592" s="16">
        <v>0.26127999999999996</v>
      </c>
      <c r="F592" s="17">
        <v>0.28570000000000007</v>
      </c>
      <c r="G592" s="18">
        <v>527</v>
      </c>
      <c r="H592" s="18">
        <v>193.15</v>
      </c>
      <c r="I592" s="18">
        <v>527</v>
      </c>
      <c r="J592" s="53">
        <v>96.94</v>
      </c>
    </row>
    <row r="593" spans="1:10" ht="17.25" customHeight="1" x14ac:dyDescent="0.25">
      <c r="A593" s="4">
        <v>84</v>
      </c>
      <c r="B593" s="5" t="s">
        <v>1584</v>
      </c>
      <c r="C593" s="5" t="s">
        <v>2395</v>
      </c>
      <c r="D593" s="16">
        <v>0.39169999999999994</v>
      </c>
      <c r="E593" s="16">
        <v>0.23799999999999999</v>
      </c>
      <c r="F593" s="17">
        <v>0.28570999999999991</v>
      </c>
      <c r="G593" s="18">
        <v>394.67</v>
      </c>
      <c r="H593" s="18">
        <v>107.9</v>
      </c>
      <c r="I593" s="18">
        <v>394.67</v>
      </c>
      <c r="J593" s="53">
        <v>64.03</v>
      </c>
    </row>
    <row r="594" spans="1:10" ht="17.25" customHeight="1" x14ac:dyDescent="0.25">
      <c r="A594" s="4">
        <v>805</v>
      </c>
      <c r="B594" s="5" t="s">
        <v>617</v>
      </c>
      <c r="C594" s="5" t="s">
        <v>2396</v>
      </c>
      <c r="D594" s="16">
        <v>0.24394999999999989</v>
      </c>
      <c r="E594" s="16">
        <v>0.24357999999999991</v>
      </c>
      <c r="F594" s="17">
        <v>0.26808999999999994</v>
      </c>
      <c r="G594" s="18">
        <v>606.15</v>
      </c>
      <c r="H594" s="18">
        <v>223.16</v>
      </c>
      <c r="I594" s="18">
        <v>606.15</v>
      </c>
      <c r="J594" s="53">
        <v>112.21</v>
      </c>
    </row>
    <row r="595" spans="1:10" ht="17.25" customHeight="1" x14ac:dyDescent="0.25">
      <c r="A595" s="4">
        <v>705</v>
      </c>
      <c r="B595" s="5" t="s">
        <v>1698</v>
      </c>
      <c r="C595" s="5" t="s">
        <v>2397</v>
      </c>
      <c r="D595" s="16">
        <v>0.26682000000000006</v>
      </c>
      <c r="E595" s="16">
        <v>0.26980000000000004</v>
      </c>
      <c r="F595" s="17">
        <v>0.28570999999999991</v>
      </c>
      <c r="G595" s="18">
        <v>565.15</v>
      </c>
      <c r="H595" s="18">
        <v>219.26</v>
      </c>
      <c r="I595" s="18">
        <v>565.15</v>
      </c>
      <c r="J595" s="53">
        <v>98.19</v>
      </c>
    </row>
    <row r="596" spans="1:10" ht="17.25" customHeight="1" x14ac:dyDescent="0.25">
      <c r="A596" s="4">
        <v>807</v>
      </c>
      <c r="B596" s="5" t="s">
        <v>617</v>
      </c>
      <c r="C596" s="5" t="s">
        <v>2398</v>
      </c>
      <c r="D596" s="16">
        <v>0.24936000000000003</v>
      </c>
      <c r="E596" s="16">
        <v>0.25583</v>
      </c>
      <c r="F596" s="17">
        <v>0.28393000000000002</v>
      </c>
      <c r="G596" s="18">
        <v>591.15</v>
      </c>
      <c r="H596" s="18">
        <v>197.58</v>
      </c>
      <c r="I596" s="18">
        <v>591.15</v>
      </c>
      <c r="J596" s="53">
        <v>112.21</v>
      </c>
    </row>
    <row r="597" spans="1:10" ht="17.25" customHeight="1" x14ac:dyDescent="0.25">
      <c r="A597" s="4">
        <v>707</v>
      </c>
      <c r="B597" s="5" t="s">
        <v>1698</v>
      </c>
      <c r="C597" s="5" t="s">
        <v>2399</v>
      </c>
      <c r="D597" s="16">
        <v>0.27273999999999998</v>
      </c>
      <c r="E597" s="16">
        <v>0.27940999999999994</v>
      </c>
      <c r="F597" s="17">
        <v>0.31401000000000012</v>
      </c>
      <c r="G597" s="18">
        <v>551</v>
      </c>
      <c r="H597" s="18">
        <v>139.44999999999999</v>
      </c>
      <c r="I597" s="18">
        <v>551</v>
      </c>
      <c r="J597" s="53">
        <v>98.19</v>
      </c>
    </row>
    <row r="598" spans="1:10" ht="17.25" customHeight="1" x14ac:dyDescent="0.25">
      <c r="A598" s="4">
        <v>379</v>
      </c>
      <c r="B598" s="5" t="s">
        <v>272</v>
      </c>
      <c r="C598" s="5" t="s">
        <v>2400</v>
      </c>
      <c r="D598" s="16">
        <v>0.23991999999999991</v>
      </c>
      <c r="E598" s="16">
        <v>0.25594000000000006</v>
      </c>
      <c r="F598" s="17">
        <v>0.28570000000000007</v>
      </c>
      <c r="G598" s="18">
        <v>499</v>
      </c>
      <c r="H598" s="18">
        <v>132.35</v>
      </c>
      <c r="I598" s="18">
        <v>499</v>
      </c>
      <c r="J598" s="53">
        <v>68.12</v>
      </c>
    </row>
    <row r="599" spans="1:10" ht="17.25" customHeight="1" x14ac:dyDescent="0.25">
      <c r="A599" s="4">
        <v>809</v>
      </c>
      <c r="B599" s="5" t="s">
        <v>617</v>
      </c>
      <c r="C599" s="5" t="s">
        <v>2401</v>
      </c>
      <c r="D599" s="16">
        <v>0.24394999999999989</v>
      </c>
      <c r="E599" s="16">
        <v>0.24530999999999992</v>
      </c>
      <c r="F599" s="17">
        <v>0.27709000000000006</v>
      </c>
      <c r="G599" s="18">
        <v>598.15</v>
      </c>
      <c r="H599" s="18">
        <v>185.72</v>
      </c>
      <c r="I599" s="18">
        <v>598.15</v>
      </c>
      <c r="J599" s="53">
        <v>112.21</v>
      </c>
    </row>
    <row r="600" spans="1:10" ht="17.25" customHeight="1" x14ac:dyDescent="0.25">
      <c r="A600" s="4">
        <v>286</v>
      </c>
      <c r="B600" s="5" t="s">
        <v>168</v>
      </c>
      <c r="C600" s="5" t="s">
        <v>2402</v>
      </c>
      <c r="D600" s="16">
        <v>0.24085000000000001</v>
      </c>
      <c r="E600" s="16">
        <v>0.27052999999999994</v>
      </c>
      <c r="F600" s="17">
        <v>0.28570999999999991</v>
      </c>
      <c r="G600" s="18">
        <v>435.58</v>
      </c>
      <c r="H600" s="18">
        <v>134.26</v>
      </c>
      <c r="I600" s="18">
        <v>435.58</v>
      </c>
      <c r="J600" s="53">
        <v>56.11</v>
      </c>
    </row>
    <row r="601" spans="1:10" ht="17.25" customHeight="1" x14ac:dyDescent="0.25">
      <c r="A601" s="4">
        <v>300</v>
      </c>
      <c r="B601" s="5" t="s">
        <v>185</v>
      </c>
      <c r="C601" s="5" t="s">
        <v>2403</v>
      </c>
      <c r="D601" s="16">
        <v>0.32803000000000004</v>
      </c>
      <c r="E601" s="16">
        <v>0.24780000000000002</v>
      </c>
      <c r="F601" s="17">
        <v>0.28570000000000007</v>
      </c>
      <c r="G601" s="18">
        <v>677.88</v>
      </c>
      <c r="H601" s="18">
        <v>284.14999999999998</v>
      </c>
      <c r="I601" s="18">
        <v>677.88</v>
      </c>
      <c r="J601" s="53">
        <v>88.1</v>
      </c>
    </row>
    <row r="602" spans="1:10" ht="17.25" customHeight="1" x14ac:dyDescent="0.25">
      <c r="A602" s="4">
        <v>713</v>
      </c>
      <c r="B602" s="5" t="s">
        <v>1698</v>
      </c>
      <c r="C602" s="5" t="s">
        <v>2404</v>
      </c>
      <c r="D602" s="16">
        <v>0.23158000000000012</v>
      </c>
      <c r="E602" s="16">
        <v>0.24866999999999995</v>
      </c>
      <c r="F602" s="17">
        <v>0.28858000000000006</v>
      </c>
      <c r="G602" s="18">
        <v>549</v>
      </c>
      <c r="H602" s="18">
        <v>164</v>
      </c>
      <c r="I602" s="18">
        <v>549</v>
      </c>
      <c r="J602" s="53">
        <v>98.19</v>
      </c>
    </row>
    <row r="603" spans="1:10" ht="17.25" customHeight="1" x14ac:dyDescent="0.25">
      <c r="A603" s="4">
        <v>557</v>
      </c>
      <c r="B603" s="5" t="s">
        <v>452</v>
      </c>
      <c r="C603" s="5" t="s">
        <v>2405</v>
      </c>
      <c r="D603" s="16">
        <v>0.23442999999999992</v>
      </c>
      <c r="E603" s="16">
        <v>0.25625999999999993</v>
      </c>
      <c r="F603" s="17">
        <v>0.27838000000000007</v>
      </c>
      <c r="G603" s="18">
        <v>513</v>
      </c>
      <c r="H603" s="18">
        <v>132</v>
      </c>
      <c r="I603" s="18">
        <v>513</v>
      </c>
      <c r="J603" s="53">
        <v>84.16</v>
      </c>
    </row>
    <row r="604" spans="1:10" ht="17.25" customHeight="1" x14ac:dyDescent="0.25">
      <c r="A604" s="4">
        <v>726</v>
      </c>
      <c r="B604" s="5" t="s">
        <v>1710</v>
      </c>
      <c r="C604" s="5" t="s">
        <v>2406</v>
      </c>
      <c r="D604" s="16">
        <v>0.27580999999999989</v>
      </c>
      <c r="E604" s="16">
        <v>0.24052000000000007</v>
      </c>
      <c r="F604" s="17">
        <v>0.23686999999999991</v>
      </c>
      <c r="G604" s="18">
        <v>614</v>
      </c>
      <c r="H604" s="18">
        <v>280.14999999999998</v>
      </c>
      <c r="I604" s="18">
        <v>614</v>
      </c>
      <c r="J604" s="53">
        <v>114.18</v>
      </c>
    </row>
    <row r="605" spans="1:10" ht="17.25" customHeight="1" x14ac:dyDescent="0.25">
      <c r="A605" s="4">
        <v>408</v>
      </c>
      <c r="B605" s="5" t="s">
        <v>305</v>
      </c>
      <c r="C605" s="5" t="s">
        <v>2407</v>
      </c>
      <c r="D605" s="16">
        <v>0.23216999999999999</v>
      </c>
      <c r="E605" s="16">
        <v>0.25137999999999994</v>
      </c>
      <c r="F605" s="17">
        <v>0.29862000000000011</v>
      </c>
      <c r="G605" s="18">
        <v>475.93</v>
      </c>
      <c r="H605" s="18">
        <v>121.75</v>
      </c>
      <c r="I605" s="18">
        <v>475.93</v>
      </c>
      <c r="J605" s="53">
        <v>70.13</v>
      </c>
    </row>
    <row r="606" spans="1:10" ht="17.25" customHeight="1" x14ac:dyDescent="0.25">
      <c r="A606" s="4">
        <v>715</v>
      </c>
      <c r="B606" s="5" t="s">
        <v>1698</v>
      </c>
      <c r="C606" s="5" t="s">
        <v>2408</v>
      </c>
      <c r="D606" s="16">
        <v>0.23323000000000005</v>
      </c>
      <c r="E606" s="16">
        <v>0.25445999999999991</v>
      </c>
      <c r="F606" s="17">
        <v>0.27940999999999994</v>
      </c>
      <c r="G606" s="18">
        <v>545</v>
      </c>
      <c r="H606" s="18">
        <v>136.51</v>
      </c>
      <c r="I606" s="18">
        <v>545</v>
      </c>
      <c r="J606" s="53">
        <v>98.19</v>
      </c>
    </row>
    <row r="607" spans="1:10" ht="17.25" customHeight="1" x14ac:dyDescent="0.25">
      <c r="A607" s="4">
        <v>559</v>
      </c>
      <c r="B607" s="5" t="s">
        <v>452</v>
      </c>
      <c r="C607" s="5" t="s">
        <v>2409</v>
      </c>
      <c r="D607" s="16">
        <v>0.23933999999999989</v>
      </c>
      <c r="E607" s="16">
        <v>0.26339000000000001</v>
      </c>
      <c r="F607" s="17">
        <v>0.28570999999999991</v>
      </c>
      <c r="G607" s="18">
        <v>509</v>
      </c>
      <c r="H607" s="18">
        <v>135.33000000000001</v>
      </c>
      <c r="I607" s="18">
        <v>509</v>
      </c>
      <c r="J607" s="53">
        <v>84.16</v>
      </c>
    </row>
    <row r="608" spans="1:10" ht="17.25" customHeight="1" x14ac:dyDescent="0.25">
      <c r="A608" s="4">
        <v>728</v>
      </c>
      <c r="B608" s="5" t="s">
        <v>1710</v>
      </c>
      <c r="C608" s="5" t="s">
        <v>2410</v>
      </c>
      <c r="D608" s="16">
        <v>0.27581999999999995</v>
      </c>
      <c r="E608" s="16">
        <v>0.23721999999999999</v>
      </c>
      <c r="F608" s="17">
        <v>0.28184999999999993</v>
      </c>
      <c r="G608" s="18">
        <v>618</v>
      </c>
      <c r="H608" s="18">
        <v>267.64999999999998</v>
      </c>
      <c r="I608" s="18">
        <v>618</v>
      </c>
      <c r="J608" s="53">
        <v>114.18</v>
      </c>
    </row>
    <row r="609" spans="1:10" ht="17.25" customHeight="1" x14ac:dyDescent="0.25">
      <c r="A609" s="4">
        <v>730</v>
      </c>
      <c r="B609" s="5" t="s">
        <v>1710</v>
      </c>
      <c r="C609" s="5" t="s">
        <v>2411</v>
      </c>
      <c r="D609" s="16">
        <v>0.30881000000000003</v>
      </c>
      <c r="E609" s="16">
        <v>0.27099999999999991</v>
      </c>
      <c r="F609" s="17">
        <v>0.28570000000000007</v>
      </c>
      <c r="G609" s="18">
        <v>622</v>
      </c>
      <c r="H609" s="18">
        <v>294.85000000000002</v>
      </c>
      <c r="I609" s="18">
        <v>622</v>
      </c>
      <c r="J609" s="53">
        <v>114.18</v>
      </c>
    </row>
    <row r="610" spans="1:10" ht="17.25" customHeight="1" x14ac:dyDescent="0.25">
      <c r="A610" s="4">
        <v>269</v>
      </c>
      <c r="B610" s="5" t="s">
        <v>149</v>
      </c>
      <c r="C610" s="5" t="s">
        <v>2412</v>
      </c>
      <c r="D610" s="16">
        <v>0.31112999999999991</v>
      </c>
      <c r="E610" s="16">
        <v>0.24174999999999991</v>
      </c>
      <c r="F610" s="17">
        <v>0.28570000000000007</v>
      </c>
      <c r="G610" s="18">
        <v>647</v>
      </c>
      <c r="H610" s="18">
        <v>288.64999999999998</v>
      </c>
      <c r="I610" s="18">
        <v>647</v>
      </c>
      <c r="J610" s="53">
        <v>86.09</v>
      </c>
    </row>
    <row r="611" spans="1:10" ht="17.25" customHeight="1" x14ac:dyDescent="0.25">
      <c r="A611" s="4">
        <v>249</v>
      </c>
      <c r="B611" s="5" t="s">
        <v>131</v>
      </c>
      <c r="C611" s="5" t="s">
        <v>2413</v>
      </c>
      <c r="D611" s="16">
        <v>0.2531699999999999</v>
      </c>
      <c r="E611" s="16">
        <v>0.23494999999999999</v>
      </c>
      <c r="F611" s="17">
        <v>0.28222999999999998</v>
      </c>
      <c r="G611" s="18">
        <v>568</v>
      </c>
      <c r="H611" s="18">
        <v>200.55</v>
      </c>
      <c r="I611" s="18">
        <v>568</v>
      </c>
      <c r="J611" s="53">
        <v>67.09</v>
      </c>
    </row>
    <row r="612" spans="1:10" ht="17.25" customHeight="1" x14ac:dyDescent="0.25">
      <c r="A612" s="4">
        <v>1008</v>
      </c>
      <c r="B612" s="5" t="s">
        <v>721</v>
      </c>
      <c r="C612" s="5" t="s">
        <v>2414</v>
      </c>
      <c r="D612" s="16">
        <v>0.28899000000000008</v>
      </c>
      <c r="E612" s="16">
        <v>0.26612999999999998</v>
      </c>
      <c r="F612" s="17">
        <v>0.2871999999999999</v>
      </c>
      <c r="G612" s="18">
        <v>702.25</v>
      </c>
      <c r="H612" s="18">
        <v>230.2</v>
      </c>
      <c r="I612" s="18">
        <v>702.25</v>
      </c>
      <c r="J612" s="53">
        <v>138.25</v>
      </c>
    </row>
    <row r="613" spans="1:10" ht="17.25" customHeight="1" x14ac:dyDescent="0.25">
      <c r="A613" s="4">
        <v>497</v>
      </c>
      <c r="B613" s="5" t="s">
        <v>396</v>
      </c>
      <c r="C613" s="5" t="s">
        <v>2415</v>
      </c>
      <c r="D613" s="16">
        <v>0.27110999999999996</v>
      </c>
      <c r="E613" s="16">
        <v>0.20100000000000007</v>
      </c>
      <c r="F613" s="17">
        <v>0.28570999999999991</v>
      </c>
      <c r="G613" s="18">
        <v>691</v>
      </c>
      <c r="H613" s="18">
        <v>249</v>
      </c>
      <c r="I613" s="18">
        <v>691</v>
      </c>
      <c r="J613" s="53">
        <v>106.13</v>
      </c>
    </row>
    <row r="614" spans="1:10" ht="17.25" customHeight="1" x14ac:dyDescent="0.25">
      <c r="A614" s="4">
        <v>879</v>
      </c>
      <c r="B614" s="5" t="s">
        <v>1788</v>
      </c>
      <c r="C614" s="5" t="s">
        <v>2416</v>
      </c>
      <c r="D614" s="16">
        <v>0.28839999999999999</v>
      </c>
      <c r="E614" s="16">
        <v>0.25800000000000001</v>
      </c>
      <c r="F614" s="17">
        <v>0.28570999999999991</v>
      </c>
      <c r="G614" s="18">
        <v>664.6</v>
      </c>
      <c r="H614" s="18">
        <v>211.47</v>
      </c>
      <c r="I614" s="18">
        <v>664.6</v>
      </c>
      <c r="J614" s="53">
        <v>118.18</v>
      </c>
    </row>
    <row r="615" spans="1:10" ht="17.25" customHeight="1" x14ac:dyDescent="0.25">
      <c r="A615" s="4">
        <v>1205</v>
      </c>
      <c r="B615" s="5" t="s">
        <v>944</v>
      </c>
      <c r="C615" s="5" t="s">
        <v>2417</v>
      </c>
      <c r="D615" s="16">
        <v>0.30848999999999993</v>
      </c>
      <c r="E615" s="16">
        <v>0.25435999999999992</v>
      </c>
      <c r="F615" s="17">
        <v>0.28570999999999991</v>
      </c>
      <c r="G615" s="18">
        <v>757</v>
      </c>
      <c r="H615" s="18">
        <v>268.14999999999998</v>
      </c>
      <c r="I615" s="18">
        <v>757</v>
      </c>
      <c r="J615" s="53">
        <v>180.24</v>
      </c>
    </row>
    <row r="616" spans="1:10" ht="17.25" customHeight="1" x14ac:dyDescent="0.25">
      <c r="A616" s="6">
        <v>368</v>
      </c>
      <c r="B616" s="5" t="s">
        <v>2269</v>
      </c>
      <c r="C616" s="5" t="s">
        <v>263</v>
      </c>
      <c r="D616" s="16">
        <v>0.37251000000000012</v>
      </c>
      <c r="E616" s="16">
        <v>0.21483999999999992</v>
      </c>
      <c r="F616" s="17">
        <v>0.28570000000000007</v>
      </c>
      <c r="G616" s="18">
        <v>829</v>
      </c>
      <c r="H616" s="18">
        <v>356.15</v>
      </c>
      <c r="I616" s="18">
        <v>829</v>
      </c>
      <c r="J616" s="53">
        <v>130.1</v>
      </c>
    </row>
    <row r="617" spans="1:10" ht="17.25" customHeight="1" x14ac:dyDescent="0.25">
      <c r="A617" s="4">
        <v>524</v>
      </c>
      <c r="B617" s="5" t="s">
        <v>424</v>
      </c>
      <c r="C617" s="5" t="s">
        <v>425</v>
      </c>
      <c r="D617" s="16">
        <v>0.44642999999999988</v>
      </c>
      <c r="E617" s="16">
        <v>0.23914999999999997</v>
      </c>
      <c r="F617" s="17">
        <v>0.28570000000000007</v>
      </c>
      <c r="G617" s="18">
        <v>822</v>
      </c>
      <c r="H617" s="18">
        <v>426.15</v>
      </c>
      <c r="I617" s="18">
        <v>822</v>
      </c>
      <c r="J617" s="53">
        <v>192.12</v>
      </c>
    </row>
    <row r="618" spans="1:10" ht="17.25" customHeight="1" x14ac:dyDescent="0.25">
      <c r="A618" s="4">
        <v>889</v>
      </c>
      <c r="B618" s="5" t="s">
        <v>1795</v>
      </c>
      <c r="C618" s="5" t="s">
        <v>1796</v>
      </c>
      <c r="D618" s="16">
        <v>0.28239999999999998</v>
      </c>
      <c r="E618" s="16">
        <v>0.26180000000000003</v>
      </c>
      <c r="F618" s="17">
        <v>0.29000000000000004</v>
      </c>
      <c r="G618" s="18">
        <v>631.15</v>
      </c>
      <c r="H618" s="18">
        <v>177.14</v>
      </c>
      <c r="I618" s="18">
        <v>631.15</v>
      </c>
      <c r="J618" s="53">
        <v>120.19</v>
      </c>
    </row>
    <row r="619" spans="1:10" ht="17.25" customHeight="1" x14ac:dyDescent="0.25">
      <c r="A619" s="4">
        <v>899</v>
      </c>
      <c r="B619" s="5" t="s">
        <v>1802</v>
      </c>
      <c r="C619" s="5" t="s">
        <v>1803</v>
      </c>
      <c r="D619" s="16">
        <v>0.36351</v>
      </c>
      <c r="E619" s="16">
        <v>0.27800000000000002</v>
      </c>
      <c r="F619" s="17">
        <v>0.28600000000000003</v>
      </c>
      <c r="G619" s="18">
        <v>605</v>
      </c>
      <c r="H619" s="18">
        <v>264.26</v>
      </c>
      <c r="I619" s="18">
        <v>605</v>
      </c>
      <c r="J619" s="53">
        <v>152.19</v>
      </c>
    </row>
    <row r="620" spans="1:10" ht="17.25" customHeight="1" x14ac:dyDescent="0.25">
      <c r="A620" s="4">
        <v>142</v>
      </c>
      <c r="B620" s="5" t="s">
        <v>1674</v>
      </c>
      <c r="C620" s="5" t="s">
        <v>1675</v>
      </c>
      <c r="D620" s="16">
        <v>0.26685000000000003</v>
      </c>
      <c r="E620" s="16">
        <v>0.20984000000000003</v>
      </c>
      <c r="F620" s="17">
        <v>0.20635000000000003</v>
      </c>
      <c r="G620" s="18">
        <v>400.15</v>
      </c>
      <c r="H620" s="18">
        <v>245.25</v>
      </c>
      <c r="I620" s="18">
        <v>400.15</v>
      </c>
      <c r="J620" s="53">
        <v>52.03</v>
      </c>
    </row>
    <row r="621" spans="1:10" ht="17.25" customHeight="1" x14ac:dyDescent="0.25">
      <c r="A621" s="4">
        <v>6</v>
      </c>
      <c r="B621" s="5" t="s">
        <v>2270</v>
      </c>
      <c r="C621" s="5" t="s">
        <v>1461</v>
      </c>
      <c r="D621" s="16">
        <v>0.37712999999999997</v>
      </c>
      <c r="E621" s="16">
        <v>0.22974000000000006</v>
      </c>
      <c r="F621" s="17">
        <v>0.23859999999999992</v>
      </c>
      <c r="G621" s="18">
        <v>449</v>
      </c>
      <c r="H621" s="18">
        <v>266.64999999999998</v>
      </c>
      <c r="I621" s="18">
        <v>449</v>
      </c>
      <c r="J621" s="53">
        <v>61.47</v>
      </c>
    </row>
    <row r="622" spans="1:10" ht="17.25" customHeight="1" x14ac:dyDescent="0.25">
      <c r="A622" s="4">
        <v>288</v>
      </c>
      <c r="B622" s="5" t="s">
        <v>168</v>
      </c>
      <c r="C622" s="5" t="s">
        <v>170</v>
      </c>
      <c r="D622" s="16">
        <v>0.26698</v>
      </c>
      <c r="E622" s="16">
        <v>0.29634000000000005</v>
      </c>
      <c r="F622" s="17">
        <v>0.23814000000000002</v>
      </c>
      <c r="G622" s="18">
        <v>459.93</v>
      </c>
      <c r="H622" s="18">
        <v>182.48</v>
      </c>
      <c r="I622" s="18">
        <v>459.93</v>
      </c>
      <c r="J622" s="53">
        <v>56.11</v>
      </c>
    </row>
    <row r="623" spans="1:10" ht="17.25" customHeight="1" x14ac:dyDescent="0.25">
      <c r="A623" s="4">
        <v>254</v>
      </c>
      <c r="B623" s="5" t="s">
        <v>137</v>
      </c>
      <c r="C623" s="5" t="s">
        <v>138</v>
      </c>
      <c r="D623" s="16">
        <v>0.27669999999999995</v>
      </c>
      <c r="E623" s="16">
        <v>0.27800000000000002</v>
      </c>
      <c r="F623" s="17">
        <v>0.28570999999999991</v>
      </c>
      <c r="G623" s="18">
        <v>446.33</v>
      </c>
      <c r="H623" s="18">
        <v>153.76</v>
      </c>
      <c r="I623" s="18">
        <v>446.33</v>
      </c>
      <c r="J623" s="53">
        <v>54.09</v>
      </c>
    </row>
    <row r="624" spans="1:10" ht="17.25" customHeight="1" x14ac:dyDescent="0.25">
      <c r="A624" s="4">
        <v>703</v>
      </c>
      <c r="B624" s="5" t="s">
        <v>1698</v>
      </c>
      <c r="C624" s="5" t="s">
        <v>1699</v>
      </c>
      <c r="D624" s="16">
        <v>0.2759100000000001</v>
      </c>
      <c r="E624" s="16">
        <v>0.27198999999999995</v>
      </c>
      <c r="F624" s="17">
        <v>0.28570999999999991</v>
      </c>
      <c r="G624" s="18">
        <v>604.29999999999995</v>
      </c>
      <c r="H624" s="18">
        <v>265.14999999999998</v>
      </c>
      <c r="I624" s="18">
        <v>604.29999999999995</v>
      </c>
      <c r="J624" s="53">
        <v>98.19</v>
      </c>
    </row>
    <row r="625" spans="1:10" ht="17.25" customHeight="1" x14ac:dyDescent="0.25">
      <c r="A625" s="4">
        <v>550</v>
      </c>
      <c r="B625" s="5" t="s">
        <v>452</v>
      </c>
      <c r="C625" s="5" t="s">
        <v>453</v>
      </c>
      <c r="D625" s="16">
        <v>0.27376</v>
      </c>
      <c r="E625" s="16">
        <v>0.2740800000000001</v>
      </c>
      <c r="F625" s="17">
        <v>0.28510999999999997</v>
      </c>
      <c r="G625" s="18">
        <v>553.54</v>
      </c>
      <c r="H625" s="18">
        <v>279.69</v>
      </c>
      <c r="I625" s="18">
        <v>553.54</v>
      </c>
      <c r="J625" s="53">
        <v>84.16</v>
      </c>
    </row>
    <row r="626" spans="1:10" ht="17.25" customHeight="1" x14ac:dyDescent="0.25">
      <c r="A626" s="4">
        <v>571</v>
      </c>
      <c r="B626" s="5" t="s">
        <v>466</v>
      </c>
      <c r="C626" s="5" t="s">
        <v>468</v>
      </c>
      <c r="D626" s="16">
        <v>0.29681000000000002</v>
      </c>
      <c r="E626" s="16">
        <v>0.24340000000000006</v>
      </c>
      <c r="F626" s="17">
        <v>0.28570000000000007</v>
      </c>
      <c r="G626" s="18">
        <v>625.15</v>
      </c>
      <c r="H626" s="18">
        <v>296.60000000000002</v>
      </c>
      <c r="I626" s="18">
        <v>625.15</v>
      </c>
      <c r="J626" s="53">
        <v>100.16</v>
      </c>
    </row>
    <row r="627" spans="1:10" ht="17.25" customHeight="1" x14ac:dyDescent="0.25">
      <c r="A627" s="4">
        <v>536</v>
      </c>
      <c r="B627" s="5" t="s">
        <v>436</v>
      </c>
      <c r="C627" s="5" t="s">
        <v>437</v>
      </c>
      <c r="D627" s="16">
        <v>0.31557999999999997</v>
      </c>
      <c r="E627" s="16">
        <v>0.27183000000000002</v>
      </c>
      <c r="F627" s="17">
        <v>0.27167000000000008</v>
      </c>
      <c r="G627" s="18">
        <v>629.15</v>
      </c>
      <c r="H627" s="18">
        <v>242</v>
      </c>
      <c r="I627" s="18">
        <v>629.15</v>
      </c>
      <c r="J627" s="53">
        <v>98.14</v>
      </c>
    </row>
    <row r="628" spans="1:10" ht="17.25" customHeight="1" x14ac:dyDescent="0.25">
      <c r="A628" s="4">
        <v>549</v>
      </c>
      <c r="B628" s="5" t="s">
        <v>450</v>
      </c>
      <c r="C628" s="5" t="s">
        <v>451</v>
      </c>
      <c r="D628" s="16">
        <v>0.30678000000000005</v>
      </c>
      <c r="E628" s="16">
        <v>0.29099999999999993</v>
      </c>
      <c r="F628" s="17">
        <v>0.28570999999999991</v>
      </c>
      <c r="G628" s="18">
        <v>715</v>
      </c>
      <c r="H628" s="18">
        <v>363.15</v>
      </c>
      <c r="I628" s="18">
        <v>715</v>
      </c>
      <c r="J628" s="53">
        <v>113.16</v>
      </c>
    </row>
    <row r="629" spans="1:10" ht="17.25" customHeight="1" x14ac:dyDescent="0.25">
      <c r="A629" s="4">
        <v>528</v>
      </c>
      <c r="B629" s="5" t="s">
        <v>426</v>
      </c>
      <c r="C629" s="5" t="s">
        <v>430</v>
      </c>
      <c r="D629" s="16">
        <v>0.28235999999999994</v>
      </c>
      <c r="E629" s="16">
        <v>0.27160999999999991</v>
      </c>
      <c r="F629" s="17">
        <v>0.28570999999999991</v>
      </c>
      <c r="G629" s="18">
        <v>560.4</v>
      </c>
      <c r="H629" s="18">
        <v>169.67</v>
      </c>
      <c r="I629" s="18">
        <v>560.4</v>
      </c>
      <c r="J629" s="53">
        <v>82.14</v>
      </c>
    </row>
    <row r="630" spans="1:10" ht="17.25" customHeight="1" x14ac:dyDescent="0.25">
      <c r="A630" s="4">
        <v>585</v>
      </c>
      <c r="B630" s="5" t="s">
        <v>474</v>
      </c>
      <c r="C630" s="5" t="s">
        <v>477</v>
      </c>
      <c r="D630" s="16">
        <v>0.32637000000000005</v>
      </c>
      <c r="E630" s="16">
        <v>0.26309000000000005</v>
      </c>
      <c r="F630" s="17">
        <v>0.28570999999999991</v>
      </c>
      <c r="G630" s="18">
        <v>685</v>
      </c>
      <c r="H630" s="18">
        <v>253.15</v>
      </c>
      <c r="I630" s="18">
        <v>685</v>
      </c>
      <c r="J630" s="53">
        <v>116.16</v>
      </c>
    </row>
    <row r="631" spans="1:10" ht="17.25" customHeight="1" x14ac:dyDescent="0.25">
      <c r="A631" s="4">
        <v>594</v>
      </c>
      <c r="B631" s="5" t="s">
        <v>486</v>
      </c>
      <c r="C631" s="5" t="s">
        <v>487</v>
      </c>
      <c r="D631" s="16">
        <v>0.27550999999999992</v>
      </c>
      <c r="E631" s="16">
        <v>0.25517000000000012</v>
      </c>
      <c r="F631" s="17">
        <v>0.27069999999999994</v>
      </c>
      <c r="G631" s="18">
        <v>615</v>
      </c>
      <c r="H631" s="18">
        <v>255.45</v>
      </c>
      <c r="I631" s="18">
        <v>615</v>
      </c>
      <c r="J631" s="53">
        <v>99.17</v>
      </c>
    </row>
    <row r="632" spans="1:10" ht="17.25" customHeight="1" x14ac:dyDescent="0.25">
      <c r="A632" s="4">
        <v>1147</v>
      </c>
      <c r="B632" s="5" t="s">
        <v>875</v>
      </c>
      <c r="C632" s="5" t="s">
        <v>876</v>
      </c>
      <c r="D632" s="16">
        <v>0.29085000000000005</v>
      </c>
      <c r="E632" s="16">
        <v>0.25099999999999989</v>
      </c>
      <c r="F632" s="17">
        <v>0.32272999999999996</v>
      </c>
      <c r="G632" s="18">
        <v>744</v>
      </c>
      <c r="H632" s="18">
        <v>280.14</v>
      </c>
      <c r="I632" s="18">
        <v>744</v>
      </c>
      <c r="J632" s="53">
        <v>160.25</v>
      </c>
    </row>
    <row r="633" spans="1:10" ht="17.25" customHeight="1" x14ac:dyDescent="0.25">
      <c r="A633" s="4">
        <v>697</v>
      </c>
      <c r="B633" s="5" t="s">
        <v>587</v>
      </c>
      <c r="C633" s="5" t="s">
        <v>588</v>
      </c>
      <c r="D633" s="16">
        <v>0.33491999999999988</v>
      </c>
      <c r="E633" s="16">
        <v>0.24639999999999995</v>
      </c>
      <c r="F633" s="17">
        <v>0.28570000000000007</v>
      </c>
      <c r="G633" s="18">
        <v>633</v>
      </c>
      <c r="H633" s="18">
        <v>193</v>
      </c>
      <c r="I633" s="18">
        <v>633</v>
      </c>
      <c r="J633" s="53">
        <v>125.17</v>
      </c>
    </row>
    <row r="634" spans="1:10" ht="17.25" customHeight="1" x14ac:dyDescent="0.25">
      <c r="A634" s="4">
        <v>803</v>
      </c>
      <c r="B634" s="5" t="s">
        <v>617</v>
      </c>
      <c r="C634" s="5" t="s">
        <v>618</v>
      </c>
      <c r="D634" s="16">
        <v>0.27790000000000004</v>
      </c>
      <c r="E634" s="16">
        <v>0.27099999999999991</v>
      </c>
      <c r="F634" s="17">
        <v>0.28570999999999991</v>
      </c>
      <c r="G634" s="18">
        <v>647.20000000000005</v>
      </c>
      <c r="H634" s="18">
        <v>287.60000000000002</v>
      </c>
      <c r="I634" s="18">
        <v>647.20000000000005</v>
      </c>
      <c r="J634" s="53">
        <v>112.21</v>
      </c>
    </row>
    <row r="635" spans="1:10" ht="17.25" customHeight="1" x14ac:dyDescent="0.25">
      <c r="A635" s="4">
        <v>361</v>
      </c>
      <c r="B635" s="5" t="s">
        <v>253</v>
      </c>
      <c r="C635" s="5" t="s">
        <v>254</v>
      </c>
      <c r="D635" s="16">
        <v>0.29309999999999992</v>
      </c>
      <c r="E635" s="16">
        <v>0.27553000000000005</v>
      </c>
      <c r="F635" s="17">
        <v>0.28570999999999991</v>
      </c>
      <c r="G635" s="18">
        <v>507</v>
      </c>
      <c r="H635" s="18">
        <v>188.15</v>
      </c>
      <c r="I635" s="18">
        <v>507</v>
      </c>
      <c r="J635" s="53">
        <v>66.099999999999994</v>
      </c>
    </row>
    <row r="636" spans="1:10" ht="17.25" customHeight="1" x14ac:dyDescent="0.25">
      <c r="A636" s="4">
        <v>403</v>
      </c>
      <c r="B636" s="5" t="s">
        <v>305</v>
      </c>
      <c r="C636" s="5" t="s">
        <v>306</v>
      </c>
      <c r="D636" s="16">
        <v>0.27235999999999994</v>
      </c>
      <c r="E636" s="16">
        <v>0.27246999999999999</v>
      </c>
      <c r="F636" s="17">
        <v>0.28570999999999991</v>
      </c>
      <c r="G636" s="18">
        <v>511.76</v>
      </c>
      <c r="H636" s="18">
        <v>179.31</v>
      </c>
      <c r="I636" s="18">
        <v>511.76</v>
      </c>
      <c r="J636" s="53">
        <v>70.13</v>
      </c>
    </row>
    <row r="637" spans="1:10" ht="17.25" customHeight="1" x14ac:dyDescent="0.25">
      <c r="A637" s="4">
        <v>430</v>
      </c>
      <c r="B637" s="5" t="s">
        <v>333</v>
      </c>
      <c r="C637" s="5" t="s">
        <v>335</v>
      </c>
      <c r="D637" s="16">
        <v>0.32909999999999995</v>
      </c>
      <c r="E637" s="16">
        <v>0.27600000000000002</v>
      </c>
      <c r="F637" s="17">
        <v>0.28570999999999991</v>
      </c>
      <c r="G637" s="18">
        <v>629</v>
      </c>
      <c r="H637" s="18">
        <v>155.38999999999999</v>
      </c>
      <c r="I637" s="18">
        <v>629</v>
      </c>
      <c r="J637" s="53">
        <v>102.2</v>
      </c>
    </row>
    <row r="638" spans="1:10" ht="17.25" customHeight="1" x14ac:dyDescent="0.25">
      <c r="A638" s="4">
        <v>388</v>
      </c>
      <c r="B638" s="5" t="s">
        <v>286</v>
      </c>
      <c r="C638" s="5" t="s">
        <v>287</v>
      </c>
      <c r="D638" s="16">
        <v>0.32604999999999995</v>
      </c>
      <c r="E638" s="16">
        <v>0.27181999999999995</v>
      </c>
      <c r="F638" s="17">
        <v>0.31333999999999995</v>
      </c>
      <c r="G638" s="18">
        <v>626</v>
      </c>
      <c r="H638" s="18">
        <v>221.85</v>
      </c>
      <c r="I638" s="18">
        <v>626</v>
      </c>
      <c r="J638" s="53">
        <v>84.12</v>
      </c>
    </row>
    <row r="639" spans="1:10" ht="17.25" customHeight="1" x14ac:dyDescent="0.25">
      <c r="A639" s="4">
        <v>374</v>
      </c>
      <c r="B639" s="5" t="s">
        <v>272</v>
      </c>
      <c r="C639" s="5" t="s">
        <v>273</v>
      </c>
      <c r="D639" s="16">
        <v>0.28147999999999995</v>
      </c>
      <c r="E639" s="16">
        <v>0.27498</v>
      </c>
      <c r="F639" s="17">
        <v>0.28570999999999991</v>
      </c>
      <c r="G639" s="18">
        <v>507</v>
      </c>
      <c r="H639" s="18">
        <v>138.13</v>
      </c>
      <c r="I639" s="18">
        <v>507</v>
      </c>
      <c r="J639" s="53">
        <v>68.12</v>
      </c>
    </row>
    <row r="640" spans="1:10" ht="17.25" customHeight="1" x14ac:dyDescent="0.25">
      <c r="A640" s="4">
        <v>173</v>
      </c>
      <c r="B640" s="5" t="s">
        <v>32</v>
      </c>
      <c r="C640" s="5" t="s">
        <v>33</v>
      </c>
      <c r="D640" s="16">
        <v>0.25879999999999992</v>
      </c>
      <c r="E640" s="16">
        <v>0.27400000000000002</v>
      </c>
      <c r="F640" s="17">
        <v>0.28570999999999991</v>
      </c>
      <c r="G640" s="18">
        <v>397.91</v>
      </c>
      <c r="H640" s="18">
        <v>145.72999999999999</v>
      </c>
      <c r="I640" s="18">
        <v>397.91</v>
      </c>
      <c r="J640" s="53">
        <v>42.08</v>
      </c>
    </row>
    <row r="641" spans="1:10" ht="17.25" customHeight="1" x14ac:dyDescent="0.25">
      <c r="A641" s="4">
        <v>236</v>
      </c>
      <c r="B641" s="5" t="s">
        <v>110</v>
      </c>
      <c r="C641" s="5" t="s">
        <v>111</v>
      </c>
      <c r="D641" s="16">
        <v>0.59730000000000016</v>
      </c>
      <c r="E641" s="16">
        <v>0.25600000000000001</v>
      </c>
      <c r="F641" s="17">
        <v>0.2669999999999999</v>
      </c>
      <c r="G641" s="18">
        <v>386.35</v>
      </c>
      <c r="H641" s="18">
        <v>144.94999999999999</v>
      </c>
      <c r="I641" s="18">
        <v>386.35</v>
      </c>
      <c r="J641" s="53">
        <v>238.03</v>
      </c>
    </row>
    <row r="642" spans="1:10" ht="17.25" customHeight="1" x14ac:dyDescent="0.25">
      <c r="A642" s="4">
        <v>1348</v>
      </c>
      <c r="B642" s="21" t="s">
        <v>1955</v>
      </c>
      <c r="C642" s="21" t="s">
        <v>1849</v>
      </c>
      <c r="D642" s="16">
        <v>0.20750000000000002</v>
      </c>
      <c r="E642" s="16">
        <v>0.19199999999999995</v>
      </c>
      <c r="F642" s="17">
        <v>0.28570999999999991</v>
      </c>
      <c r="G642" s="18">
        <v>820.08</v>
      </c>
      <c r="H642" s="18">
        <v>259.16000000000003</v>
      </c>
      <c r="I642" s="18">
        <v>820.08</v>
      </c>
      <c r="J642" s="53">
        <v>346.68</v>
      </c>
    </row>
    <row r="643" spans="1:10" ht="17.25" customHeight="1" x14ac:dyDescent="0.25">
      <c r="A643" s="4">
        <v>1170</v>
      </c>
      <c r="B643" s="5" t="s">
        <v>897</v>
      </c>
      <c r="C643" s="5" t="s">
        <v>899</v>
      </c>
      <c r="D643" s="16">
        <v>0.23280000000000012</v>
      </c>
      <c r="E643" s="16">
        <v>0.22500000000000009</v>
      </c>
      <c r="F643" s="17">
        <v>0.28570999999999991</v>
      </c>
      <c r="G643" s="18">
        <v>733.68</v>
      </c>
      <c r="H643" s="18">
        <v>259.16000000000003</v>
      </c>
      <c r="I643" s="18">
        <v>733.68</v>
      </c>
      <c r="J643" s="53">
        <v>202.4</v>
      </c>
    </row>
    <row r="644" spans="1:10" ht="17.25" customHeight="1" x14ac:dyDescent="0.25">
      <c r="A644" s="4">
        <v>1120</v>
      </c>
      <c r="B644" s="5" t="s">
        <v>840</v>
      </c>
      <c r="C644" s="5" t="s">
        <v>843</v>
      </c>
      <c r="D644" s="16">
        <v>0.24019999999999997</v>
      </c>
      <c r="E644" s="16">
        <v>0.23199999999999998</v>
      </c>
      <c r="F644" s="17">
        <v>0.28570999999999991</v>
      </c>
      <c r="G644" s="18">
        <v>717.91</v>
      </c>
      <c r="H644" s="18">
        <v>254.66</v>
      </c>
      <c r="I644" s="18">
        <v>717.91</v>
      </c>
      <c r="J644" s="53">
        <v>188.37</v>
      </c>
    </row>
    <row r="645" spans="1:10" ht="17.25" customHeight="1" x14ac:dyDescent="0.25">
      <c r="A645" s="4">
        <v>1197</v>
      </c>
      <c r="B645" s="5" t="s">
        <v>933</v>
      </c>
      <c r="C645" s="5" t="s">
        <v>935</v>
      </c>
      <c r="D645" s="16">
        <v>0.22649999999999992</v>
      </c>
      <c r="E645" s="16">
        <v>0.21900000000000008</v>
      </c>
      <c r="F645" s="17">
        <v>0.28570999999999991</v>
      </c>
      <c r="G645" s="18">
        <v>748.42</v>
      </c>
      <c r="H645" s="18">
        <v>271.16000000000003</v>
      </c>
      <c r="I645" s="18">
        <v>748.42</v>
      </c>
      <c r="J645" s="53">
        <v>216.43</v>
      </c>
    </row>
    <row r="646" spans="1:10" ht="17.25" customHeight="1" x14ac:dyDescent="0.25">
      <c r="A646" s="4">
        <v>1343</v>
      </c>
      <c r="B646" s="21" t="s">
        <v>1100</v>
      </c>
      <c r="C646" s="21" t="s">
        <v>1102</v>
      </c>
      <c r="D646" s="16">
        <v>0.2601</v>
      </c>
      <c r="E646" s="16">
        <v>0.17900000000000005</v>
      </c>
      <c r="F646" s="17">
        <v>0.28570999999999991</v>
      </c>
      <c r="G646" s="18">
        <v>832.33</v>
      </c>
      <c r="H646" s="18">
        <v>308.16000000000003</v>
      </c>
      <c r="I646" s="18">
        <v>832.33</v>
      </c>
      <c r="J646" s="53">
        <v>314.61</v>
      </c>
    </row>
    <row r="647" spans="1:10" ht="17.25" customHeight="1" x14ac:dyDescent="0.25">
      <c r="A647" s="4">
        <v>1334</v>
      </c>
      <c r="B647" s="21" t="s">
        <v>1951</v>
      </c>
      <c r="C647" s="21" t="s">
        <v>1843</v>
      </c>
      <c r="D647" s="23">
        <v>0.27912000000000003</v>
      </c>
      <c r="E647" s="23">
        <v>0.24231000000000003</v>
      </c>
      <c r="F647" s="24">
        <v>0.28570999999999991</v>
      </c>
      <c r="G647" s="25">
        <v>863</v>
      </c>
      <c r="H647" s="25">
        <v>317.64999999999998</v>
      </c>
      <c r="I647" s="18">
        <v>863</v>
      </c>
      <c r="J647" s="53">
        <v>285.47000000000003</v>
      </c>
    </row>
    <row r="648" spans="1:10" ht="17.25" customHeight="1" x14ac:dyDescent="0.25">
      <c r="A648" s="4">
        <v>586</v>
      </c>
      <c r="B648" s="5" t="s">
        <v>474</v>
      </c>
      <c r="C648" s="5" t="s">
        <v>478</v>
      </c>
      <c r="D648" s="16">
        <v>0.30017000000000005</v>
      </c>
      <c r="E648" s="16">
        <v>0.26031000000000004</v>
      </c>
      <c r="F648" s="17">
        <v>0.2511000000000001</v>
      </c>
      <c r="G648" s="18">
        <v>606</v>
      </c>
      <c r="H648" s="18">
        <v>229.15</v>
      </c>
      <c r="I648" s="18">
        <v>606</v>
      </c>
      <c r="J648" s="53">
        <v>116.16</v>
      </c>
    </row>
    <row r="649" spans="1:10" ht="17.25" customHeight="1" x14ac:dyDescent="0.25">
      <c r="A649" s="4">
        <v>973</v>
      </c>
      <c r="B649" s="5" t="s">
        <v>2271</v>
      </c>
      <c r="C649" s="5" t="s">
        <v>707</v>
      </c>
      <c r="D649" s="16">
        <v>0.32384000000000013</v>
      </c>
      <c r="E649" s="16">
        <v>0.24500000000000011</v>
      </c>
      <c r="F649" s="17">
        <v>0.28570999999999991</v>
      </c>
      <c r="G649" s="18">
        <v>693</v>
      </c>
      <c r="H649" s="18">
        <v>226.15</v>
      </c>
      <c r="I649" s="18">
        <v>693</v>
      </c>
      <c r="J649" s="53">
        <v>196.2</v>
      </c>
    </row>
    <row r="650" spans="1:10" ht="17.25" customHeight="1" x14ac:dyDescent="0.25">
      <c r="A650" s="4">
        <v>1123</v>
      </c>
      <c r="B650" s="5" t="s">
        <v>846</v>
      </c>
      <c r="C650" s="5" t="s">
        <v>847</v>
      </c>
      <c r="D650" s="16">
        <v>0.31555</v>
      </c>
      <c r="E650" s="16">
        <v>0.22920000000000007</v>
      </c>
      <c r="F650" s="17">
        <v>0.29449999999999998</v>
      </c>
      <c r="G650" s="18">
        <v>837.8</v>
      </c>
      <c r="H650" s="18">
        <v>355.65</v>
      </c>
      <c r="I650" s="18">
        <v>837.8</v>
      </c>
      <c r="J650" s="53">
        <v>168.19</v>
      </c>
    </row>
    <row r="651" spans="1:10" ht="17.25" customHeight="1" x14ac:dyDescent="0.25">
      <c r="A651" s="4">
        <v>1124</v>
      </c>
      <c r="B651" s="5" t="s">
        <v>848</v>
      </c>
      <c r="C651" s="5" t="s">
        <v>849</v>
      </c>
      <c r="D651" s="16">
        <v>0.34726999999999997</v>
      </c>
      <c r="E651" s="16">
        <v>0.20999999999999996</v>
      </c>
      <c r="F651" s="17">
        <v>0.28570999999999991</v>
      </c>
      <c r="G651" s="18">
        <v>899</v>
      </c>
      <c r="H651" s="18">
        <v>517.95000000000005</v>
      </c>
      <c r="I651" s="18">
        <v>899</v>
      </c>
      <c r="J651" s="53">
        <v>167.21</v>
      </c>
    </row>
    <row r="652" spans="1:10" ht="17.25" customHeight="1" x14ac:dyDescent="0.25">
      <c r="A652" s="4">
        <v>1210</v>
      </c>
      <c r="B652" s="5" t="s">
        <v>950</v>
      </c>
      <c r="C652" s="5" t="s">
        <v>951</v>
      </c>
      <c r="D652" s="16">
        <v>0.31275999999999993</v>
      </c>
      <c r="E652" s="16">
        <v>0.25119999999999987</v>
      </c>
      <c r="F652" s="17">
        <v>0.28570000000000007</v>
      </c>
      <c r="G652" s="18">
        <v>777</v>
      </c>
      <c r="H652" s="18">
        <v>276.75</v>
      </c>
      <c r="I652" s="18">
        <v>777</v>
      </c>
      <c r="J652" s="53">
        <v>198.26</v>
      </c>
    </row>
    <row r="653" spans="1:10" ht="17.25" customHeight="1" x14ac:dyDescent="0.25">
      <c r="A653" s="4">
        <v>4</v>
      </c>
      <c r="B653" s="5" t="s">
        <v>1457</v>
      </c>
      <c r="C653" s="5" t="s">
        <v>1458</v>
      </c>
      <c r="D653" s="16">
        <v>0.84263999999999983</v>
      </c>
      <c r="E653" s="16">
        <v>0.27720999999999996</v>
      </c>
      <c r="F653" s="17">
        <v>0.26256000000000013</v>
      </c>
      <c r="G653" s="18">
        <v>478</v>
      </c>
      <c r="H653" s="18">
        <v>163.05000000000001</v>
      </c>
      <c r="I653" s="18">
        <v>478</v>
      </c>
      <c r="J653" s="53">
        <v>209.82</v>
      </c>
    </row>
    <row r="654" spans="1:10" ht="17.25" customHeight="1" x14ac:dyDescent="0.25">
      <c r="A654" s="4">
        <v>22</v>
      </c>
      <c r="B654" s="5" t="s">
        <v>1486</v>
      </c>
      <c r="C654" s="5" t="s">
        <v>1487</v>
      </c>
      <c r="D654" s="16">
        <v>0.77951000000000015</v>
      </c>
      <c r="E654" s="16">
        <v>0.24834000000000001</v>
      </c>
      <c r="F654" s="17">
        <v>0.27583000000000002</v>
      </c>
      <c r="G654" s="18">
        <v>611</v>
      </c>
      <c r="H654" s="18">
        <v>220.6</v>
      </c>
      <c r="I654" s="18">
        <v>611</v>
      </c>
      <c r="J654" s="53">
        <v>173.83</v>
      </c>
    </row>
    <row r="655" spans="1:10" ht="17.25" customHeight="1" x14ac:dyDescent="0.25">
      <c r="A655" s="4">
        <v>1155</v>
      </c>
      <c r="B655" s="5" t="s">
        <v>2272</v>
      </c>
      <c r="C655" s="5" t="s">
        <v>882</v>
      </c>
      <c r="D655" s="16">
        <v>0.31750999999999996</v>
      </c>
      <c r="E655" s="16">
        <v>0.2611699999999999</v>
      </c>
      <c r="F655" s="17">
        <v>0.3073999999999999</v>
      </c>
      <c r="G655" s="18">
        <v>716</v>
      </c>
      <c r="H655" s="18">
        <v>188.15</v>
      </c>
      <c r="I655" s="18">
        <v>716</v>
      </c>
      <c r="J655" s="53">
        <v>228.28</v>
      </c>
    </row>
    <row r="656" spans="1:10" ht="17.25" customHeight="1" x14ac:dyDescent="0.25">
      <c r="A656" s="4">
        <v>1256</v>
      </c>
      <c r="B656" s="5" t="s">
        <v>2273</v>
      </c>
      <c r="C656" s="5" t="s">
        <v>1009</v>
      </c>
      <c r="D656" s="16">
        <v>0.32901000000000002</v>
      </c>
      <c r="E656" s="16">
        <v>0.25147999999999993</v>
      </c>
      <c r="F656" s="17">
        <v>0.37366999999999995</v>
      </c>
      <c r="G656" s="18">
        <v>781</v>
      </c>
      <c r="H656" s="18">
        <v>238.15</v>
      </c>
      <c r="I656" s="18">
        <v>781</v>
      </c>
      <c r="J656" s="53">
        <v>278.33999999999997</v>
      </c>
    </row>
    <row r="657" spans="1:10" ht="17.25" customHeight="1" x14ac:dyDescent="0.25">
      <c r="A657" s="4">
        <v>1300</v>
      </c>
      <c r="B657" s="5" t="s">
        <v>2243</v>
      </c>
      <c r="C657" s="5" t="s">
        <v>1058</v>
      </c>
      <c r="D657" s="16">
        <v>0.29949000000000003</v>
      </c>
      <c r="E657" s="16">
        <v>0.25465999999999989</v>
      </c>
      <c r="F657" s="17">
        <v>0.37851999999999997</v>
      </c>
      <c r="G657" s="18">
        <v>768</v>
      </c>
      <c r="H657" s="18">
        <v>263.95</v>
      </c>
      <c r="I657" s="18">
        <v>768</v>
      </c>
      <c r="J657" s="53">
        <v>314.45999999999998</v>
      </c>
    </row>
    <row r="658" spans="1:10" ht="17.25" customHeight="1" x14ac:dyDescent="0.25">
      <c r="A658" s="6">
        <v>78</v>
      </c>
      <c r="B658" s="5" t="s">
        <v>1574</v>
      </c>
      <c r="C658" s="5" t="s">
        <v>1576</v>
      </c>
      <c r="D658" s="16">
        <v>0.47707999999999995</v>
      </c>
      <c r="E658" s="16">
        <v>0.25395000000000012</v>
      </c>
      <c r="F658" s="17">
        <v>0.28570999999999991</v>
      </c>
      <c r="G658" s="18">
        <v>555</v>
      </c>
      <c r="H658" s="18">
        <v>223</v>
      </c>
      <c r="I658" s="18">
        <v>555</v>
      </c>
      <c r="J658" s="53">
        <v>112.94</v>
      </c>
    </row>
    <row r="659" spans="1:10" ht="17.25" customHeight="1" x14ac:dyDescent="0.25">
      <c r="A659" s="4">
        <v>79</v>
      </c>
      <c r="B659" s="5" t="s">
        <v>1577</v>
      </c>
      <c r="C659" s="5" t="s">
        <v>1578</v>
      </c>
      <c r="D659" s="16">
        <v>0.48655999999999988</v>
      </c>
      <c r="E659" s="16">
        <v>0.24720000000000009</v>
      </c>
      <c r="F659" s="17">
        <v>0.3254999999999999</v>
      </c>
      <c r="G659" s="18">
        <v>686</v>
      </c>
      <c r="H659" s="18">
        <v>286.55</v>
      </c>
      <c r="I659" s="18">
        <v>686</v>
      </c>
      <c r="J659" s="53">
        <v>128.94</v>
      </c>
    </row>
    <row r="660" spans="1:10" ht="17.25" customHeight="1" x14ac:dyDescent="0.25">
      <c r="A660" s="4">
        <v>66</v>
      </c>
      <c r="B660" s="5" t="s">
        <v>1557</v>
      </c>
      <c r="C660" s="5" t="s">
        <v>1558</v>
      </c>
      <c r="D660" s="16">
        <v>0.52330999999999994</v>
      </c>
      <c r="E660" s="16">
        <v>0.26970000000000005</v>
      </c>
      <c r="F660" s="17">
        <v>0.28570000000000007</v>
      </c>
      <c r="G660" s="18">
        <v>579</v>
      </c>
      <c r="H660" s="18">
        <v>298.14999999999998</v>
      </c>
      <c r="I660" s="18">
        <v>579</v>
      </c>
      <c r="J660" s="53">
        <v>147.38999999999999</v>
      </c>
    </row>
    <row r="661" spans="1:10" ht="17.25" customHeight="1" x14ac:dyDescent="0.25">
      <c r="A661" s="4">
        <v>7</v>
      </c>
      <c r="B661" s="5" t="s">
        <v>1462</v>
      </c>
      <c r="C661" s="5" t="s">
        <v>1463</v>
      </c>
      <c r="D661" s="16">
        <v>0.57494000000000001</v>
      </c>
      <c r="E661" s="16">
        <v>0.27879999999999994</v>
      </c>
      <c r="F661" s="17">
        <v>0.29649999999999999</v>
      </c>
      <c r="G661" s="18">
        <v>384.95</v>
      </c>
      <c r="H661" s="18">
        <v>115.15</v>
      </c>
      <c r="I661" s="18">
        <v>384.95</v>
      </c>
      <c r="J661" s="53">
        <v>120.91</v>
      </c>
    </row>
    <row r="662" spans="1:10" ht="17.25" customHeight="1" x14ac:dyDescent="0.25">
      <c r="A662" s="4">
        <v>15</v>
      </c>
      <c r="B662" s="5" t="s">
        <v>2274</v>
      </c>
      <c r="C662" s="5" t="s">
        <v>1477</v>
      </c>
      <c r="D662" s="16">
        <v>0.52414000000000005</v>
      </c>
      <c r="E662" s="16">
        <v>0.27110000000000012</v>
      </c>
      <c r="F662" s="17">
        <v>0.28570999999999991</v>
      </c>
      <c r="G662" s="18">
        <v>451.58</v>
      </c>
      <c r="H662" s="18">
        <v>138.15</v>
      </c>
      <c r="I662" s="18">
        <v>451.58</v>
      </c>
      <c r="J662" s="53">
        <v>102.92</v>
      </c>
    </row>
    <row r="663" spans="1:10" ht="17.25" customHeight="1" x14ac:dyDescent="0.25">
      <c r="A663" s="4">
        <v>24</v>
      </c>
      <c r="B663" s="5" t="s">
        <v>1489</v>
      </c>
      <c r="C663" s="5" t="s">
        <v>1490</v>
      </c>
      <c r="D663" s="16">
        <v>0.45964999999999989</v>
      </c>
      <c r="E663" s="16">
        <v>0.25678000000000001</v>
      </c>
      <c r="F663" s="17">
        <v>0.29020000000000001</v>
      </c>
      <c r="G663" s="18">
        <v>510</v>
      </c>
      <c r="H663" s="18">
        <v>178.01</v>
      </c>
      <c r="I663" s="18">
        <v>510</v>
      </c>
      <c r="J663" s="53">
        <v>84.93</v>
      </c>
    </row>
    <row r="664" spans="1:10" ht="17.25" customHeight="1" x14ac:dyDescent="0.25">
      <c r="A664" s="4">
        <v>1294</v>
      </c>
      <c r="B664" s="5" t="s">
        <v>1048</v>
      </c>
      <c r="C664" s="5" t="s">
        <v>1049</v>
      </c>
      <c r="D664" s="16">
        <v>0.30963000000000007</v>
      </c>
      <c r="E664" s="16">
        <v>0.25899000000000005</v>
      </c>
      <c r="F664" s="17">
        <v>0.28570999999999991</v>
      </c>
      <c r="G664" s="18">
        <v>884</v>
      </c>
      <c r="H664" s="18">
        <v>311.14999999999998</v>
      </c>
      <c r="I664" s="18">
        <v>884</v>
      </c>
      <c r="J664" s="53">
        <v>270.37</v>
      </c>
    </row>
    <row r="665" spans="1:10" ht="17.25" customHeight="1" x14ac:dyDescent="0.25">
      <c r="A665" s="4">
        <v>1158</v>
      </c>
      <c r="B665" s="5" t="s">
        <v>886</v>
      </c>
      <c r="C665" s="5" t="s">
        <v>887</v>
      </c>
      <c r="D665" s="16">
        <v>0.29292000000000007</v>
      </c>
      <c r="E665" s="16">
        <v>0.26661000000000001</v>
      </c>
      <c r="F665" s="17">
        <v>0.29800000000000004</v>
      </c>
      <c r="G665" s="18">
        <v>737</v>
      </c>
      <c r="H665" s="18">
        <v>273.05</v>
      </c>
      <c r="I665" s="18">
        <v>737</v>
      </c>
      <c r="J665" s="53">
        <v>181.32</v>
      </c>
    </row>
    <row r="666" spans="1:10" ht="17.25" customHeight="1" x14ac:dyDescent="0.25">
      <c r="A666" s="4">
        <v>970</v>
      </c>
      <c r="B666" s="5" t="s">
        <v>702</v>
      </c>
      <c r="C666" s="5" t="s">
        <v>703</v>
      </c>
      <c r="D666" s="16">
        <v>0.29725000000000001</v>
      </c>
      <c r="E666" s="16">
        <v>0.248</v>
      </c>
      <c r="F666" s="17">
        <v>0.28570000000000007</v>
      </c>
      <c r="G666" s="18">
        <v>660</v>
      </c>
      <c r="H666" s="18">
        <v>307</v>
      </c>
      <c r="I666" s="18">
        <v>660</v>
      </c>
      <c r="J666" s="53">
        <v>132.19999999999999</v>
      </c>
    </row>
    <row r="667" spans="1:10" ht="17.25" customHeight="1" x14ac:dyDescent="0.25">
      <c r="A667" s="4">
        <v>353</v>
      </c>
      <c r="B667" s="5" t="s">
        <v>238</v>
      </c>
      <c r="C667" s="5" t="s">
        <v>239</v>
      </c>
      <c r="D667" s="16">
        <v>0.30126000000000008</v>
      </c>
      <c r="E667" s="16">
        <v>0.23967999999999989</v>
      </c>
      <c r="F667" s="17">
        <v>0.18920000000000003</v>
      </c>
      <c r="G667" s="18">
        <v>715</v>
      </c>
      <c r="H667" s="18">
        <v>301.14999999999998</v>
      </c>
      <c r="I667" s="18">
        <v>715</v>
      </c>
      <c r="J667" s="53">
        <v>105.14</v>
      </c>
    </row>
    <row r="668" spans="1:10" ht="17.25" customHeight="1" x14ac:dyDescent="0.25">
      <c r="A668" s="4">
        <v>427</v>
      </c>
      <c r="B668" s="5" t="s">
        <v>330</v>
      </c>
      <c r="C668" s="5" t="s">
        <v>331</v>
      </c>
      <c r="D668" s="16">
        <v>0.33184000000000013</v>
      </c>
      <c r="E668" s="16">
        <v>0.26669999999999994</v>
      </c>
      <c r="F668" s="17">
        <v>0.28570000000000007</v>
      </c>
      <c r="G668" s="18">
        <v>576</v>
      </c>
      <c r="H668" s="18">
        <v>230.15</v>
      </c>
      <c r="I668" s="18">
        <v>576</v>
      </c>
      <c r="J668" s="53">
        <v>118.13</v>
      </c>
    </row>
    <row r="669" spans="1:10" ht="17.25" customHeight="1" x14ac:dyDescent="0.25">
      <c r="A669" s="4">
        <v>346</v>
      </c>
      <c r="B669" s="5" t="s">
        <v>231</v>
      </c>
      <c r="C669" s="5" t="s">
        <v>232</v>
      </c>
      <c r="D669" s="16">
        <v>0.34156999999999993</v>
      </c>
      <c r="E669" s="16">
        <v>0.27763999999999989</v>
      </c>
      <c r="F669" s="17">
        <v>0.30059999999999998</v>
      </c>
      <c r="G669" s="18">
        <v>642</v>
      </c>
      <c r="H669" s="18">
        <v>171.63</v>
      </c>
      <c r="I669" s="18">
        <v>642</v>
      </c>
      <c r="J669" s="53">
        <v>122.25</v>
      </c>
    </row>
    <row r="670" spans="1:10" ht="17.25" customHeight="1" x14ac:dyDescent="0.25">
      <c r="A670" s="4">
        <v>327</v>
      </c>
      <c r="B670" s="5" t="s">
        <v>211</v>
      </c>
      <c r="C670" s="5" t="s">
        <v>212</v>
      </c>
      <c r="D670" s="16">
        <v>0.27266999999999997</v>
      </c>
      <c r="E670" s="16">
        <v>0.27607999999999988</v>
      </c>
      <c r="F670" s="17">
        <v>0.29357999999999995</v>
      </c>
      <c r="G670" s="18">
        <v>466.7</v>
      </c>
      <c r="H670" s="18">
        <v>156.85</v>
      </c>
      <c r="I670" s="18">
        <v>466.7</v>
      </c>
      <c r="J670" s="53">
        <v>74.12</v>
      </c>
    </row>
    <row r="671" spans="1:10" ht="17.25" customHeight="1" x14ac:dyDescent="0.25">
      <c r="A671" s="4">
        <v>414</v>
      </c>
      <c r="B671" s="5" t="s">
        <v>315</v>
      </c>
      <c r="C671" s="5" t="s">
        <v>318</v>
      </c>
      <c r="D671" s="16">
        <v>0.25635000000000008</v>
      </c>
      <c r="E671" s="16">
        <v>0.24290999999999996</v>
      </c>
      <c r="F671" s="17">
        <v>0.27363999999999988</v>
      </c>
      <c r="G671" s="18">
        <v>560.95000000000005</v>
      </c>
      <c r="H671" s="18">
        <v>234.18</v>
      </c>
      <c r="I671" s="18">
        <v>560.95000000000005</v>
      </c>
      <c r="J671" s="53">
        <v>86.13</v>
      </c>
    </row>
    <row r="672" spans="1:10" ht="17.25" customHeight="1" x14ac:dyDescent="0.25">
      <c r="A672" s="4">
        <v>799</v>
      </c>
      <c r="B672" s="5" t="s">
        <v>2231</v>
      </c>
      <c r="C672" s="5" t="s">
        <v>612</v>
      </c>
      <c r="D672" s="16">
        <v>0.33894000000000002</v>
      </c>
      <c r="E672" s="16">
        <v>0.28278000000000003</v>
      </c>
      <c r="F672" s="17">
        <v>0.33356999999999992</v>
      </c>
      <c r="G672" s="18">
        <v>680</v>
      </c>
      <c r="H672" s="18">
        <v>264.35000000000002</v>
      </c>
      <c r="I672" s="18">
        <v>680</v>
      </c>
      <c r="J672" s="53">
        <v>172.18</v>
      </c>
    </row>
    <row r="673" spans="1:10" ht="17.25" customHeight="1" x14ac:dyDescent="0.25">
      <c r="A673" s="4">
        <v>702</v>
      </c>
      <c r="B673" s="5" t="s">
        <v>2239</v>
      </c>
      <c r="C673" s="5" t="s">
        <v>593</v>
      </c>
      <c r="D673" s="16">
        <v>0.34150999999999998</v>
      </c>
      <c r="E673" s="16">
        <v>0.25618999999999992</v>
      </c>
      <c r="F673" s="17">
        <v>0.31611999999999996</v>
      </c>
      <c r="G673" s="18">
        <v>653</v>
      </c>
      <c r="H673" s="18">
        <v>224.25</v>
      </c>
      <c r="I673" s="18">
        <v>653</v>
      </c>
      <c r="J673" s="53">
        <v>160.16999999999999</v>
      </c>
    </row>
    <row r="674" spans="1:10" ht="17.25" customHeight="1" x14ac:dyDescent="0.25">
      <c r="A674" s="6">
        <v>544</v>
      </c>
      <c r="B674" s="5" t="s">
        <v>2255</v>
      </c>
      <c r="C674" s="5" t="s">
        <v>445</v>
      </c>
      <c r="D674" s="16">
        <v>0.35132000000000008</v>
      </c>
      <c r="E674" s="16">
        <v>0.25331999999999999</v>
      </c>
      <c r="F674" s="17">
        <v>0.33418999999999999</v>
      </c>
      <c r="G674" s="18">
        <v>646</v>
      </c>
      <c r="H674" s="18">
        <v>232.55</v>
      </c>
      <c r="I674" s="18">
        <v>646</v>
      </c>
      <c r="J674" s="53">
        <v>146.13999999999999</v>
      </c>
    </row>
    <row r="675" spans="1:10" ht="17.25" customHeight="1" x14ac:dyDescent="0.25">
      <c r="A675" s="4">
        <v>1146</v>
      </c>
      <c r="B675" s="5" t="s">
        <v>2232</v>
      </c>
      <c r="C675" s="5" t="s">
        <v>874</v>
      </c>
      <c r="D675" s="16">
        <v>0.34999000000000002</v>
      </c>
      <c r="E675" s="16">
        <v>0.25153999999999987</v>
      </c>
      <c r="F675" s="17">
        <v>0.35250000000000004</v>
      </c>
      <c r="G675" s="18">
        <v>757</v>
      </c>
      <c r="H675" s="18">
        <v>269.14999999999998</v>
      </c>
      <c r="I675" s="18">
        <v>757</v>
      </c>
      <c r="J675" s="53">
        <v>222.24</v>
      </c>
    </row>
    <row r="676" spans="1:10" ht="17.25" customHeight="1" x14ac:dyDescent="0.25">
      <c r="A676" s="4">
        <v>802</v>
      </c>
      <c r="B676" s="5" t="s">
        <v>2275</v>
      </c>
      <c r="C676" s="5" t="s">
        <v>616</v>
      </c>
      <c r="D676" s="16">
        <v>0.33369999999999989</v>
      </c>
      <c r="E676" s="16">
        <v>0.25863999999999998</v>
      </c>
      <c r="F676" s="17">
        <v>0.29522000000000004</v>
      </c>
      <c r="G676" s="18">
        <v>660</v>
      </c>
      <c r="H676" s="18">
        <v>252.35</v>
      </c>
      <c r="I676" s="18">
        <v>660</v>
      </c>
      <c r="J676" s="53">
        <v>174.19</v>
      </c>
    </row>
    <row r="677" spans="1:10" ht="17.25" customHeight="1" x14ac:dyDescent="0.25">
      <c r="A677" s="4">
        <v>338</v>
      </c>
      <c r="B677" s="5" t="s">
        <v>2276</v>
      </c>
      <c r="C677" s="5" t="s">
        <v>225</v>
      </c>
      <c r="D677" s="16">
        <v>0.38742999999999994</v>
      </c>
      <c r="E677" s="16">
        <v>0.26130999999999993</v>
      </c>
      <c r="F677" s="17">
        <v>0.40839999999999987</v>
      </c>
      <c r="G677" s="18">
        <v>792</v>
      </c>
      <c r="H677" s="18">
        <v>248</v>
      </c>
      <c r="I677" s="18">
        <v>792</v>
      </c>
      <c r="J677" s="53">
        <v>154.18</v>
      </c>
    </row>
    <row r="678" spans="1:10" ht="17.25" customHeight="1" x14ac:dyDescent="0.25">
      <c r="A678" s="4">
        <v>343</v>
      </c>
      <c r="B678" s="5" t="s">
        <v>226</v>
      </c>
      <c r="C678" s="5" t="s">
        <v>228</v>
      </c>
      <c r="D678" s="16">
        <v>0.28225999999999996</v>
      </c>
      <c r="E678" s="16">
        <v>0.26333000000000006</v>
      </c>
      <c r="F678" s="17">
        <v>0.27445000000000008</v>
      </c>
      <c r="G678" s="18">
        <v>557.15</v>
      </c>
      <c r="H678" s="18">
        <v>169.2</v>
      </c>
      <c r="I678" s="18">
        <v>557.15</v>
      </c>
      <c r="J678" s="53">
        <v>90.19</v>
      </c>
    </row>
    <row r="679" spans="1:10" ht="17.25" customHeight="1" x14ac:dyDescent="0.25">
      <c r="A679" s="4">
        <v>351</v>
      </c>
      <c r="B679" s="5" t="s">
        <v>233</v>
      </c>
      <c r="C679" s="5" t="s">
        <v>235</v>
      </c>
      <c r="D679" s="16">
        <v>0.24110999999999994</v>
      </c>
      <c r="E679" s="16">
        <v>0.25361999999999996</v>
      </c>
      <c r="F679" s="17">
        <v>0.27279999999999993</v>
      </c>
      <c r="G679" s="18">
        <v>496.6</v>
      </c>
      <c r="H679" s="18">
        <v>223.35</v>
      </c>
      <c r="I679" s="18">
        <v>496.6</v>
      </c>
      <c r="J679" s="53">
        <v>73.14</v>
      </c>
    </row>
    <row r="680" spans="1:10" ht="17.25" customHeight="1" x14ac:dyDescent="0.25">
      <c r="A680" s="4">
        <v>337</v>
      </c>
      <c r="B680" s="5" t="s">
        <v>223</v>
      </c>
      <c r="C680" s="5" t="s">
        <v>224</v>
      </c>
      <c r="D680" s="16">
        <v>0.34013000000000004</v>
      </c>
      <c r="E680" s="16">
        <v>0.26112000000000002</v>
      </c>
      <c r="F680" s="17">
        <v>0.24219999999999997</v>
      </c>
      <c r="G680" s="18">
        <v>744.6</v>
      </c>
      <c r="H680" s="18">
        <v>262.7</v>
      </c>
      <c r="I680" s="18">
        <v>744.6</v>
      </c>
      <c r="J680" s="53">
        <v>106.12</v>
      </c>
    </row>
    <row r="681" spans="1:10" ht="17.25" customHeight="1" x14ac:dyDescent="0.25">
      <c r="A681" s="4">
        <v>855</v>
      </c>
      <c r="B681" s="5" t="s">
        <v>658</v>
      </c>
      <c r="C681" s="5" t="s">
        <v>659</v>
      </c>
      <c r="D681" s="16">
        <v>0.29056999999999999</v>
      </c>
      <c r="E681" s="16">
        <v>0.25503999999999993</v>
      </c>
      <c r="F681" s="17">
        <v>0.28570000000000007</v>
      </c>
      <c r="G681" s="18">
        <v>624</v>
      </c>
      <c r="H681" s="18">
        <v>228.85</v>
      </c>
      <c r="I681" s="18">
        <v>624</v>
      </c>
      <c r="J681" s="53">
        <v>162.22999999999999</v>
      </c>
    </row>
    <row r="682" spans="1:10" ht="17.25" customHeight="1" x14ac:dyDescent="0.25">
      <c r="A682" s="4">
        <v>616</v>
      </c>
      <c r="B682" s="5" t="s">
        <v>507</v>
      </c>
      <c r="C682" s="5" t="s">
        <v>508</v>
      </c>
      <c r="D682" s="16">
        <v>0.30305999999999989</v>
      </c>
      <c r="E682" s="16">
        <v>0.25214000000000003</v>
      </c>
      <c r="F682" s="17">
        <v>0.28570000000000007</v>
      </c>
      <c r="G682" s="18">
        <v>604</v>
      </c>
      <c r="H682" s="18">
        <v>203.15</v>
      </c>
      <c r="I682" s="18">
        <v>604</v>
      </c>
      <c r="J682" s="53">
        <v>134.16999999999999</v>
      </c>
    </row>
    <row r="683" spans="1:10" ht="17.25" customHeight="1" x14ac:dyDescent="0.25">
      <c r="A683" s="4">
        <v>1167</v>
      </c>
      <c r="B683" s="5" t="s">
        <v>896</v>
      </c>
      <c r="C683" s="5" t="s">
        <v>2418</v>
      </c>
      <c r="D683" s="16">
        <v>0.27194000000000007</v>
      </c>
      <c r="E683" s="16">
        <v>0.24994000000000005</v>
      </c>
      <c r="F683" s="17">
        <v>0.28570999999999991</v>
      </c>
      <c r="G683" s="18">
        <v>680</v>
      </c>
      <c r="H683" s="18">
        <v>212.95</v>
      </c>
      <c r="I683" s="18">
        <v>680</v>
      </c>
      <c r="J683" s="53">
        <v>218.33</v>
      </c>
    </row>
    <row r="684" spans="1:10" ht="17.25" customHeight="1" x14ac:dyDescent="0.25">
      <c r="A684" s="4">
        <v>828</v>
      </c>
      <c r="B684" s="5" t="s">
        <v>2240</v>
      </c>
      <c r="C684" s="5" t="s">
        <v>632</v>
      </c>
      <c r="D684" s="16">
        <v>0.31206</v>
      </c>
      <c r="E684" s="16">
        <v>0.24902000000000002</v>
      </c>
      <c r="F684" s="17">
        <v>0.28570000000000007</v>
      </c>
      <c r="G684" s="18">
        <v>660</v>
      </c>
      <c r="H684" s="18">
        <v>248.15</v>
      </c>
      <c r="I684" s="18">
        <v>660</v>
      </c>
      <c r="J684" s="53">
        <v>176.21</v>
      </c>
    </row>
    <row r="685" spans="1:10" ht="17.25" customHeight="1" x14ac:dyDescent="0.25">
      <c r="A685" s="4">
        <v>856</v>
      </c>
      <c r="B685" s="5" t="s">
        <v>658</v>
      </c>
      <c r="C685" s="5" t="s">
        <v>660</v>
      </c>
      <c r="D685" s="16">
        <v>0.30081999999999987</v>
      </c>
      <c r="E685" s="16">
        <v>0.25390000000000001</v>
      </c>
      <c r="F685" s="17">
        <v>0.28570000000000007</v>
      </c>
      <c r="G685" s="18">
        <v>654</v>
      </c>
      <c r="H685" s="18">
        <v>205.15</v>
      </c>
      <c r="I685" s="18">
        <v>654</v>
      </c>
      <c r="J685" s="53">
        <v>162.22999999999999</v>
      </c>
    </row>
    <row r="686" spans="1:10" ht="17.25" customHeight="1" x14ac:dyDescent="0.25">
      <c r="A686" s="4">
        <v>357</v>
      </c>
      <c r="B686" s="5" t="s">
        <v>245</v>
      </c>
      <c r="C686" s="5" t="s">
        <v>246</v>
      </c>
      <c r="D686" s="16">
        <v>0.30174000000000012</v>
      </c>
      <c r="E686" s="16">
        <v>0.25670999999999999</v>
      </c>
      <c r="F686" s="17">
        <v>0.28570999999999991</v>
      </c>
      <c r="G686" s="18">
        <v>676</v>
      </c>
      <c r="H686" s="18">
        <v>234.15</v>
      </c>
      <c r="I686" s="18">
        <v>676</v>
      </c>
      <c r="J686" s="53">
        <v>103.17</v>
      </c>
    </row>
    <row r="687" spans="1:10" ht="17.25" customHeight="1" x14ac:dyDescent="0.25">
      <c r="A687" s="4">
        <v>25</v>
      </c>
      <c r="B687" s="5" t="s">
        <v>1491</v>
      </c>
      <c r="C687" s="5" t="s">
        <v>1492</v>
      </c>
      <c r="D687" s="16">
        <v>0.42518999999999996</v>
      </c>
      <c r="E687" s="16">
        <v>0.25219999999999998</v>
      </c>
      <c r="F687" s="17">
        <v>0.28100000000000014</v>
      </c>
      <c r="G687" s="18">
        <v>351.6</v>
      </c>
      <c r="H687" s="18">
        <v>137</v>
      </c>
      <c r="I687" s="18">
        <v>351.6</v>
      </c>
      <c r="J687" s="53">
        <v>52.02</v>
      </c>
    </row>
    <row r="688" spans="1:10" ht="17.25" customHeight="1" x14ac:dyDescent="0.25">
      <c r="A688" s="4">
        <v>276</v>
      </c>
      <c r="B688" s="5" t="s">
        <v>157</v>
      </c>
      <c r="C688" s="5" t="s">
        <v>158</v>
      </c>
      <c r="D688" s="16">
        <v>0.40433000000000008</v>
      </c>
      <c r="E688" s="16">
        <v>0.21500000000000008</v>
      </c>
      <c r="F688" s="17">
        <v>0.28570999999999991</v>
      </c>
      <c r="G688" s="18">
        <v>820</v>
      </c>
      <c r="H688" s="18">
        <v>421.15</v>
      </c>
      <c r="I688" s="18">
        <v>820</v>
      </c>
      <c r="J688" s="53">
        <v>134.09</v>
      </c>
    </row>
    <row r="689" spans="1:10" ht="17.25" customHeight="1" x14ac:dyDescent="0.25">
      <c r="A689" s="4">
        <v>1301</v>
      </c>
      <c r="B689" s="5" t="s">
        <v>2243</v>
      </c>
      <c r="C689" s="5" t="s">
        <v>1059</v>
      </c>
      <c r="D689" s="16">
        <v>0.30530999999999997</v>
      </c>
      <c r="E689" s="16">
        <v>0.25883000000000012</v>
      </c>
      <c r="F689" s="17">
        <v>0.38851999999999998</v>
      </c>
      <c r="G689" s="18">
        <v>767</v>
      </c>
      <c r="H689" s="18">
        <v>259.35000000000002</v>
      </c>
      <c r="I689" s="18">
        <v>767</v>
      </c>
      <c r="J689" s="53">
        <v>314.45999999999998</v>
      </c>
    </row>
    <row r="690" spans="1:10" ht="17.25" customHeight="1" x14ac:dyDescent="0.25">
      <c r="A690" s="4">
        <v>853</v>
      </c>
      <c r="B690" s="5" t="s">
        <v>655</v>
      </c>
      <c r="C690" s="5" t="s">
        <v>656</v>
      </c>
      <c r="D690" s="16">
        <v>0.2853699999999999</v>
      </c>
      <c r="E690" s="16">
        <v>0.27942</v>
      </c>
      <c r="F690" s="17">
        <v>0.28570000000000007</v>
      </c>
      <c r="G690" s="18">
        <v>547</v>
      </c>
      <c r="H690" s="18">
        <v>233.15</v>
      </c>
      <c r="I690" s="18">
        <v>547</v>
      </c>
      <c r="J690" s="53">
        <v>146.22999999999999</v>
      </c>
    </row>
    <row r="691" spans="1:10" ht="17.25" customHeight="1" x14ac:dyDescent="0.25">
      <c r="A691" s="4">
        <v>26</v>
      </c>
      <c r="B691" s="5" t="s">
        <v>2277</v>
      </c>
      <c r="C691" s="5" t="s">
        <v>1493</v>
      </c>
      <c r="D691" s="16">
        <v>0.98475000000000001</v>
      </c>
      <c r="E691" s="16">
        <v>0.24998000000000009</v>
      </c>
      <c r="F691" s="17">
        <v>0.26540000000000008</v>
      </c>
      <c r="G691" s="18">
        <v>747</v>
      </c>
      <c r="H691" s="18">
        <v>279.25</v>
      </c>
      <c r="I691" s="18">
        <v>747</v>
      </c>
      <c r="J691" s="53">
        <v>267.83999999999997</v>
      </c>
    </row>
    <row r="692" spans="1:10" ht="17.25" customHeight="1" x14ac:dyDescent="0.25">
      <c r="A692" s="4">
        <v>910</v>
      </c>
      <c r="B692" s="5" t="s">
        <v>1814</v>
      </c>
      <c r="C692" s="5" t="s">
        <v>1815</v>
      </c>
      <c r="D692" s="16">
        <v>0.2724899999999999</v>
      </c>
      <c r="E692" s="16">
        <v>0.27239999999999998</v>
      </c>
      <c r="F692" s="17">
        <v>0.28129999999999988</v>
      </c>
      <c r="G692" s="18">
        <v>615</v>
      </c>
      <c r="H692" s="18">
        <v>227.17</v>
      </c>
      <c r="I692" s="18">
        <v>615</v>
      </c>
      <c r="J692" s="53">
        <v>142.24</v>
      </c>
    </row>
    <row r="693" spans="1:10" ht="17.25" customHeight="1" x14ac:dyDescent="0.25">
      <c r="A693" s="4">
        <v>867</v>
      </c>
      <c r="B693" s="5" t="s">
        <v>1771</v>
      </c>
      <c r="C693" s="5" t="s">
        <v>1772</v>
      </c>
      <c r="D693" s="16">
        <v>0.24737000000000009</v>
      </c>
      <c r="E693" s="16">
        <v>0.26249000000000011</v>
      </c>
      <c r="F693" s="17">
        <v>0.27200000000000002</v>
      </c>
      <c r="G693" s="18">
        <v>580</v>
      </c>
      <c r="H693" s="18">
        <v>203.15</v>
      </c>
      <c r="I693" s="18">
        <v>580</v>
      </c>
      <c r="J693" s="53">
        <v>129.24</v>
      </c>
    </row>
    <row r="694" spans="1:10" ht="17.25" customHeight="1" x14ac:dyDescent="0.25">
      <c r="A694" s="4">
        <v>1360</v>
      </c>
      <c r="B694" s="21" t="s">
        <v>1961</v>
      </c>
      <c r="C694" s="21" t="s">
        <v>1853</v>
      </c>
      <c r="D694" s="16">
        <v>0.26333999999999991</v>
      </c>
      <c r="E694" s="16">
        <v>0.22999999999999998</v>
      </c>
      <c r="F694" s="17">
        <v>0.28600000000000003</v>
      </c>
      <c r="G694" s="18">
        <v>887</v>
      </c>
      <c r="H694" s="18">
        <v>227.59</v>
      </c>
      <c r="I694" s="18">
        <v>887</v>
      </c>
      <c r="J694" s="53">
        <v>446.66</v>
      </c>
    </row>
    <row r="695" spans="1:10" ht="17.25" customHeight="1" x14ac:dyDescent="0.25">
      <c r="A695" s="4">
        <v>1356</v>
      </c>
      <c r="B695" s="21" t="s">
        <v>2278</v>
      </c>
      <c r="C695" s="21" t="s">
        <v>1108</v>
      </c>
      <c r="D695" s="16">
        <v>0.27512000000000003</v>
      </c>
      <c r="E695" s="16">
        <v>0.23675000000000002</v>
      </c>
      <c r="F695" s="17">
        <v>0.28570999999999991</v>
      </c>
      <c r="G695" s="18">
        <v>851</v>
      </c>
      <c r="H695" s="18">
        <v>254</v>
      </c>
      <c r="I695" s="18">
        <v>851</v>
      </c>
      <c r="J695" s="53">
        <v>390.55</v>
      </c>
    </row>
    <row r="696" spans="1:10" ht="17.25" customHeight="1" x14ac:dyDescent="0.25">
      <c r="A696" s="4">
        <v>635</v>
      </c>
      <c r="B696" s="5" t="s">
        <v>524</v>
      </c>
      <c r="C696" s="5" t="s">
        <v>525</v>
      </c>
      <c r="D696" s="16">
        <v>0.29336999999999991</v>
      </c>
      <c r="E696" s="16">
        <v>0.24629000000000012</v>
      </c>
      <c r="F696" s="17">
        <v>0.2229000000000001</v>
      </c>
      <c r="G696" s="18">
        <v>672</v>
      </c>
      <c r="H696" s="18">
        <v>318.14999999999998</v>
      </c>
      <c r="I696" s="18">
        <v>672</v>
      </c>
      <c r="J696" s="53">
        <v>133.19</v>
      </c>
    </row>
    <row r="697" spans="1:10" ht="17.25" customHeight="1" x14ac:dyDescent="0.25">
      <c r="A697" s="4">
        <v>608</v>
      </c>
      <c r="B697" s="5" t="s">
        <v>495</v>
      </c>
      <c r="C697" s="5" t="s">
        <v>501</v>
      </c>
      <c r="D697" s="16">
        <v>0.26218000000000008</v>
      </c>
      <c r="E697" s="16">
        <v>0.26974000000000009</v>
      </c>
      <c r="F697" s="17">
        <v>0.28570999999999991</v>
      </c>
      <c r="G697" s="18">
        <v>500.05</v>
      </c>
      <c r="H697" s="18">
        <v>187.65</v>
      </c>
      <c r="I697" s="18">
        <v>500.05</v>
      </c>
      <c r="J697" s="53">
        <v>102.17</v>
      </c>
    </row>
    <row r="698" spans="1:10" ht="17.25" customHeight="1" x14ac:dyDescent="0.25">
      <c r="A698" s="4">
        <v>722</v>
      </c>
      <c r="B698" s="5" t="s">
        <v>1710</v>
      </c>
      <c r="C698" s="5" t="s">
        <v>1711</v>
      </c>
      <c r="D698" s="16">
        <v>0.27449000000000012</v>
      </c>
      <c r="E698" s="16">
        <v>0.23384999999999989</v>
      </c>
      <c r="F698" s="17">
        <v>0.26180000000000003</v>
      </c>
      <c r="G698" s="18">
        <v>576</v>
      </c>
      <c r="H698" s="18">
        <v>204.81</v>
      </c>
      <c r="I698" s="18">
        <v>576</v>
      </c>
      <c r="J698" s="53">
        <v>114.18</v>
      </c>
    </row>
    <row r="699" spans="1:10" ht="17.25" customHeight="1" x14ac:dyDescent="0.25">
      <c r="A699" s="4">
        <v>630</v>
      </c>
      <c r="B699" s="5" t="s">
        <v>519</v>
      </c>
      <c r="C699" s="5" t="s">
        <v>520</v>
      </c>
      <c r="D699" s="16">
        <v>0.24256000000000011</v>
      </c>
      <c r="E699" s="16">
        <v>0.25785999999999998</v>
      </c>
      <c r="F699" s="17">
        <v>0.27099999999999991</v>
      </c>
      <c r="G699" s="18">
        <v>523.1</v>
      </c>
      <c r="H699" s="18">
        <v>176.85</v>
      </c>
      <c r="I699" s="18">
        <v>523.1</v>
      </c>
      <c r="J699" s="53">
        <v>101.19</v>
      </c>
    </row>
    <row r="700" spans="1:10" ht="17.25" customHeight="1" x14ac:dyDescent="0.25">
      <c r="A700" s="4">
        <v>242</v>
      </c>
      <c r="B700" s="5" t="s">
        <v>122</v>
      </c>
      <c r="C700" s="5" t="s">
        <v>123</v>
      </c>
      <c r="D700" s="16">
        <v>0.35837999999999992</v>
      </c>
      <c r="E700" s="16">
        <v>0.27300000000000013</v>
      </c>
      <c r="F700" s="17">
        <v>0.28570999999999991</v>
      </c>
      <c r="G700" s="18">
        <v>616</v>
      </c>
      <c r="H700" s="18">
        <v>266.64999999999998</v>
      </c>
      <c r="I700" s="18">
        <v>616</v>
      </c>
      <c r="J700" s="53">
        <v>84.07</v>
      </c>
    </row>
    <row r="701" spans="1:10" ht="17.25" customHeight="1" x14ac:dyDescent="0.25">
      <c r="A701" s="4">
        <v>136</v>
      </c>
      <c r="B701" s="5" t="s">
        <v>1663</v>
      </c>
      <c r="C701" s="5" t="s">
        <v>1664</v>
      </c>
      <c r="D701" s="16">
        <v>0.37382000000000004</v>
      </c>
      <c r="E701" s="16">
        <v>0.27705000000000002</v>
      </c>
      <c r="F701" s="17">
        <v>0.3114300000000001</v>
      </c>
      <c r="G701" s="18">
        <v>606</v>
      </c>
      <c r="H701" s="18">
        <v>188.44</v>
      </c>
      <c r="I701" s="18">
        <v>606</v>
      </c>
      <c r="J701" s="53">
        <v>94.2</v>
      </c>
    </row>
    <row r="702" spans="1:10" ht="17.25" customHeight="1" x14ac:dyDescent="0.25">
      <c r="A702" s="4">
        <v>129</v>
      </c>
      <c r="B702" s="5" t="s">
        <v>1652</v>
      </c>
      <c r="C702" s="5" t="s">
        <v>1653</v>
      </c>
      <c r="D702" s="16">
        <v>0.26390000000000002</v>
      </c>
      <c r="E702" s="16">
        <v>0.26324999999999998</v>
      </c>
      <c r="F702" s="17">
        <v>0.28059999999999996</v>
      </c>
      <c r="G702" s="18">
        <v>400.1</v>
      </c>
      <c r="H702" s="18">
        <v>131.66</v>
      </c>
      <c r="I702" s="18">
        <v>400.1</v>
      </c>
      <c r="J702" s="53">
        <v>46.07</v>
      </c>
    </row>
    <row r="703" spans="1:10" ht="17.25" customHeight="1" x14ac:dyDescent="0.25">
      <c r="A703" s="4">
        <v>522</v>
      </c>
      <c r="B703" s="5" t="s">
        <v>2279</v>
      </c>
      <c r="C703" s="5" t="s">
        <v>422</v>
      </c>
      <c r="D703" s="16">
        <v>0.35765000000000002</v>
      </c>
      <c r="E703" s="16">
        <v>0.25097999999999998</v>
      </c>
      <c r="F703" s="17">
        <v>0.2911999999999999</v>
      </c>
      <c r="G703" s="18">
        <v>675</v>
      </c>
      <c r="H703" s="18">
        <v>254.15</v>
      </c>
      <c r="I703" s="18">
        <v>675</v>
      </c>
      <c r="J703" s="53">
        <v>144.13</v>
      </c>
    </row>
    <row r="704" spans="1:10" ht="17.25" customHeight="1" x14ac:dyDescent="0.25">
      <c r="A704" s="6">
        <v>968</v>
      </c>
      <c r="B704" s="5" t="s">
        <v>2241</v>
      </c>
      <c r="C704" s="5" t="s">
        <v>2306</v>
      </c>
      <c r="D704" s="16">
        <v>0.36641000000000012</v>
      </c>
      <c r="E704" s="19">
        <v>0.25428000000000006</v>
      </c>
      <c r="F704" s="17">
        <v>0.30719999999999992</v>
      </c>
      <c r="G704" s="18">
        <v>766</v>
      </c>
      <c r="H704" s="18">
        <v>272.14999999999998</v>
      </c>
      <c r="I704" s="18">
        <v>766</v>
      </c>
      <c r="J704" s="53">
        <v>194.18</v>
      </c>
    </row>
    <row r="705" spans="1:10" ht="17.25" customHeight="1" x14ac:dyDescent="0.25">
      <c r="A705" s="4">
        <v>141</v>
      </c>
      <c r="B705" s="5" t="s">
        <v>1672</v>
      </c>
      <c r="C705" s="5" t="s">
        <v>1673</v>
      </c>
      <c r="D705" s="16">
        <v>0.23323000000000005</v>
      </c>
      <c r="E705" s="16">
        <v>0.26351000000000013</v>
      </c>
      <c r="F705" s="17">
        <v>0.28421000000000007</v>
      </c>
      <c r="G705" s="18">
        <v>402</v>
      </c>
      <c r="H705" s="18">
        <v>122.93</v>
      </c>
      <c r="I705" s="18">
        <v>402</v>
      </c>
      <c r="J705" s="53">
        <v>60.17</v>
      </c>
    </row>
    <row r="706" spans="1:10" ht="17.25" customHeight="1" x14ac:dyDescent="0.25">
      <c r="A706" s="4">
        <v>133</v>
      </c>
      <c r="B706" s="5" t="s">
        <v>1658</v>
      </c>
      <c r="C706" s="5" t="s">
        <v>1659</v>
      </c>
      <c r="D706" s="16">
        <v>0.43047999999999997</v>
      </c>
      <c r="E706" s="16">
        <v>0.25926000000000005</v>
      </c>
      <c r="F706" s="17">
        <v>0.37020000000000008</v>
      </c>
      <c r="G706" s="18">
        <v>758</v>
      </c>
      <c r="H706" s="18">
        <v>241.35</v>
      </c>
      <c r="I706" s="18">
        <v>758</v>
      </c>
      <c r="J706" s="53">
        <v>664.86</v>
      </c>
    </row>
    <row r="707" spans="1:10" ht="17.25" customHeight="1" x14ac:dyDescent="0.25">
      <c r="A707" s="4">
        <v>134</v>
      </c>
      <c r="B707" s="5" t="s">
        <v>1660</v>
      </c>
      <c r="C707" s="5" t="s">
        <v>1661</v>
      </c>
      <c r="D707" s="16">
        <v>0.30675999999999992</v>
      </c>
      <c r="E707" s="16">
        <v>0.26780000000000004</v>
      </c>
      <c r="F707" s="17">
        <v>0.28570999999999991</v>
      </c>
      <c r="G707" s="18">
        <v>503.04</v>
      </c>
      <c r="H707" s="18">
        <v>174.88</v>
      </c>
      <c r="I707" s="18">
        <v>503.04</v>
      </c>
      <c r="J707" s="53">
        <v>62.13</v>
      </c>
    </row>
    <row r="708" spans="1:10" ht="17.25" customHeight="1" x14ac:dyDescent="0.25">
      <c r="A708" s="4">
        <v>131</v>
      </c>
      <c r="B708" s="5" t="s">
        <v>1655</v>
      </c>
      <c r="C708" s="5" t="s">
        <v>1656</v>
      </c>
      <c r="D708" s="16">
        <v>0.34417999999999993</v>
      </c>
      <c r="E708" s="16">
        <v>0.25343999999999989</v>
      </c>
      <c r="F708" s="17">
        <v>0.32196999999999987</v>
      </c>
      <c r="G708" s="18">
        <v>726</v>
      </c>
      <c r="H708" s="18">
        <v>291.67</v>
      </c>
      <c r="I708" s="18">
        <v>726</v>
      </c>
      <c r="J708" s="53">
        <v>78.13</v>
      </c>
    </row>
    <row r="709" spans="1:10" ht="17.25" customHeight="1" x14ac:dyDescent="0.25">
      <c r="A709" s="4">
        <v>969</v>
      </c>
      <c r="B709" s="5" t="s">
        <v>2241</v>
      </c>
      <c r="C709" s="5" t="s">
        <v>701</v>
      </c>
      <c r="D709" s="16">
        <v>0.36709999999999998</v>
      </c>
      <c r="E709" s="16">
        <v>0.26885000000000003</v>
      </c>
      <c r="F709" s="17">
        <v>0.2612000000000001</v>
      </c>
      <c r="G709" s="18">
        <v>772</v>
      </c>
      <c r="H709" s="18">
        <v>413.8</v>
      </c>
      <c r="I709" s="18">
        <v>772</v>
      </c>
      <c r="J709" s="53">
        <v>194.18</v>
      </c>
    </row>
    <row r="710" spans="1:10" ht="17.25" customHeight="1" x14ac:dyDescent="0.25">
      <c r="A710" s="4">
        <v>257</v>
      </c>
      <c r="B710" s="5" t="s">
        <v>137</v>
      </c>
      <c r="C710" s="5" t="s">
        <v>141</v>
      </c>
      <c r="D710" s="16">
        <v>0.2516799999999999</v>
      </c>
      <c r="E710" s="16">
        <v>0.26923999999999992</v>
      </c>
      <c r="F710" s="17">
        <v>0.28570999999999991</v>
      </c>
      <c r="G710" s="18">
        <v>488.15</v>
      </c>
      <c r="H710" s="18">
        <v>240.91</v>
      </c>
      <c r="I710" s="18">
        <v>488.15</v>
      </c>
      <c r="J710" s="53">
        <v>54.09</v>
      </c>
    </row>
    <row r="711" spans="1:10" ht="17.25" customHeight="1" x14ac:dyDescent="0.25">
      <c r="A711" s="4">
        <v>128</v>
      </c>
      <c r="B711" s="5" t="s">
        <v>2280</v>
      </c>
      <c r="C711" s="5" t="s">
        <v>1651</v>
      </c>
      <c r="D711" s="16">
        <v>0.28732000000000002</v>
      </c>
      <c r="E711" s="16">
        <v>0.22536</v>
      </c>
      <c r="F711" s="17">
        <v>0.28570999999999991</v>
      </c>
      <c r="G711" s="18">
        <v>619</v>
      </c>
      <c r="H711" s="18">
        <v>252.15</v>
      </c>
      <c r="I711" s="18">
        <v>619</v>
      </c>
      <c r="J711" s="53">
        <v>92.5</v>
      </c>
    </row>
    <row r="712" spans="1:10" ht="17.25" customHeight="1" x14ac:dyDescent="0.25">
      <c r="A712" s="4">
        <v>137</v>
      </c>
      <c r="B712" s="5" t="s">
        <v>1665</v>
      </c>
      <c r="C712" s="5" t="s">
        <v>1666</v>
      </c>
      <c r="D712" s="16">
        <v>0.24110000000000009</v>
      </c>
      <c r="E712" s="16">
        <v>0.26784999999999992</v>
      </c>
      <c r="F712" s="17">
        <v>0.248</v>
      </c>
      <c r="G712" s="18">
        <v>437.65</v>
      </c>
      <c r="H712" s="18">
        <v>180.96</v>
      </c>
      <c r="I712" s="18">
        <v>437.65</v>
      </c>
      <c r="J712" s="53">
        <v>45.08</v>
      </c>
    </row>
    <row r="713" spans="1:10" ht="17.25" customHeight="1" x14ac:dyDescent="0.25">
      <c r="A713" s="4">
        <v>352</v>
      </c>
      <c r="B713" s="5" t="s">
        <v>236</v>
      </c>
      <c r="C713" s="5" t="s">
        <v>237</v>
      </c>
      <c r="D713" s="16">
        <v>0.29715999999999987</v>
      </c>
      <c r="E713" s="16">
        <v>0.2612000000000001</v>
      </c>
      <c r="F713" s="17">
        <v>0.28570999999999991</v>
      </c>
      <c r="G713" s="18">
        <v>571.82000000000005</v>
      </c>
      <c r="H713" s="18">
        <v>214.15</v>
      </c>
      <c r="I713" s="18">
        <v>571.82000000000005</v>
      </c>
      <c r="J713" s="53">
        <v>89.14</v>
      </c>
    </row>
    <row r="714" spans="1:10" ht="17.25" customHeight="1" x14ac:dyDescent="0.25">
      <c r="A714" s="4">
        <v>1165</v>
      </c>
      <c r="B714" s="5" t="s">
        <v>894</v>
      </c>
      <c r="C714" s="5" t="s">
        <v>2419</v>
      </c>
      <c r="D714" s="16">
        <v>0.26696000000000009</v>
      </c>
      <c r="E714" s="16">
        <v>0.27207999999999988</v>
      </c>
      <c r="F714" s="17">
        <v>0.30249999999999999</v>
      </c>
      <c r="G714" s="18">
        <v>658</v>
      </c>
      <c r="H714" s="18">
        <v>230.15</v>
      </c>
      <c r="I714" s="18">
        <v>658</v>
      </c>
      <c r="J714" s="53">
        <v>186.33</v>
      </c>
    </row>
    <row r="715" spans="1:10" ht="17.25" customHeight="1" x14ac:dyDescent="0.25">
      <c r="A715" s="4">
        <v>1265</v>
      </c>
      <c r="B715" s="5" t="s">
        <v>1019</v>
      </c>
      <c r="C715" s="5" t="s">
        <v>2420</v>
      </c>
      <c r="D715" s="16">
        <v>0.2664200000000001</v>
      </c>
      <c r="E715" s="16">
        <v>0.27173999999999987</v>
      </c>
      <c r="F715" s="17">
        <v>0.30391000000000012</v>
      </c>
      <c r="G715" s="18">
        <v>707</v>
      </c>
      <c r="H715" s="18">
        <v>265.55</v>
      </c>
      <c r="I715" s="18">
        <v>707</v>
      </c>
      <c r="J715" s="53">
        <v>242.44</v>
      </c>
    </row>
    <row r="716" spans="1:10" ht="17.25" customHeight="1" x14ac:dyDescent="0.25">
      <c r="A716" s="4">
        <v>1307</v>
      </c>
      <c r="B716" s="5" t="s">
        <v>1067</v>
      </c>
      <c r="C716" s="5" t="s">
        <v>1068</v>
      </c>
      <c r="D716" s="16">
        <v>0.26519000000000004</v>
      </c>
      <c r="E716" s="16">
        <v>0.26639999999999997</v>
      </c>
      <c r="F716" s="17">
        <v>0.33030000000000004</v>
      </c>
      <c r="G716" s="18">
        <v>736</v>
      </c>
      <c r="H716" s="18">
        <v>273</v>
      </c>
      <c r="I716" s="18">
        <v>736</v>
      </c>
      <c r="J716" s="53">
        <v>270.49</v>
      </c>
    </row>
    <row r="717" spans="1:10" ht="17.25" customHeight="1" x14ac:dyDescent="0.25">
      <c r="A717" s="4">
        <v>1358</v>
      </c>
      <c r="B717" s="21" t="s">
        <v>1110</v>
      </c>
      <c r="C717" s="21" t="s">
        <v>1111</v>
      </c>
      <c r="D717" s="16">
        <v>0.28459999999999996</v>
      </c>
      <c r="E717" s="16">
        <v>0.20500000000000007</v>
      </c>
      <c r="F717" s="17">
        <v>0.28570999999999991</v>
      </c>
      <c r="G717" s="18">
        <v>886</v>
      </c>
      <c r="H717" s="18">
        <v>350</v>
      </c>
      <c r="I717" s="18">
        <v>886</v>
      </c>
      <c r="J717" s="53">
        <v>346.59</v>
      </c>
    </row>
    <row r="718" spans="1:10" ht="17.25" customHeight="1" x14ac:dyDescent="0.25">
      <c r="A718" s="4">
        <v>631</v>
      </c>
      <c r="B718" s="5" t="s">
        <v>519</v>
      </c>
      <c r="C718" s="5" t="s">
        <v>2421</v>
      </c>
      <c r="D718" s="16">
        <v>0.24259999999999993</v>
      </c>
      <c r="E718" s="16">
        <v>0.25356000000000001</v>
      </c>
      <c r="F718" s="17">
        <v>0.27429999999999999</v>
      </c>
      <c r="G718" s="18">
        <v>555.79999999999995</v>
      </c>
      <c r="H718" s="18">
        <v>210.15</v>
      </c>
      <c r="I718" s="18">
        <v>555.79999999999995</v>
      </c>
      <c r="J718" s="53">
        <v>101.19</v>
      </c>
    </row>
    <row r="719" spans="1:10" ht="17.25" customHeight="1" x14ac:dyDescent="0.25">
      <c r="A719" s="4">
        <v>1357</v>
      </c>
      <c r="B719" s="21" t="s">
        <v>2278</v>
      </c>
      <c r="C719" s="21" t="s">
        <v>1109</v>
      </c>
      <c r="D719" s="16">
        <v>0.30753000000000008</v>
      </c>
      <c r="E719" s="16">
        <v>0.25052000000000008</v>
      </c>
      <c r="F719" s="17">
        <v>0.38451000000000013</v>
      </c>
      <c r="G719" s="18">
        <v>806</v>
      </c>
      <c r="H719" s="18">
        <v>223.15</v>
      </c>
      <c r="I719" s="18">
        <v>806</v>
      </c>
      <c r="J719" s="53">
        <v>390.55</v>
      </c>
    </row>
    <row r="720" spans="1:10" ht="17.25" customHeight="1" x14ac:dyDescent="0.25">
      <c r="A720" s="4">
        <v>1127</v>
      </c>
      <c r="B720" s="5" t="s">
        <v>853</v>
      </c>
      <c r="C720" s="5" t="s">
        <v>854</v>
      </c>
      <c r="D720" s="16">
        <v>0.34314</v>
      </c>
      <c r="E720" s="16">
        <v>0.27600000000000002</v>
      </c>
      <c r="F720" s="17">
        <v>0.26661000000000001</v>
      </c>
      <c r="G720" s="18">
        <v>763</v>
      </c>
      <c r="H720" s="18">
        <v>300.02</v>
      </c>
      <c r="I720" s="18">
        <v>763</v>
      </c>
      <c r="J720" s="53">
        <v>170.21</v>
      </c>
    </row>
    <row r="721" spans="1:10" ht="17.25" customHeight="1" x14ac:dyDescent="0.25">
      <c r="A721" s="4">
        <v>1203</v>
      </c>
      <c r="B721" s="5" t="s">
        <v>941</v>
      </c>
      <c r="C721" s="5" t="s">
        <v>942</v>
      </c>
      <c r="D721" s="16">
        <v>0.29187000000000007</v>
      </c>
      <c r="E721" s="16">
        <v>0.25600000000000001</v>
      </c>
      <c r="F721" s="17">
        <v>0.28570999999999991</v>
      </c>
      <c r="G721" s="18">
        <v>832</v>
      </c>
      <c r="H721" s="18">
        <v>335.65</v>
      </c>
      <c r="I721" s="18">
        <v>832</v>
      </c>
      <c r="J721" s="53">
        <v>178.23</v>
      </c>
    </row>
    <row r="722" spans="1:10" ht="17.25" customHeight="1" x14ac:dyDescent="0.25">
      <c r="A722" s="4">
        <v>1129</v>
      </c>
      <c r="B722" s="5" t="s">
        <v>855</v>
      </c>
      <c r="C722" s="5" t="s">
        <v>856</v>
      </c>
      <c r="D722" s="16">
        <v>0.31410000000000005</v>
      </c>
      <c r="E722" s="16">
        <v>0.24546000000000001</v>
      </c>
      <c r="F722" s="17">
        <v>0.28330000000000011</v>
      </c>
      <c r="G722" s="18">
        <v>817</v>
      </c>
      <c r="H722" s="18">
        <v>326.14999999999998</v>
      </c>
      <c r="I722" s="18">
        <v>817</v>
      </c>
      <c r="J722" s="53">
        <v>169.22</v>
      </c>
    </row>
    <row r="723" spans="1:10" ht="17.25" customHeight="1" x14ac:dyDescent="0.25">
      <c r="A723" s="4">
        <v>1180</v>
      </c>
      <c r="B723" s="5" t="s">
        <v>911</v>
      </c>
      <c r="C723" s="5" t="s">
        <v>912</v>
      </c>
      <c r="D723" s="16">
        <v>0.30386999999999986</v>
      </c>
      <c r="E723" s="16">
        <v>0.25317999999999996</v>
      </c>
      <c r="F723" s="17">
        <v>0.28570000000000007</v>
      </c>
      <c r="G723" s="18">
        <v>768</v>
      </c>
      <c r="H723" s="18">
        <v>298.39</v>
      </c>
      <c r="I723" s="18">
        <v>768</v>
      </c>
      <c r="J723" s="53">
        <v>168.23</v>
      </c>
    </row>
    <row r="724" spans="1:10" ht="17.25" customHeight="1" x14ac:dyDescent="0.25">
      <c r="A724" s="4">
        <v>1232</v>
      </c>
      <c r="B724" s="5" t="s">
        <v>978</v>
      </c>
      <c r="C724" s="5" t="s">
        <v>2305</v>
      </c>
      <c r="D724" s="16">
        <v>0.35153999999999996</v>
      </c>
      <c r="E724" s="16">
        <v>0.2434099999999999</v>
      </c>
      <c r="F724" s="17">
        <v>0.28570999999999991</v>
      </c>
      <c r="G724" s="18">
        <v>802</v>
      </c>
      <c r="H724" s="18">
        <v>311.2</v>
      </c>
      <c r="I724" s="18">
        <v>802</v>
      </c>
      <c r="J724" s="53">
        <v>250.25</v>
      </c>
    </row>
    <row r="725" spans="1:10" ht="17.25" customHeight="1" x14ac:dyDescent="0.25">
      <c r="A725" s="4">
        <v>617</v>
      </c>
      <c r="B725" s="5" t="s">
        <v>507</v>
      </c>
      <c r="C725" s="5" t="s">
        <v>509</v>
      </c>
      <c r="D725" s="16">
        <v>0.33335000000000004</v>
      </c>
      <c r="E725" s="16">
        <v>0.26500000000000012</v>
      </c>
      <c r="F725" s="17">
        <v>0.28570000000000007</v>
      </c>
      <c r="G725" s="18">
        <v>654</v>
      </c>
      <c r="H725" s="18">
        <v>233</v>
      </c>
      <c r="I725" s="18">
        <v>654</v>
      </c>
      <c r="J725" s="53">
        <v>134.16999999999999</v>
      </c>
    </row>
    <row r="726" spans="1:10" ht="17.25" customHeight="1" x14ac:dyDescent="0.25">
      <c r="A726" s="4">
        <v>848</v>
      </c>
      <c r="B726" s="5" t="s">
        <v>651</v>
      </c>
      <c r="C726" s="5" t="s">
        <v>2422</v>
      </c>
      <c r="D726" s="16">
        <v>0.26378999999999997</v>
      </c>
      <c r="E726" s="16">
        <v>0.26873999999999998</v>
      </c>
      <c r="F726" s="17">
        <v>0.28570999999999991</v>
      </c>
      <c r="G726" s="18">
        <v>559</v>
      </c>
      <c r="H726" s="18">
        <v>173.15</v>
      </c>
      <c r="I726" s="18">
        <v>559</v>
      </c>
      <c r="J726" s="53">
        <v>130.22999999999999</v>
      </c>
    </row>
    <row r="727" spans="1:10" ht="17.25" customHeight="1" x14ac:dyDescent="0.25">
      <c r="A727" s="4">
        <v>849</v>
      </c>
      <c r="B727" s="5" t="s">
        <v>651</v>
      </c>
      <c r="C727" s="5" t="s">
        <v>2423</v>
      </c>
      <c r="D727" s="16">
        <v>0.26676000000000011</v>
      </c>
      <c r="E727" s="16">
        <v>0.27010000000000001</v>
      </c>
      <c r="F727" s="17">
        <v>0.28570999999999991</v>
      </c>
      <c r="G727" s="18">
        <v>550</v>
      </c>
      <c r="H727" s="18">
        <v>195</v>
      </c>
      <c r="I727" s="18">
        <v>550</v>
      </c>
      <c r="J727" s="53">
        <v>130.22999999999999</v>
      </c>
    </row>
    <row r="728" spans="1:10" ht="17.25" customHeight="1" x14ac:dyDescent="0.25">
      <c r="A728" s="4">
        <v>265</v>
      </c>
      <c r="B728" s="5" t="s">
        <v>145</v>
      </c>
      <c r="C728" s="5" t="s">
        <v>147</v>
      </c>
      <c r="D728" s="16">
        <v>0.28035999999999994</v>
      </c>
      <c r="E728" s="16">
        <v>0.27600000000000002</v>
      </c>
      <c r="F728" s="17">
        <v>0.28570999999999991</v>
      </c>
      <c r="G728" s="18">
        <v>463</v>
      </c>
      <c r="H728" s="18">
        <v>172.05</v>
      </c>
      <c r="I728" s="18">
        <v>463</v>
      </c>
      <c r="J728" s="53">
        <v>70.09</v>
      </c>
    </row>
    <row r="729" spans="1:10" ht="17.25" customHeight="1" x14ac:dyDescent="0.25">
      <c r="A729" s="4">
        <v>998</v>
      </c>
      <c r="B729" s="5" t="s">
        <v>716</v>
      </c>
      <c r="C729" s="5" t="s">
        <v>718</v>
      </c>
      <c r="D729" s="16">
        <v>0.26</v>
      </c>
      <c r="E729" s="16">
        <v>0.25157000000000007</v>
      </c>
      <c r="F729" s="17">
        <v>0.27210000000000001</v>
      </c>
      <c r="G729" s="18">
        <v>660</v>
      </c>
      <c r="H729" s="18">
        <v>199</v>
      </c>
      <c r="I729" s="18">
        <v>660</v>
      </c>
      <c r="J729" s="53">
        <v>136.22999999999999</v>
      </c>
    </row>
    <row r="730" spans="1:10" ht="17.25" customHeight="1" x14ac:dyDescent="0.25">
      <c r="A730" s="4">
        <v>847</v>
      </c>
      <c r="B730" s="5" t="s">
        <v>651</v>
      </c>
      <c r="C730" s="5" t="s">
        <v>2424</v>
      </c>
      <c r="D730" s="16">
        <v>0.25520999999999994</v>
      </c>
      <c r="E730" s="16">
        <v>0.25985999999999998</v>
      </c>
      <c r="F730" s="17">
        <v>0.28570000000000007</v>
      </c>
      <c r="G730" s="18">
        <v>581</v>
      </c>
      <c r="H730" s="18">
        <v>177.95</v>
      </c>
      <c r="I730" s="18">
        <v>581</v>
      </c>
      <c r="J730" s="53">
        <v>130.22999999999999</v>
      </c>
    </row>
    <row r="731" spans="1:10" ht="17.25" customHeight="1" x14ac:dyDescent="0.25">
      <c r="A731" s="4">
        <v>854</v>
      </c>
      <c r="B731" s="5" t="s">
        <v>657</v>
      </c>
      <c r="C731" s="5" t="s">
        <v>2425</v>
      </c>
      <c r="D731" s="16">
        <v>0.31335000000000002</v>
      </c>
      <c r="E731" s="16">
        <v>0.25805999999999996</v>
      </c>
      <c r="F731" s="17">
        <v>0.30522000000000005</v>
      </c>
      <c r="G731" s="18">
        <v>767</v>
      </c>
      <c r="H731" s="18">
        <v>318</v>
      </c>
      <c r="I731" s="18">
        <v>767</v>
      </c>
      <c r="J731" s="53">
        <v>178.29</v>
      </c>
    </row>
    <row r="732" spans="1:10" ht="17.25" customHeight="1" x14ac:dyDescent="0.25">
      <c r="A732" s="4">
        <v>866</v>
      </c>
      <c r="B732" s="5" t="s">
        <v>1771</v>
      </c>
      <c r="C732" s="5" t="s">
        <v>2426</v>
      </c>
      <c r="D732" s="16">
        <v>0.24733999999999989</v>
      </c>
      <c r="E732" s="16">
        <v>0.25824000000000003</v>
      </c>
      <c r="F732" s="17">
        <v>0.28269999999999995</v>
      </c>
      <c r="G732" s="18">
        <v>607.5</v>
      </c>
      <c r="H732" s="18">
        <v>211.15</v>
      </c>
      <c r="I732" s="18">
        <v>607.5</v>
      </c>
      <c r="J732" s="53">
        <v>129.24</v>
      </c>
    </row>
    <row r="733" spans="1:10" ht="17.25" customHeight="1" x14ac:dyDescent="0.25">
      <c r="A733" s="4">
        <v>1094</v>
      </c>
      <c r="B733" s="5" t="s">
        <v>807</v>
      </c>
      <c r="C733" s="5" t="s">
        <v>2427</v>
      </c>
      <c r="D733" s="16">
        <v>0.26692000000000005</v>
      </c>
      <c r="E733" s="16">
        <v>0.27154999999999996</v>
      </c>
      <c r="F733" s="17">
        <v>0.29939999999999989</v>
      </c>
      <c r="G733" s="18">
        <v>622</v>
      </c>
      <c r="H733" s="18">
        <v>203.72</v>
      </c>
      <c r="I733" s="18">
        <v>622</v>
      </c>
      <c r="J733" s="53">
        <v>158.28</v>
      </c>
    </row>
    <row r="734" spans="1:10" ht="17.25" customHeight="1" x14ac:dyDescent="0.25">
      <c r="A734" s="4">
        <v>609</v>
      </c>
      <c r="B734" s="5" t="s">
        <v>495</v>
      </c>
      <c r="C734" s="5" t="s">
        <v>2428</v>
      </c>
      <c r="D734" s="16">
        <v>0.26184999999999992</v>
      </c>
      <c r="E734" s="16">
        <v>0.26780000000000004</v>
      </c>
      <c r="F734" s="17">
        <v>0.28570000000000007</v>
      </c>
      <c r="G734" s="18">
        <v>530.6</v>
      </c>
      <c r="H734" s="18">
        <v>149.94999999999999</v>
      </c>
      <c r="I734" s="18">
        <v>530.6</v>
      </c>
      <c r="J734" s="53">
        <v>102.17</v>
      </c>
    </row>
    <row r="735" spans="1:10" ht="17.25" customHeight="1" x14ac:dyDescent="0.25">
      <c r="A735" s="4">
        <v>615</v>
      </c>
      <c r="B735" s="5" t="s">
        <v>506</v>
      </c>
      <c r="C735" s="5" t="s">
        <v>2429</v>
      </c>
      <c r="D735" s="16">
        <v>0.32450000000000001</v>
      </c>
      <c r="E735" s="16">
        <v>0.25642999999999994</v>
      </c>
      <c r="F735" s="17">
        <v>0.30567000000000011</v>
      </c>
      <c r="G735" s="18">
        <v>763</v>
      </c>
      <c r="H735" s="18">
        <v>303</v>
      </c>
      <c r="I735" s="18">
        <v>763</v>
      </c>
      <c r="J735" s="53">
        <v>150.24</v>
      </c>
    </row>
    <row r="736" spans="1:10" ht="17.25" customHeight="1" x14ac:dyDescent="0.25">
      <c r="A736" s="4">
        <v>1176</v>
      </c>
      <c r="B736" s="5" t="s">
        <v>905</v>
      </c>
      <c r="C736" s="5" t="s">
        <v>906</v>
      </c>
      <c r="D736" s="16">
        <v>0.2525599999999999</v>
      </c>
      <c r="E736" s="16">
        <v>0.2629999999999999</v>
      </c>
      <c r="F736" s="17">
        <v>0.27740000000000009</v>
      </c>
      <c r="G736" s="18">
        <v>696</v>
      </c>
      <c r="H736" s="18">
        <v>301.47000000000003</v>
      </c>
      <c r="I736" s="18">
        <v>696</v>
      </c>
      <c r="J736" s="53">
        <v>185.35</v>
      </c>
    </row>
    <row r="737" spans="1:10" ht="17.25" customHeight="1" x14ac:dyDescent="0.25">
      <c r="A737" s="4">
        <v>1225</v>
      </c>
      <c r="B737" s="5" t="s">
        <v>967</v>
      </c>
      <c r="C737" s="5" t="s">
        <v>969</v>
      </c>
      <c r="D737" s="16">
        <v>0.22019999999999995</v>
      </c>
      <c r="E737" s="16">
        <v>0.21300000000000008</v>
      </c>
      <c r="F737" s="17">
        <v>0.28570999999999991</v>
      </c>
      <c r="G737" s="18">
        <v>762.23</v>
      </c>
      <c r="H737" s="18">
        <v>276.16000000000003</v>
      </c>
      <c r="I737" s="18">
        <v>762.23</v>
      </c>
      <c r="J737" s="53">
        <v>230.45</v>
      </c>
    </row>
    <row r="738" spans="1:10" ht="17.25" customHeight="1" x14ac:dyDescent="0.25">
      <c r="A738" s="4">
        <v>1198</v>
      </c>
      <c r="B738" s="5" t="s">
        <v>933</v>
      </c>
      <c r="C738" s="5" t="s">
        <v>936</v>
      </c>
      <c r="D738" s="16">
        <v>0.22649999999999992</v>
      </c>
      <c r="E738" s="16">
        <v>0.21900000000000008</v>
      </c>
      <c r="F738" s="17">
        <v>0.28570999999999991</v>
      </c>
      <c r="G738" s="18">
        <v>748.42</v>
      </c>
      <c r="H738" s="18">
        <v>271.16000000000003</v>
      </c>
      <c r="I738" s="18">
        <v>748.42</v>
      </c>
      <c r="J738" s="53">
        <v>216.43</v>
      </c>
    </row>
    <row r="739" spans="1:10" ht="17.25" customHeight="1" x14ac:dyDescent="0.25">
      <c r="A739" s="4">
        <v>1248</v>
      </c>
      <c r="B739" s="5" t="s">
        <v>998</v>
      </c>
      <c r="C739" s="5" t="s">
        <v>1000</v>
      </c>
      <c r="D739" s="16">
        <v>0.21399999999999997</v>
      </c>
      <c r="E739" s="16">
        <v>0.20700000000000007</v>
      </c>
      <c r="F739" s="17">
        <v>0.28570999999999991</v>
      </c>
      <c r="G739" s="18">
        <v>775.15</v>
      </c>
      <c r="H739" s="18">
        <v>284.16000000000003</v>
      </c>
      <c r="I739" s="18">
        <v>775.15</v>
      </c>
      <c r="J739" s="53">
        <v>244.48</v>
      </c>
    </row>
    <row r="740" spans="1:10" ht="17.25" customHeight="1" x14ac:dyDescent="0.25">
      <c r="A740" s="4">
        <v>548</v>
      </c>
      <c r="B740" s="5" t="s">
        <v>450</v>
      </c>
      <c r="C740" s="5" t="s">
        <v>2430</v>
      </c>
      <c r="D740" s="16">
        <v>0.31764999999999999</v>
      </c>
      <c r="E740" s="16">
        <v>0.25357000000000007</v>
      </c>
      <c r="F740" s="17">
        <v>0.28570999999999991</v>
      </c>
      <c r="G740" s="18">
        <v>806</v>
      </c>
      <c r="H740" s="18">
        <v>342.36</v>
      </c>
      <c r="I740" s="18">
        <v>806</v>
      </c>
      <c r="J740" s="53">
        <v>133.16</v>
      </c>
    </row>
    <row r="741" spans="1:10" ht="17.25" customHeight="1" x14ac:dyDescent="0.25">
      <c r="A741" s="6">
        <v>538</v>
      </c>
      <c r="B741" s="5" t="s">
        <v>439</v>
      </c>
      <c r="C741" s="5" t="s">
        <v>2431</v>
      </c>
      <c r="D741" s="16">
        <v>0.32431999999999994</v>
      </c>
      <c r="E741" s="16">
        <v>0.25419999999999998</v>
      </c>
      <c r="F741" s="17">
        <v>0.28570000000000007</v>
      </c>
      <c r="G741" s="18">
        <v>771</v>
      </c>
      <c r="H741" s="18">
        <v>271.85000000000002</v>
      </c>
      <c r="I741" s="18">
        <v>771</v>
      </c>
      <c r="J741" s="53">
        <v>114.14</v>
      </c>
    </row>
    <row r="742" spans="1:10" ht="17.25" customHeight="1" x14ac:dyDescent="0.25">
      <c r="A742" s="4">
        <v>127</v>
      </c>
      <c r="B742" s="5" t="s">
        <v>1649</v>
      </c>
      <c r="C742" s="5" t="s">
        <v>1650</v>
      </c>
      <c r="D742" s="16">
        <v>0.2008700000000001</v>
      </c>
      <c r="E742" s="16">
        <v>0.27329999999999988</v>
      </c>
      <c r="F742" s="17">
        <v>0.28330000000000011</v>
      </c>
      <c r="G742" s="18">
        <v>305.42</v>
      </c>
      <c r="H742" s="18">
        <v>90.35</v>
      </c>
      <c r="I742" s="18">
        <v>305.42</v>
      </c>
      <c r="J742" s="53">
        <v>30.07</v>
      </c>
    </row>
    <row r="743" spans="1:10" ht="17.25" customHeight="1" x14ac:dyDescent="0.25">
      <c r="A743" s="4">
        <v>130</v>
      </c>
      <c r="B743" s="5" t="s">
        <v>1652</v>
      </c>
      <c r="C743" s="5" t="s">
        <v>1654</v>
      </c>
      <c r="D743" s="16">
        <v>0.26570000000000005</v>
      </c>
      <c r="E743" s="16">
        <v>0.26394999999999991</v>
      </c>
      <c r="F743" s="17">
        <v>0.23669999999999991</v>
      </c>
      <c r="G743" s="18">
        <v>516.25</v>
      </c>
      <c r="H743" s="18">
        <v>159.05000000000001</v>
      </c>
      <c r="I743" s="18">
        <v>516.25</v>
      </c>
      <c r="J743" s="53">
        <v>46.07</v>
      </c>
    </row>
    <row r="744" spans="1:10" ht="17.25" customHeight="1" x14ac:dyDescent="0.25">
      <c r="A744" s="4">
        <v>305</v>
      </c>
      <c r="B744" s="5" t="s">
        <v>185</v>
      </c>
      <c r="C744" s="5" t="s">
        <v>188</v>
      </c>
      <c r="D744" s="16">
        <v>0.30654000000000003</v>
      </c>
      <c r="E744" s="16">
        <v>0.25856000000000012</v>
      </c>
      <c r="F744" s="17">
        <v>0.27800000000000002</v>
      </c>
      <c r="G744" s="18">
        <v>523.29999999999995</v>
      </c>
      <c r="H744" s="18">
        <v>189.6</v>
      </c>
      <c r="I744" s="18">
        <v>523.29999999999995</v>
      </c>
      <c r="J744" s="53">
        <v>88.1</v>
      </c>
    </row>
    <row r="745" spans="1:10" ht="17.25" customHeight="1" x14ac:dyDescent="0.25">
      <c r="A745" s="4">
        <v>392</v>
      </c>
      <c r="B745" s="5" t="s">
        <v>289</v>
      </c>
      <c r="C745" s="5" t="s">
        <v>292</v>
      </c>
      <c r="D745" s="16">
        <v>0.31018999999999997</v>
      </c>
      <c r="E745" s="16">
        <v>0.25832999999999995</v>
      </c>
      <c r="F745" s="17">
        <v>0.28570999999999991</v>
      </c>
      <c r="G745" s="18">
        <v>553</v>
      </c>
      <c r="H745" s="18">
        <v>201.95</v>
      </c>
      <c r="I745" s="18">
        <v>553</v>
      </c>
      <c r="J745" s="53">
        <v>100.12</v>
      </c>
    </row>
    <row r="746" spans="1:10" ht="17.25" customHeight="1" x14ac:dyDescent="0.25">
      <c r="A746" s="4">
        <v>118</v>
      </c>
      <c r="B746" s="5" t="s">
        <v>2281</v>
      </c>
      <c r="C746" s="5" t="s">
        <v>1637</v>
      </c>
      <c r="D746" s="16">
        <v>0.32258999999999993</v>
      </c>
      <c r="E746" s="16">
        <v>0.27464</v>
      </c>
      <c r="F746" s="17">
        <v>0.23140000000000005</v>
      </c>
      <c r="G746" s="18">
        <v>460.35</v>
      </c>
      <c r="H746" s="18">
        <v>136.75</v>
      </c>
      <c r="I746" s="18">
        <v>460.35</v>
      </c>
      <c r="J746" s="53">
        <v>64.510000000000005</v>
      </c>
    </row>
    <row r="747" spans="1:10" ht="17.25" customHeight="1" x14ac:dyDescent="0.25">
      <c r="A747" s="4">
        <v>120</v>
      </c>
      <c r="B747" s="5" t="s">
        <v>1639</v>
      </c>
      <c r="C747" s="5" t="s">
        <v>1640</v>
      </c>
      <c r="D747" s="16">
        <v>0.29306999999999994</v>
      </c>
      <c r="E747" s="16">
        <v>0.27099000000000006</v>
      </c>
      <c r="F747" s="17">
        <v>0.24419999999999997</v>
      </c>
      <c r="G747" s="18">
        <v>375.31</v>
      </c>
      <c r="H747" s="18">
        <v>129.94999999999999</v>
      </c>
      <c r="I747" s="18">
        <v>375.31</v>
      </c>
      <c r="J747" s="53">
        <v>48.06</v>
      </c>
    </row>
    <row r="748" spans="1:10" ht="17.25" customHeight="1" x14ac:dyDescent="0.25">
      <c r="A748" s="4">
        <v>187</v>
      </c>
      <c r="B748" s="5" t="s">
        <v>49</v>
      </c>
      <c r="C748" s="5" t="s">
        <v>50</v>
      </c>
      <c r="D748" s="16">
        <v>0.33311000000000002</v>
      </c>
      <c r="E748" s="16">
        <v>0.26940000000000008</v>
      </c>
      <c r="F748" s="17">
        <v>0.29354000000000013</v>
      </c>
      <c r="G748" s="18">
        <v>508.4</v>
      </c>
      <c r="H748" s="18">
        <v>193.55</v>
      </c>
      <c r="I748" s="18">
        <v>508.4</v>
      </c>
      <c r="J748" s="53">
        <v>74.08</v>
      </c>
    </row>
    <row r="749" spans="1:10" ht="17.25" customHeight="1" x14ac:dyDescent="0.25">
      <c r="A749" s="4">
        <v>121</v>
      </c>
      <c r="B749" s="5" t="s">
        <v>2282</v>
      </c>
      <c r="C749" s="5" t="s">
        <v>1641</v>
      </c>
      <c r="D749" s="16">
        <v>0.65415000000000001</v>
      </c>
      <c r="E749" s="16">
        <v>0.25912000000000002</v>
      </c>
      <c r="F749" s="17">
        <v>0.29852999999999996</v>
      </c>
      <c r="G749" s="18">
        <v>561</v>
      </c>
      <c r="H749" s="18">
        <v>162.05000000000001</v>
      </c>
      <c r="I749" s="18">
        <v>561</v>
      </c>
      <c r="J749" s="53">
        <v>155.97</v>
      </c>
    </row>
    <row r="750" spans="1:10" ht="17.25" customHeight="1" x14ac:dyDescent="0.25">
      <c r="A750" s="4">
        <v>582</v>
      </c>
      <c r="B750" s="5" t="s">
        <v>474</v>
      </c>
      <c r="C750" s="5" t="s">
        <v>475</v>
      </c>
      <c r="D750" s="16">
        <v>0.29410000000000003</v>
      </c>
      <c r="E750" s="16">
        <v>0.26107000000000014</v>
      </c>
      <c r="F750" s="17">
        <v>0.28570999999999991</v>
      </c>
      <c r="G750" s="18">
        <v>553.15</v>
      </c>
      <c r="H750" s="18">
        <v>185</v>
      </c>
      <c r="I750" s="18">
        <v>553.15</v>
      </c>
      <c r="J750" s="53">
        <v>116.16</v>
      </c>
    </row>
    <row r="751" spans="1:10" ht="17.25" customHeight="1" x14ac:dyDescent="0.25">
      <c r="A751" s="4">
        <v>573</v>
      </c>
      <c r="B751" s="5" t="s">
        <v>466</v>
      </c>
      <c r="C751" s="5" t="s">
        <v>470</v>
      </c>
      <c r="D751" s="16">
        <v>0.27144000000000013</v>
      </c>
      <c r="E751" s="16">
        <v>0.2452700000000001</v>
      </c>
      <c r="F751" s="17">
        <v>0.34305000000000008</v>
      </c>
      <c r="G751" s="18">
        <v>567</v>
      </c>
      <c r="H751" s="18">
        <v>200</v>
      </c>
      <c r="I751" s="18">
        <v>567</v>
      </c>
      <c r="J751" s="53">
        <v>100.16</v>
      </c>
    </row>
    <row r="752" spans="1:10" ht="17.25" customHeight="1" x14ac:dyDescent="0.25">
      <c r="A752" s="4">
        <v>428</v>
      </c>
      <c r="B752" s="5" t="s">
        <v>330</v>
      </c>
      <c r="C752" s="5" t="s">
        <v>332</v>
      </c>
      <c r="D752" s="16">
        <v>0.33372000000000002</v>
      </c>
      <c r="E752" s="16">
        <v>0.21189999999999998</v>
      </c>
      <c r="F752" s="17">
        <v>0.45530000000000004</v>
      </c>
      <c r="G752" s="18">
        <v>588</v>
      </c>
      <c r="H752" s="18">
        <v>247.15</v>
      </c>
      <c r="I752" s="18">
        <v>588</v>
      </c>
      <c r="J752" s="53">
        <v>118.13</v>
      </c>
    </row>
    <row r="753" spans="1:10" ht="17.25" customHeight="1" x14ac:dyDescent="0.25">
      <c r="A753" s="4">
        <v>135</v>
      </c>
      <c r="B753" s="5" t="s">
        <v>1660</v>
      </c>
      <c r="C753" s="5" t="s">
        <v>1662</v>
      </c>
      <c r="D753" s="16">
        <v>0.30092000000000008</v>
      </c>
      <c r="E753" s="16">
        <v>0.26940000000000008</v>
      </c>
      <c r="F753" s="17">
        <v>0.27865999999999991</v>
      </c>
      <c r="G753" s="18">
        <v>499.15</v>
      </c>
      <c r="H753" s="18">
        <v>125.26</v>
      </c>
      <c r="I753" s="18">
        <v>499.15</v>
      </c>
      <c r="J753" s="53">
        <v>62.13</v>
      </c>
    </row>
    <row r="754" spans="1:10" ht="17.25" customHeight="1" x14ac:dyDescent="0.25">
      <c r="A754" s="4">
        <v>539</v>
      </c>
      <c r="B754" s="5" t="s">
        <v>439</v>
      </c>
      <c r="C754" s="5" t="s">
        <v>440</v>
      </c>
      <c r="D754" s="16">
        <v>0.30099999999999993</v>
      </c>
      <c r="E754" s="16">
        <v>0.25689999999999991</v>
      </c>
      <c r="F754" s="17">
        <v>0.28570999999999991</v>
      </c>
      <c r="G754" s="18">
        <v>577</v>
      </c>
      <c r="H754" s="18">
        <v>223.15</v>
      </c>
      <c r="I754" s="18">
        <v>577</v>
      </c>
      <c r="J754" s="53">
        <v>114.14</v>
      </c>
    </row>
    <row r="755" spans="1:10" ht="17.25" customHeight="1" x14ac:dyDescent="0.25">
      <c r="A755" s="4">
        <v>581</v>
      </c>
      <c r="B755" s="5" t="s">
        <v>474</v>
      </c>
      <c r="C755" s="5" t="s">
        <v>2432</v>
      </c>
      <c r="D755" s="16">
        <v>0.27594000000000007</v>
      </c>
      <c r="E755" s="16">
        <v>0.24632000000000009</v>
      </c>
      <c r="F755" s="17">
        <v>0.26390000000000002</v>
      </c>
      <c r="G755" s="18">
        <v>571</v>
      </c>
      <c r="H755" s="18">
        <v>175.15</v>
      </c>
      <c r="I755" s="18">
        <v>571</v>
      </c>
      <c r="J755" s="53">
        <v>116.16</v>
      </c>
    </row>
    <row r="756" spans="1:10" ht="17.25" customHeight="1" x14ac:dyDescent="0.25">
      <c r="A756" s="4">
        <v>417</v>
      </c>
      <c r="B756" s="5" t="s">
        <v>320</v>
      </c>
      <c r="C756" s="5" t="s">
        <v>321</v>
      </c>
      <c r="D756" s="16">
        <v>0.30662999999999996</v>
      </c>
      <c r="E756" s="16">
        <v>0.26279999999999992</v>
      </c>
      <c r="F756" s="17">
        <v>0.29420000000000002</v>
      </c>
      <c r="G756" s="18">
        <v>546</v>
      </c>
      <c r="H756" s="18">
        <v>199.25</v>
      </c>
      <c r="I756" s="18">
        <v>546</v>
      </c>
      <c r="J756" s="53">
        <v>102.13</v>
      </c>
    </row>
    <row r="757" spans="1:10" ht="17.25" customHeight="1" x14ac:dyDescent="0.25">
      <c r="A757" s="4">
        <v>887</v>
      </c>
      <c r="B757" s="5" t="s">
        <v>1792</v>
      </c>
      <c r="C757" s="5" t="s">
        <v>1793</v>
      </c>
      <c r="D757" s="16">
        <v>0.35518000000000005</v>
      </c>
      <c r="E757" s="16">
        <v>0.246</v>
      </c>
      <c r="F757" s="17">
        <v>0.28570999999999991</v>
      </c>
      <c r="G757" s="18">
        <v>748</v>
      </c>
      <c r="H757" s="18">
        <v>350.65</v>
      </c>
      <c r="I757" s="18">
        <v>748</v>
      </c>
      <c r="J757" s="53">
        <v>166.17</v>
      </c>
    </row>
    <row r="758" spans="1:10" ht="17.25" customHeight="1" x14ac:dyDescent="0.25">
      <c r="A758" s="4">
        <v>298</v>
      </c>
      <c r="B758" s="5" t="s">
        <v>179</v>
      </c>
      <c r="C758" s="5" t="s">
        <v>183</v>
      </c>
      <c r="D758" s="16">
        <v>0.27750000000000008</v>
      </c>
      <c r="E758" s="16">
        <v>0.26793</v>
      </c>
      <c r="F758" s="17">
        <v>0.28570999999999991</v>
      </c>
      <c r="G758" s="18">
        <v>475.15</v>
      </c>
      <c r="H758" s="18">
        <v>157.35</v>
      </c>
      <c r="I758" s="18">
        <v>475.15</v>
      </c>
      <c r="J758" s="53">
        <v>72.11</v>
      </c>
    </row>
    <row r="759" spans="1:10" ht="17.25" customHeight="1" x14ac:dyDescent="0.25">
      <c r="A759" s="4">
        <v>739</v>
      </c>
      <c r="B759" s="5" t="s">
        <v>1718</v>
      </c>
      <c r="C759" s="5" t="s">
        <v>1719</v>
      </c>
      <c r="D759" s="16">
        <v>0.31641999999999992</v>
      </c>
      <c r="E759" s="16">
        <v>0.25720999999999994</v>
      </c>
      <c r="F759" s="17">
        <v>0.32153999999999994</v>
      </c>
      <c r="G759" s="18">
        <v>609</v>
      </c>
      <c r="H759" s="18">
        <v>223</v>
      </c>
      <c r="I759" s="18">
        <v>609</v>
      </c>
      <c r="J759" s="53">
        <v>146.18</v>
      </c>
    </row>
    <row r="760" spans="1:10" ht="17.25" customHeight="1" x14ac:dyDescent="0.25">
      <c r="A760" s="4">
        <v>541</v>
      </c>
      <c r="B760" s="5" t="s">
        <v>441</v>
      </c>
      <c r="C760" s="5" t="s">
        <v>442</v>
      </c>
      <c r="D760" s="16">
        <v>0.31956000000000007</v>
      </c>
      <c r="E760" s="16">
        <v>0.24909999999999988</v>
      </c>
      <c r="F760" s="17">
        <v>0.28570000000000007</v>
      </c>
      <c r="G760" s="18">
        <v>643</v>
      </c>
      <c r="H760" s="18">
        <v>234.15</v>
      </c>
      <c r="I760" s="18">
        <v>643</v>
      </c>
      <c r="J760" s="53">
        <v>130.13999999999999</v>
      </c>
    </row>
    <row r="761" spans="1:10" ht="17.25" customHeight="1" x14ac:dyDescent="0.25">
      <c r="A761" s="4">
        <v>258</v>
      </c>
      <c r="B761" s="5" t="s">
        <v>137</v>
      </c>
      <c r="C761" s="5" t="s">
        <v>142</v>
      </c>
      <c r="D761" s="16">
        <v>0.24365999999999999</v>
      </c>
      <c r="E761" s="16">
        <v>0.26147000000000009</v>
      </c>
      <c r="F761" s="17">
        <v>0.28310000000000013</v>
      </c>
      <c r="G761" s="18">
        <v>443.2</v>
      </c>
      <c r="H761" s="18">
        <v>147.43</v>
      </c>
      <c r="I761" s="18">
        <v>443.2</v>
      </c>
      <c r="J761" s="53">
        <v>54.09</v>
      </c>
    </row>
    <row r="762" spans="1:10" ht="17.25" customHeight="1" x14ac:dyDescent="0.25">
      <c r="A762" s="4">
        <v>138</v>
      </c>
      <c r="B762" s="5" t="s">
        <v>1665</v>
      </c>
      <c r="C762" s="5" t="s">
        <v>1667</v>
      </c>
      <c r="D762" s="16">
        <v>0.24773000000000001</v>
      </c>
      <c r="E762" s="16">
        <v>0.25651000000000002</v>
      </c>
      <c r="F762" s="17">
        <v>0.28588999999999998</v>
      </c>
      <c r="G762" s="18">
        <v>456.15</v>
      </c>
      <c r="H762" s="18">
        <v>192.15</v>
      </c>
      <c r="I762" s="18">
        <v>456.15</v>
      </c>
      <c r="J762" s="53">
        <v>45.08</v>
      </c>
    </row>
    <row r="763" spans="1:10" ht="17.25" customHeight="1" x14ac:dyDescent="0.25">
      <c r="A763" s="4">
        <v>778</v>
      </c>
      <c r="B763" s="5" t="s">
        <v>594</v>
      </c>
      <c r="C763" s="5" t="s">
        <v>1763</v>
      </c>
      <c r="D763" s="19">
        <v>0.28888999999999987</v>
      </c>
      <c r="E763" s="16">
        <v>0.26438000000000006</v>
      </c>
      <c r="F763" s="17">
        <v>0.29210000000000003</v>
      </c>
      <c r="G763" s="18">
        <v>617.16999999999996</v>
      </c>
      <c r="H763" s="18">
        <v>178.2</v>
      </c>
      <c r="I763" s="18">
        <v>617.16999999999996</v>
      </c>
      <c r="J763" s="53">
        <v>106.16</v>
      </c>
    </row>
    <row r="764" spans="1:10" ht="17.25" customHeight="1" x14ac:dyDescent="0.25">
      <c r="A764" s="4">
        <v>165</v>
      </c>
      <c r="B764" s="5" t="s">
        <v>19</v>
      </c>
      <c r="C764" s="5" t="s">
        <v>20</v>
      </c>
      <c r="D764" s="16">
        <v>0.39599000000000006</v>
      </c>
      <c r="E764" s="16">
        <v>0.26089999999999991</v>
      </c>
      <c r="F764" s="17">
        <v>0.28299999999999992</v>
      </c>
      <c r="G764" s="18">
        <v>508.15</v>
      </c>
      <c r="H764" s="18">
        <v>192</v>
      </c>
      <c r="I764" s="18">
        <v>508.15</v>
      </c>
      <c r="J764" s="53">
        <v>108.52</v>
      </c>
    </row>
    <row r="765" spans="1:10" ht="17.25" customHeight="1" x14ac:dyDescent="0.25">
      <c r="A765" s="4">
        <v>373</v>
      </c>
      <c r="B765" s="5" t="s">
        <v>270</v>
      </c>
      <c r="C765" s="5" t="s">
        <v>271</v>
      </c>
      <c r="D765" s="16">
        <v>0.31594999999999995</v>
      </c>
      <c r="E765" s="16">
        <v>0.23893999999999993</v>
      </c>
      <c r="F765" s="17">
        <v>0.29299999999999993</v>
      </c>
      <c r="G765" s="18">
        <v>679</v>
      </c>
      <c r="H765" s="18">
        <v>250.65</v>
      </c>
      <c r="I765" s="18">
        <v>679</v>
      </c>
      <c r="J765" s="53">
        <v>113.11</v>
      </c>
    </row>
    <row r="766" spans="1:10" ht="17.25" customHeight="1" x14ac:dyDescent="0.25">
      <c r="A766" s="4">
        <v>811</v>
      </c>
      <c r="B766" s="5" t="s">
        <v>617</v>
      </c>
      <c r="C766" s="5" t="s">
        <v>620</v>
      </c>
      <c r="D766" s="16">
        <v>0.24941999999999998</v>
      </c>
      <c r="E766" s="16">
        <v>0.25384000000000007</v>
      </c>
      <c r="F766" s="17">
        <v>0.26750000000000007</v>
      </c>
      <c r="G766" s="18">
        <v>609.15</v>
      </c>
      <c r="H766" s="18">
        <v>161.84</v>
      </c>
      <c r="I766" s="18">
        <v>609.15</v>
      </c>
      <c r="J766" s="53">
        <v>112.21</v>
      </c>
    </row>
    <row r="767" spans="1:10" ht="17.25" customHeight="1" x14ac:dyDescent="0.25">
      <c r="A767" s="4">
        <v>709</v>
      </c>
      <c r="B767" s="5" t="s">
        <v>1698</v>
      </c>
      <c r="C767" s="5" t="s">
        <v>1701</v>
      </c>
      <c r="D767" s="16">
        <v>0.26219999999999999</v>
      </c>
      <c r="E767" s="16">
        <v>0.26936000000000004</v>
      </c>
      <c r="F767" s="17">
        <v>0.27770000000000006</v>
      </c>
      <c r="G767" s="18">
        <v>569.52</v>
      </c>
      <c r="H767" s="18">
        <v>134.71</v>
      </c>
      <c r="I767" s="18">
        <v>569.52</v>
      </c>
      <c r="J767" s="53">
        <v>98.19</v>
      </c>
    </row>
    <row r="768" spans="1:10" ht="17.25" customHeight="1" x14ac:dyDescent="0.25">
      <c r="A768" s="4">
        <v>102</v>
      </c>
      <c r="B768" s="5" t="s">
        <v>1611</v>
      </c>
      <c r="C768" s="5" t="s">
        <v>1612</v>
      </c>
      <c r="D768" s="16">
        <v>0.21428000000000003</v>
      </c>
      <c r="E768" s="16">
        <v>0.28061000000000003</v>
      </c>
      <c r="F768" s="17">
        <v>0.28570999999999991</v>
      </c>
      <c r="G768" s="18">
        <v>282.36</v>
      </c>
      <c r="H768" s="18">
        <v>104.01</v>
      </c>
      <c r="I768" s="18">
        <v>282.36</v>
      </c>
      <c r="J768" s="53">
        <v>28.05</v>
      </c>
    </row>
    <row r="769" spans="1:10" ht="17.25" customHeight="1" x14ac:dyDescent="0.25">
      <c r="A769" s="4">
        <v>158</v>
      </c>
      <c r="B769" s="5" t="s">
        <v>11</v>
      </c>
      <c r="C769" s="5" t="s">
        <v>12</v>
      </c>
      <c r="D769" s="16">
        <v>0.38297999999999988</v>
      </c>
      <c r="E769" s="16">
        <v>0.2370000000000001</v>
      </c>
      <c r="F769" s="17">
        <v>0.28600000000000003</v>
      </c>
      <c r="G769" s="18">
        <v>790</v>
      </c>
      <c r="H769" s="18">
        <v>309.55</v>
      </c>
      <c r="I769" s="18">
        <v>790</v>
      </c>
      <c r="J769" s="53">
        <v>88.06</v>
      </c>
    </row>
    <row r="770" spans="1:10" ht="17.25" customHeight="1" x14ac:dyDescent="0.25">
      <c r="A770" s="4">
        <v>132</v>
      </c>
      <c r="B770" s="5" t="s">
        <v>2283</v>
      </c>
      <c r="C770" s="5" t="s">
        <v>1657</v>
      </c>
      <c r="D770" s="16">
        <v>0.32502999999999993</v>
      </c>
      <c r="E770" s="16">
        <v>0.25499000000000005</v>
      </c>
      <c r="F770" s="17">
        <v>0.17199999999999993</v>
      </c>
      <c r="G770" s="18">
        <v>645</v>
      </c>
      <c r="H770" s="18">
        <v>260.14999999999998</v>
      </c>
      <c r="I770" s="18">
        <v>645</v>
      </c>
      <c r="J770" s="53">
        <v>62.07</v>
      </c>
    </row>
    <row r="771" spans="1:10" ht="17.25" customHeight="1" x14ac:dyDescent="0.25">
      <c r="A771" s="4">
        <v>545</v>
      </c>
      <c r="B771" s="5" t="s">
        <v>2255</v>
      </c>
      <c r="C771" s="5" t="s">
        <v>446</v>
      </c>
      <c r="D771" s="16">
        <v>0.33858999999999995</v>
      </c>
      <c r="E771" s="16">
        <v>0.24564999999999992</v>
      </c>
      <c r="F771" s="17">
        <v>0.28570000000000007</v>
      </c>
      <c r="G771" s="18">
        <v>653</v>
      </c>
      <c r="H771" s="18">
        <v>242.15</v>
      </c>
      <c r="I771" s="18">
        <v>653</v>
      </c>
      <c r="J771" s="53">
        <v>146.13999999999999</v>
      </c>
    </row>
    <row r="772" spans="1:10" ht="17.25" customHeight="1" x14ac:dyDescent="0.25">
      <c r="A772" s="4">
        <v>454</v>
      </c>
      <c r="B772" s="5" t="s">
        <v>359</v>
      </c>
      <c r="C772" s="5" t="s">
        <v>360</v>
      </c>
      <c r="D772" s="16">
        <v>0.30303000000000013</v>
      </c>
      <c r="E772" s="16">
        <v>0.26066000000000011</v>
      </c>
      <c r="F772" s="17">
        <v>0.28570000000000007</v>
      </c>
      <c r="G772" s="18">
        <v>582</v>
      </c>
      <c r="H772" s="18">
        <v>183.15</v>
      </c>
      <c r="I772" s="18">
        <v>582</v>
      </c>
      <c r="J772" s="53">
        <v>104.15</v>
      </c>
    </row>
    <row r="773" spans="1:10" ht="17.25" customHeight="1" x14ac:dyDescent="0.25">
      <c r="A773" s="4">
        <v>112</v>
      </c>
      <c r="B773" s="5" t="s">
        <v>1625</v>
      </c>
      <c r="C773" s="5" t="s">
        <v>1627</v>
      </c>
      <c r="D773" s="16">
        <v>0.31401999999999997</v>
      </c>
      <c r="E773" s="16">
        <v>0.26089000000000007</v>
      </c>
      <c r="F773" s="17">
        <v>0.28252999999999995</v>
      </c>
      <c r="G773" s="18">
        <v>469.15</v>
      </c>
      <c r="H773" s="18">
        <v>161.44999999999999</v>
      </c>
      <c r="I773" s="18">
        <v>469.15</v>
      </c>
      <c r="J773" s="53">
        <v>44.05</v>
      </c>
    </row>
    <row r="774" spans="1:10" ht="17.25" customHeight="1" x14ac:dyDescent="0.25">
      <c r="A774" s="4">
        <v>140</v>
      </c>
      <c r="B774" s="5" t="s">
        <v>1670</v>
      </c>
      <c r="C774" s="5" t="s">
        <v>1671</v>
      </c>
      <c r="D774" s="16">
        <v>0.22764999999999991</v>
      </c>
      <c r="E774" s="16">
        <v>0.20726</v>
      </c>
      <c r="F774" s="17">
        <v>0.20172999999999996</v>
      </c>
      <c r="G774" s="18">
        <v>593</v>
      </c>
      <c r="H774" s="18">
        <v>284.29000000000002</v>
      </c>
      <c r="I774" s="18">
        <v>593</v>
      </c>
      <c r="J774" s="53">
        <v>60.1</v>
      </c>
    </row>
    <row r="775" spans="1:10" ht="17.25" customHeight="1" x14ac:dyDescent="0.25">
      <c r="A775" s="4">
        <v>122</v>
      </c>
      <c r="B775" s="5" t="s">
        <v>1642</v>
      </c>
      <c r="C775" s="5" t="s">
        <v>1643</v>
      </c>
      <c r="D775" s="16">
        <v>0.24895</v>
      </c>
      <c r="E775" s="16">
        <v>0.23289000000000004</v>
      </c>
      <c r="F775" s="17">
        <v>0.23357000000000006</v>
      </c>
      <c r="G775" s="18">
        <v>537</v>
      </c>
      <c r="H775" s="18">
        <v>195.2</v>
      </c>
      <c r="I775" s="18">
        <v>537</v>
      </c>
      <c r="J775" s="53">
        <v>43.07</v>
      </c>
    </row>
    <row r="776" spans="1:10" ht="17.25" customHeight="1" x14ac:dyDescent="0.25">
      <c r="A776" s="4">
        <v>1327</v>
      </c>
      <c r="B776" s="21" t="s">
        <v>1091</v>
      </c>
      <c r="C776" s="21" t="s">
        <v>1093</v>
      </c>
      <c r="D776" s="30">
        <v>0.26059999999999994</v>
      </c>
      <c r="E776" s="30">
        <v>0.18500000000000005</v>
      </c>
      <c r="F776" s="31">
        <v>0.28570999999999991</v>
      </c>
      <c r="G776" s="32">
        <v>821.75</v>
      </c>
      <c r="H776" s="18">
        <v>303.16000000000003</v>
      </c>
      <c r="I776" s="18">
        <v>821.75</v>
      </c>
      <c r="J776" s="53">
        <v>300.58</v>
      </c>
    </row>
    <row r="777" spans="1:10" ht="17.25" customHeight="1" x14ac:dyDescent="0.25">
      <c r="A777" s="4">
        <v>954</v>
      </c>
      <c r="B777" s="5" t="s">
        <v>680</v>
      </c>
      <c r="C777" s="5" t="s">
        <v>682</v>
      </c>
      <c r="D777" s="16">
        <v>0.25560000000000005</v>
      </c>
      <c r="E777" s="16">
        <v>0.246</v>
      </c>
      <c r="F777" s="17">
        <v>0.28570999999999991</v>
      </c>
      <c r="G777" s="18">
        <v>681.56</v>
      </c>
      <c r="H777" s="18">
        <v>231.16</v>
      </c>
      <c r="I777" s="18">
        <v>681.56</v>
      </c>
      <c r="J777" s="53">
        <v>160.32</v>
      </c>
    </row>
    <row r="778" spans="1:10" ht="17.25" customHeight="1" x14ac:dyDescent="0.25">
      <c r="A778" s="4">
        <v>1310</v>
      </c>
      <c r="B778" s="5" t="s">
        <v>1069</v>
      </c>
      <c r="C778" s="5" t="s">
        <v>1071</v>
      </c>
      <c r="D778" s="16">
        <v>0.26109999999999989</v>
      </c>
      <c r="E778" s="16">
        <v>0.18999999999999995</v>
      </c>
      <c r="F778" s="17">
        <v>0.28570999999999991</v>
      </c>
      <c r="G778" s="18">
        <v>810.53</v>
      </c>
      <c r="H778" s="18">
        <v>298.16000000000003</v>
      </c>
      <c r="I778" s="18">
        <v>810.53</v>
      </c>
      <c r="J778" s="53">
        <v>286.56</v>
      </c>
    </row>
    <row r="779" spans="1:10" ht="17.25" customHeight="1" x14ac:dyDescent="0.25">
      <c r="A779" s="4">
        <v>862</v>
      </c>
      <c r="B779" s="5" t="s">
        <v>1764</v>
      </c>
      <c r="C779" s="5" t="s">
        <v>1766</v>
      </c>
      <c r="D779" s="16">
        <v>0.26290000000000013</v>
      </c>
      <c r="E779" s="16">
        <v>0.252</v>
      </c>
      <c r="F779" s="17">
        <v>0.28570999999999991</v>
      </c>
      <c r="G779" s="18">
        <v>660.72</v>
      </c>
      <c r="H779" s="18">
        <v>209.86</v>
      </c>
      <c r="I779" s="18">
        <v>660.72</v>
      </c>
      <c r="J779" s="53">
        <v>146.29</v>
      </c>
    </row>
    <row r="780" spans="1:10" ht="17.25" customHeight="1" x14ac:dyDescent="0.25">
      <c r="A780" s="6">
        <v>546</v>
      </c>
      <c r="B780" s="5" t="s">
        <v>2255</v>
      </c>
      <c r="C780" s="5" t="s">
        <v>447</v>
      </c>
      <c r="D780" s="16">
        <v>0.35994999999999999</v>
      </c>
      <c r="E780" s="16">
        <v>0.26895000000000002</v>
      </c>
      <c r="F780" s="17">
        <v>0.29542000000000002</v>
      </c>
      <c r="G780" s="18">
        <v>635</v>
      </c>
      <c r="H780" s="18">
        <v>292</v>
      </c>
      <c r="I780" s="18">
        <v>635</v>
      </c>
      <c r="J780" s="53">
        <v>146.13999999999999</v>
      </c>
    </row>
    <row r="781" spans="1:10" ht="17.25" customHeight="1" x14ac:dyDescent="0.25">
      <c r="A781" s="4">
        <v>734</v>
      </c>
      <c r="B781" s="5" t="s">
        <v>1715</v>
      </c>
      <c r="C781" s="5" t="s">
        <v>1716</v>
      </c>
      <c r="D781" s="16">
        <v>0.28913999999999995</v>
      </c>
      <c r="E781" s="16">
        <v>0.26160000000000005</v>
      </c>
      <c r="F781" s="17">
        <v>0.28570000000000007</v>
      </c>
      <c r="G781" s="18">
        <v>587.95000000000005</v>
      </c>
      <c r="H781" s="18">
        <v>173.85</v>
      </c>
      <c r="I781" s="18">
        <v>587.95000000000005</v>
      </c>
      <c r="J781" s="53">
        <v>130.18</v>
      </c>
    </row>
    <row r="782" spans="1:10" ht="17.25" customHeight="1" x14ac:dyDescent="0.25">
      <c r="A782" s="4">
        <v>222</v>
      </c>
      <c r="B782" s="5" t="s">
        <v>90</v>
      </c>
      <c r="C782" s="5" t="s">
        <v>92</v>
      </c>
      <c r="D782" s="16">
        <v>0.28820000000000001</v>
      </c>
      <c r="E782" s="16">
        <v>0.26200000000000001</v>
      </c>
      <c r="F782" s="17">
        <v>0.28570999999999991</v>
      </c>
      <c r="G782" s="18">
        <v>532.79999999999995</v>
      </c>
      <c r="H782" s="18">
        <v>167.2</v>
      </c>
      <c r="I782" s="18">
        <v>532.79999999999995</v>
      </c>
      <c r="J782" s="53">
        <v>76.16</v>
      </c>
    </row>
    <row r="783" spans="1:10" ht="17.25" customHeight="1" x14ac:dyDescent="0.25">
      <c r="A783" s="4">
        <v>1121</v>
      </c>
      <c r="B783" s="5" t="s">
        <v>840</v>
      </c>
      <c r="C783" s="5" t="s">
        <v>844</v>
      </c>
      <c r="D783" s="16">
        <v>0.24019999999999997</v>
      </c>
      <c r="E783" s="16">
        <v>0.23199999999999998</v>
      </c>
      <c r="F783" s="17">
        <v>0.28570999999999991</v>
      </c>
      <c r="G783" s="18">
        <v>717.91</v>
      </c>
      <c r="H783" s="18">
        <v>254.66</v>
      </c>
      <c r="I783" s="18">
        <v>717.91</v>
      </c>
      <c r="J783" s="53">
        <v>188.37</v>
      </c>
    </row>
    <row r="784" spans="1:10" ht="17.25" customHeight="1" x14ac:dyDescent="0.25">
      <c r="A784" s="4">
        <v>1344</v>
      </c>
      <c r="B784" s="21" t="s">
        <v>1100</v>
      </c>
      <c r="C784" s="21" t="s">
        <v>1846</v>
      </c>
      <c r="D784" s="16">
        <v>0.2601</v>
      </c>
      <c r="E784" s="16">
        <v>0.17900000000000005</v>
      </c>
      <c r="F784" s="17">
        <v>0.28570999999999991</v>
      </c>
      <c r="G784" s="18">
        <v>832.33</v>
      </c>
      <c r="H784" s="18">
        <v>308.16000000000003</v>
      </c>
      <c r="I784" s="18">
        <v>832.33</v>
      </c>
      <c r="J784" s="53">
        <v>314.61</v>
      </c>
    </row>
    <row r="785" spans="1:10" ht="17.25" customHeight="1" x14ac:dyDescent="0.25">
      <c r="A785" s="4">
        <v>1099</v>
      </c>
      <c r="B785" s="5" t="s">
        <v>812</v>
      </c>
      <c r="C785" s="5" t="s">
        <v>814</v>
      </c>
      <c r="D785" s="16">
        <v>0.24780000000000002</v>
      </c>
      <c r="E785" s="16">
        <v>0.23899999999999988</v>
      </c>
      <c r="F785" s="17">
        <v>0.28570999999999991</v>
      </c>
      <c r="G785" s="18">
        <v>701.03</v>
      </c>
      <c r="H785" s="18">
        <v>238.16</v>
      </c>
      <c r="I785" s="18">
        <v>701.03</v>
      </c>
      <c r="J785" s="53">
        <v>174.35</v>
      </c>
    </row>
    <row r="786" spans="1:10" ht="17.25" customHeight="1" x14ac:dyDescent="0.25">
      <c r="A786" s="4">
        <v>1282</v>
      </c>
      <c r="B786" s="5" t="s">
        <v>1035</v>
      </c>
      <c r="C786" s="5" t="s">
        <v>1037</v>
      </c>
      <c r="D786" s="16">
        <v>0.20179999999999998</v>
      </c>
      <c r="E786" s="16">
        <v>0.19500000000000006</v>
      </c>
      <c r="F786" s="17">
        <v>0.28570999999999991</v>
      </c>
      <c r="G786" s="18">
        <v>798.63</v>
      </c>
      <c r="H786" s="18">
        <v>294.16000000000003</v>
      </c>
      <c r="I786" s="18">
        <v>798.63</v>
      </c>
      <c r="J786" s="53">
        <v>272.52999999999997</v>
      </c>
    </row>
    <row r="787" spans="1:10" ht="17.25" customHeight="1" x14ac:dyDescent="0.25">
      <c r="A787" s="4">
        <v>757</v>
      </c>
      <c r="B787" s="5" t="s">
        <v>1738</v>
      </c>
      <c r="C787" s="5" t="s">
        <v>1740</v>
      </c>
      <c r="D787" s="16">
        <v>0.27150000000000007</v>
      </c>
      <c r="E787" s="16">
        <v>0.2589999999999999</v>
      </c>
      <c r="F787" s="17">
        <v>0.28570999999999991</v>
      </c>
      <c r="G787" s="18">
        <v>638.37</v>
      </c>
      <c r="H787" s="18">
        <v>206.66</v>
      </c>
      <c r="I787" s="18">
        <v>638.37</v>
      </c>
      <c r="J787" s="53">
        <v>132.27000000000001</v>
      </c>
    </row>
    <row r="788" spans="1:10" ht="17.25" customHeight="1" x14ac:dyDescent="0.25">
      <c r="A788" s="4">
        <v>453</v>
      </c>
      <c r="B788" s="5" t="s">
        <v>348</v>
      </c>
      <c r="C788" s="5" t="s">
        <v>358</v>
      </c>
      <c r="D788" s="16">
        <v>0.26205999999999996</v>
      </c>
      <c r="E788" s="16">
        <v>0.26600000000000001</v>
      </c>
      <c r="F788" s="17">
        <v>0.29200000000000004</v>
      </c>
      <c r="G788" s="18">
        <v>500.23</v>
      </c>
      <c r="H788" s="18">
        <v>145.65</v>
      </c>
      <c r="I788" s="18">
        <v>500.23</v>
      </c>
      <c r="J788" s="53">
        <v>88.15</v>
      </c>
    </row>
    <row r="789" spans="1:10" ht="17.25" customHeight="1" x14ac:dyDescent="0.25">
      <c r="A789" s="4">
        <v>461</v>
      </c>
      <c r="B789" s="5" t="s">
        <v>366</v>
      </c>
      <c r="C789" s="5" t="s">
        <v>368</v>
      </c>
      <c r="D789" s="16">
        <v>0.28439999999999999</v>
      </c>
      <c r="E789" s="16">
        <v>0.26800000000000002</v>
      </c>
      <c r="F789" s="17">
        <v>0.28570999999999991</v>
      </c>
      <c r="G789" s="18">
        <v>584</v>
      </c>
      <c r="H789" s="18">
        <v>156.15</v>
      </c>
      <c r="I789" s="18">
        <v>584</v>
      </c>
      <c r="J789" s="53">
        <v>104.21</v>
      </c>
    </row>
    <row r="790" spans="1:10" ht="17.25" customHeight="1" x14ac:dyDescent="0.25">
      <c r="A790" s="4">
        <v>1268</v>
      </c>
      <c r="B790" s="5" t="s">
        <v>1020</v>
      </c>
      <c r="C790" s="5" t="s">
        <v>2304</v>
      </c>
      <c r="D790" s="16">
        <v>0.1903999999999999</v>
      </c>
      <c r="E790" s="16">
        <v>0.18199999999999994</v>
      </c>
      <c r="F790" s="17">
        <v>0.28570999999999991</v>
      </c>
      <c r="G790" s="18">
        <v>791.68</v>
      </c>
      <c r="H790" s="18">
        <v>288.16000000000003</v>
      </c>
      <c r="I790" s="18">
        <v>791.68</v>
      </c>
      <c r="J790" s="53">
        <v>258.5</v>
      </c>
    </row>
    <row r="791" spans="1:10" ht="17.25" customHeight="1" x14ac:dyDescent="0.25">
      <c r="A791" s="4">
        <v>1249</v>
      </c>
      <c r="B791" s="5" t="s">
        <v>998</v>
      </c>
      <c r="C791" s="5" t="s">
        <v>1001</v>
      </c>
      <c r="D791" s="16">
        <v>0.21399999999999997</v>
      </c>
      <c r="E791" s="16">
        <v>0.20700000000000007</v>
      </c>
      <c r="F791" s="17">
        <v>0.28570999999999991</v>
      </c>
      <c r="G791" s="18">
        <v>775.15</v>
      </c>
      <c r="H791" s="18">
        <v>284.16000000000003</v>
      </c>
      <c r="I791" s="18">
        <v>775.15</v>
      </c>
      <c r="J791" s="53">
        <v>244.48</v>
      </c>
    </row>
    <row r="792" spans="1:10" ht="17.25" customHeight="1" x14ac:dyDescent="0.25">
      <c r="A792" s="4">
        <v>1199</v>
      </c>
      <c r="B792" s="5" t="s">
        <v>933</v>
      </c>
      <c r="C792" s="5" t="s">
        <v>937</v>
      </c>
      <c r="D792" s="16">
        <v>0.22649999999999992</v>
      </c>
      <c r="E792" s="16">
        <v>0.21900000000000008</v>
      </c>
      <c r="F792" s="17">
        <v>0.28570999999999991</v>
      </c>
      <c r="G792" s="18">
        <v>748.42</v>
      </c>
      <c r="H792" s="18">
        <v>271.16000000000003</v>
      </c>
      <c r="I792" s="18">
        <v>748.42</v>
      </c>
      <c r="J792" s="53">
        <v>216.43</v>
      </c>
    </row>
    <row r="793" spans="1:10" ht="17.25" customHeight="1" x14ac:dyDescent="0.25">
      <c r="A793" s="4">
        <v>1178</v>
      </c>
      <c r="B793" s="5" t="s">
        <v>907</v>
      </c>
      <c r="C793" s="5" t="s">
        <v>908</v>
      </c>
      <c r="D793" s="16">
        <v>0.41539999999999999</v>
      </c>
      <c r="E793" s="16">
        <v>0.26</v>
      </c>
      <c r="F793" s="17">
        <v>0.28570999999999991</v>
      </c>
      <c r="G793" s="18">
        <v>870</v>
      </c>
      <c r="H793" s="18">
        <v>387.94</v>
      </c>
      <c r="I793" s="18">
        <v>870</v>
      </c>
      <c r="J793" s="53">
        <v>166.22</v>
      </c>
    </row>
    <row r="794" spans="1:10" ht="17.25" customHeight="1" x14ac:dyDescent="0.25">
      <c r="A794" s="4">
        <v>490</v>
      </c>
      <c r="B794" s="5" t="s">
        <v>388</v>
      </c>
      <c r="C794" s="5" t="s">
        <v>389</v>
      </c>
      <c r="D794" s="16">
        <v>0.35746999999999995</v>
      </c>
      <c r="E794" s="16">
        <v>0.27276999999999996</v>
      </c>
      <c r="F794" s="17">
        <v>0.28290999999999999</v>
      </c>
      <c r="G794" s="18">
        <v>560.09</v>
      </c>
      <c r="H794" s="18">
        <v>230.94</v>
      </c>
      <c r="I794" s="18">
        <v>560.09</v>
      </c>
      <c r="J794" s="53">
        <v>96.1</v>
      </c>
    </row>
    <row r="795" spans="1:10" ht="17.25" customHeight="1" x14ac:dyDescent="0.25">
      <c r="A795" s="4">
        <v>27</v>
      </c>
      <c r="B795" s="5" t="s">
        <v>1494</v>
      </c>
      <c r="C795" s="5" t="s">
        <v>1495</v>
      </c>
      <c r="D795" s="16">
        <v>0.26191999999999993</v>
      </c>
      <c r="E795" s="16">
        <v>0.22239999999999993</v>
      </c>
      <c r="F795" s="17">
        <v>0.28570000000000007</v>
      </c>
      <c r="G795" s="18">
        <v>408</v>
      </c>
      <c r="H795" s="18">
        <v>181.15</v>
      </c>
      <c r="I795" s="18">
        <v>408</v>
      </c>
      <c r="J795" s="53">
        <v>30.03</v>
      </c>
    </row>
    <row r="796" spans="1:10" ht="17.25" customHeight="1" x14ac:dyDescent="0.25">
      <c r="A796" s="4">
        <v>34</v>
      </c>
      <c r="B796" s="5" t="s">
        <v>1506</v>
      </c>
      <c r="C796" s="5" t="s">
        <v>1507</v>
      </c>
      <c r="D796" s="16">
        <v>0.27632999999999996</v>
      </c>
      <c r="E796" s="16">
        <v>0.20351999999999992</v>
      </c>
      <c r="F796" s="17">
        <v>0.25178000000000011</v>
      </c>
      <c r="G796" s="18">
        <v>771</v>
      </c>
      <c r="H796" s="18">
        <v>275.7</v>
      </c>
      <c r="I796" s="18">
        <v>771</v>
      </c>
      <c r="J796" s="53">
        <v>45.04</v>
      </c>
    </row>
    <row r="797" spans="1:10" ht="17.25" customHeight="1" x14ac:dyDescent="0.25">
      <c r="A797" s="4">
        <v>675</v>
      </c>
      <c r="B797" s="5" t="s">
        <v>567</v>
      </c>
      <c r="C797" s="5" t="s">
        <v>568</v>
      </c>
      <c r="D797" s="16">
        <v>0.31703999999999999</v>
      </c>
      <c r="E797" s="16">
        <v>0.24</v>
      </c>
      <c r="F797" s="17">
        <v>0.29000000000000004</v>
      </c>
      <c r="G797" s="18">
        <v>787</v>
      </c>
      <c r="H797" s="18">
        <v>323.14999999999998</v>
      </c>
      <c r="I797" s="18">
        <v>787</v>
      </c>
      <c r="J797" s="53">
        <v>121.14</v>
      </c>
    </row>
    <row r="798" spans="1:10" ht="17.25" customHeight="1" x14ac:dyDescent="0.25">
      <c r="A798" s="4">
        <v>28</v>
      </c>
      <c r="B798" s="5" t="s">
        <v>1496</v>
      </c>
      <c r="C798" s="5" t="s">
        <v>1497</v>
      </c>
      <c r="D798" s="16">
        <v>0.36820999999999993</v>
      </c>
      <c r="E798" s="16">
        <v>0.24296000000000006</v>
      </c>
      <c r="F798" s="17">
        <v>0.2366299999999999</v>
      </c>
      <c r="G798" s="18">
        <v>580</v>
      </c>
      <c r="H798" s="18">
        <v>281.55</v>
      </c>
      <c r="I798" s="18">
        <v>580</v>
      </c>
      <c r="J798" s="53">
        <v>46.03</v>
      </c>
    </row>
    <row r="799" spans="1:10" ht="17.25" customHeight="1" x14ac:dyDescent="0.25">
      <c r="A799" s="4">
        <v>244</v>
      </c>
      <c r="B799" s="5" t="s">
        <v>2284</v>
      </c>
      <c r="C799" s="5" t="s">
        <v>126</v>
      </c>
      <c r="D799" s="16">
        <v>0.39036000000000004</v>
      </c>
      <c r="E799" s="16">
        <v>0.23100000000000009</v>
      </c>
      <c r="F799" s="17">
        <v>0.28570999999999991</v>
      </c>
      <c r="G799" s="18">
        <v>771</v>
      </c>
      <c r="H799" s="18">
        <v>560.15</v>
      </c>
      <c r="I799" s="18">
        <v>771</v>
      </c>
      <c r="J799" s="53">
        <v>116.07</v>
      </c>
    </row>
    <row r="800" spans="1:10" ht="17.25" customHeight="1" x14ac:dyDescent="0.25">
      <c r="A800" s="4">
        <v>241</v>
      </c>
      <c r="B800" s="5" t="s">
        <v>120</v>
      </c>
      <c r="C800" s="5" t="s">
        <v>121</v>
      </c>
      <c r="D800" s="16">
        <v>0.31281000000000003</v>
      </c>
      <c r="E800" s="16">
        <v>0.2472399999999999</v>
      </c>
      <c r="F800" s="17">
        <v>0.26049999999999995</v>
      </c>
      <c r="G800" s="18">
        <v>490.15</v>
      </c>
      <c r="H800" s="18">
        <v>187.55</v>
      </c>
      <c r="I800" s="18">
        <v>490.15</v>
      </c>
      <c r="J800" s="53">
        <v>68.069999999999993</v>
      </c>
    </row>
    <row r="801" spans="1:10" ht="17.25" customHeight="1" x14ac:dyDescent="0.25">
      <c r="A801" s="4">
        <v>359</v>
      </c>
      <c r="B801" s="5" t="s">
        <v>249</v>
      </c>
      <c r="C801" s="5" t="s">
        <v>250</v>
      </c>
      <c r="D801" s="16">
        <v>0.37234999999999996</v>
      </c>
      <c r="E801" s="16">
        <v>0.26029999999999998</v>
      </c>
      <c r="F801" s="17">
        <v>0.28570000000000007</v>
      </c>
      <c r="G801" s="18">
        <v>657</v>
      </c>
      <c r="H801" s="18">
        <v>236.65</v>
      </c>
      <c r="I801" s="18">
        <v>657</v>
      </c>
      <c r="J801" s="53">
        <v>96.08</v>
      </c>
    </row>
    <row r="802" spans="1:10" ht="17.25" customHeight="1" x14ac:dyDescent="0.25">
      <c r="A802" s="6">
        <v>366</v>
      </c>
      <c r="B802" s="5" t="s">
        <v>260</v>
      </c>
      <c r="C802" s="5" t="s">
        <v>261</v>
      </c>
      <c r="D802" s="16">
        <v>0.37298999999999993</v>
      </c>
      <c r="E802" s="16">
        <v>0.27753000000000005</v>
      </c>
      <c r="F802" s="17">
        <v>0.23180000000000001</v>
      </c>
      <c r="G802" s="18">
        <v>632</v>
      </c>
      <c r="H802" s="18">
        <v>258.52</v>
      </c>
      <c r="I802" s="18">
        <v>632</v>
      </c>
      <c r="J802" s="53">
        <v>98.1</v>
      </c>
    </row>
    <row r="803" spans="1:10" ht="17.25" customHeight="1" x14ac:dyDescent="0.25">
      <c r="A803" s="4">
        <v>268</v>
      </c>
      <c r="B803" s="5" t="s">
        <v>149</v>
      </c>
      <c r="C803" s="5" t="s">
        <v>2433</v>
      </c>
      <c r="D803" s="16">
        <v>0.32485999999999993</v>
      </c>
      <c r="E803" s="16">
        <v>0.24070999999999998</v>
      </c>
      <c r="F803" s="17">
        <v>0.26500000000000012</v>
      </c>
      <c r="G803" s="18">
        <v>739</v>
      </c>
      <c r="H803" s="18">
        <v>229.78</v>
      </c>
      <c r="I803" s="18">
        <v>739</v>
      </c>
      <c r="J803" s="53">
        <v>86.09</v>
      </c>
    </row>
    <row r="804" spans="1:10" ht="17.25" customHeight="1" x14ac:dyDescent="0.25">
      <c r="A804" s="4">
        <v>1004</v>
      </c>
      <c r="B804" s="5" t="s">
        <v>716</v>
      </c>
      <c r="C804" s="5" t="s">
        <v>2434</v>
      </c>
      <c r="D804" s="16">
        <v>0.26950999999999992</v>
      </c>
      <c r="E804" s="16">
        <v>0.2575400000000001</v>
      </c>
      <c r="F804" s="17">
        <v>0.28570000000000007</v>
      </c>
      <c r="G804" s="18">
        <v>661</v>
      </c>
      <c r="H804" s="18">
        <v>220</v>
      </c>
      <c r="I804" s="18">
        <v>661</v>
      </c>
      <c r="J804" s="53">
        <v>136.22999999999999</v>
      </c>
    </row>
    <row r="805" spans="1:10" ht="17.25" customHeight="1" x14ac:dyDescent="0.25">
      <c r="A805" s="4">
        <v>398</v>
      </c>
      <c r="B805" s="5" t="s">
        <v>2285</v>
      </c>
      <c r="C805" s="5" t="s">
        <v>299</v>
      </c>
      <c r="D805" s="16">
        <v>0.36393999999999993</v>
      </c>
      <c r="E805" s="16">
        <v>0.24540000000000006</v>
      </c>
      <c r="F805" s="17">
        <v>0.25522</v>
      </c>
      <c r="G805" s="18">
        <v>807</v>
      </c>
      <c r="H805" s="18">
        <v>370.65</v>
      </c>
      <c r="I805" s="18">
        <v>807</v>
      </c>
      <c r="J805" s="53">
        <v>132.11000000000001</v>
      </c>
    </row>
    <row r="806" spans="1:10" ht="17.25" customHeight="1" x14ac:dyDescent="0.25">
      <c r="A806" s="4">
        <v>367</v>
      </c>
      <c r="B806" s="5" t="s">
        <v>2286</v>
      </c>
      <c r="C806" s="5" t="s">
        <v>262</v>
      </c>
      <c r="D806" s="16">
        <v>0.41477000000000008</v>
      </c>
      <c r="E806" s="16">
        <v>0.22900000000000009</v>
      </c>
      <c r="F806" s="17">
        <v>0.28570999999999991</v>
      </c>
      <c r="G806" s="18">
        <v>838</v>
      </c>
      <c r="H806" s="18">
        <v>328</v>
      </c>
      <c r="I806" s="18">
        <v>838</v>
      </c>
      <c r="J806" s="53">
        <v>114.1</v>
      </c>
    </row>
    <row r="807" spans="1:10" ht="17.25" customHeight="1" x14ac:dyDescent="0.25">
      <c r="A807" s="4">
        <v>365</v>
      </c>
      <c r="B807" s="5" t="s">
        <v>258</v>
      </c>
      <c r="C807" s="5" t="s">
        <v>259</v>
      </c>
      <c r="D807" s="16">
        <v>0.26737999999999995</v>
      </c>
      <c r="E807" s="16">
        <v>0.21578999999999993</v>
      </c>
      <c r="F807" s="17">
        <v>0.3448</v>
      </c>
      <c r="G807" s="18">
        <v>782</v>
      </c>
      <c r="H807" s="18">
        <v>244.21</v>
      </c>
      <c r="I807" s="18">
        <v>782</v>
      </c>
      <c r="J807" s="53">
        <v>94.11</v>
      </c>
    </row>
    <row r="808" spans="1:10" ht="17.25" customHeight="1" x14ac:dyDescent="0.25">
      <c r="A808" s="4">
        <v>219</v>
      </c>
      <c r="B808" s="5" t="s">
        <v>88</v>
      </c>
      <c r="C808" s="5" t="s">
        <v>89</v>
      </c>
      <c r="D808" s="16">
        <v>0.34908000000000006</v>
      </c>
      <c r="E808" s="16">
        <v>0.24902000000000002</v>
      </c>
      <c r="F808" s="17">
        <v>0.1540999999999999</v>
      </c>
      <c r="G808" s="18">
        <v>723</v>
      </c>
      <c r="H808" s="18">
        <v>291.33</v>
      </c>
      <c r="I808" s="18">
        <v>723</v>
      </c>
      <c r="J808" s="53">
        <v>92.09</v>
      </c>
    </row>
    <row r="809" spans="1:10" ht="17.25" customHeight="1" x14ac:dyDescent="0.25">
      <c r="A809" s="4">
        <v>901</v>
      </c>
      <c r="B809" s="5" t="s">
        <v>2287</v>
      </c>
      <c r="C809" s="5" t="s">
        <v>1806</v>
      </c>
      <c r="D809" s="16">
        <v>0.34963999999999995</v>
      </c>
      <c r="E809" s="16">
        <v>0.24629999999999996</v>
      </c>
      <c r="F809" s="17">
        <v>0.28570000000000007</v>
      </c>
      <c r="G809" s="18">
        <v>704</v>
      </c>
      <c r="H809" s="18">
        <v>277.25</v>
      </c>
      <c r="I809" s="18">
        <v>704</v>
      </c>
      <c r="J809" s="53">
        <v>218.2</v>
      </c>
    </row>
    <row r="810" spans="1:10" ht="17.25" customHeight="1" x14ac:dyDescent="0.25">
      <c r="A810" s="4">
        <v>687</v>
      </c>
      <c r="B810" s="5" t="s">
        <v>577</v>
      </c>
      <c r="C810" s="5" t="s">
        <v>578</v>
      </c>
      <c r="D810" s="26">
        <v>0.35170999999999997</v>
      </c>
      <c r="E810" s="16">
        <v>0.25825999999999993</v>
      </c>
      <c r="F810" s="17">
        <v>0.27124999999999999</v>
      </c>
      <c r="G810" s="18">
        <v>697</v>
      </c>
      <c r="H810" s="18">
        <v>304.64999999999998</v>
      </c>
      <c r="I810" s="18">
        <v>697</v>
      </c>
      <c r="J810" s="53">
        <v>124.14</v>
      </c>
    </row>
    <row r="811" spans="1:10" ht="17.25" customHeight="1" x14ac:dyDescent="0.25">
      <c r="A811" s="4">
        <v>63</v>
      </c>
      <c r="B811" s="5" t="s">
        <v>2288</v>
      </c>
      <c r="C811" s="5" t="s">
        <v>1553</v>
      </c>
      <c r="D811" s="16">
        <v>0.66571000000000002</v>
      </c>
      <c r="E811" s="16">
        <v>0.26831000000000005</v>
      </c>
      <c r="F811" s="17">
        <v>0.28570999999999991</v>
      </c>
      <c r="G811" s="18">
        <v>521</v>
      </c>
      <c r="H811" s="18">
        <v>223.15</v>
      </c>
      <c r="I811" s="18">
        <v>521</v>
      </c>
      <c r="J811" s="53">
        <v>197.38</v>
      </c>
    </row>
    <row r="812" spans="1:10" ht="17.25" customHeight="1" x14ac:dyDescent="0.25">
      <c r="A812" s="4">
        <v>1311</v>
      </c>
      <c r="B812" s="5" t="s">
        <v>1069</v>
      </c>
      <c r="C812" s="5" t="s">
        <v>1072</v>
      </c>
      <c r="D812" s="16">
        <v>0.26109999999999989</v>
      </c>
      <c r="E812" s="16">
        <v>0.18999999999999995</v>
      </c>
      <c r="F812" s="17">
        <v>0.28570999999999991</v>
      </c>
      <c r="G812" s="18">
        <v>810.53</v>
      </c>
      <c r="H812" s="18">
        <v>298.16000000000003</v>
      </c>
      <c r="I812" s="18">
        <v>810.53</v>
      </c>
      <c r="J812" s="53">
        <v>286.56</v>
      </c>
    </row>
    <row r="813" spans="1:10" ht="17.25" customHeight="1" x14ac:dyDescent="0.25">
      <c r="A813" s="4">
        <v>1345</v>
      </c>
      <c r="B813" s="21" t="s">
        <v>1100</v>
      </c>
      <c r="C813" s="21" t="s">
        <v>1847</v>
      </c>
      <c r="D813" s="16">
        <v>0.2601</v>
      </c>
      <c r="E813" s="16">
        <v>0.17900000000000005</v>
      </c>
      <c r="F813" s="17">
        <v>0.28570999999999991</v>
      </c>
      <c r="G813" s="18">
        <v>832.33</v>
      </c>
      <c r="H813" s="18">
        <v>308.16000000000003</v>
      </c>
      <c r="I813" s="18">
        <v>832.33</v>
      </c>
      <c r="J813" s="53">
        <v>314.61</v>
      </c>
    </row>
    <row r="814" spans="1:10" ht="17.25" customHeight="1" x14ac:dyDescent="0.25">
      <c r="A814" s="4">
        <v>1230</v>
      </c>
      <c r="B814" s="5" t="s">
        <v>974</v>
      </c>
      <c r="C814" s="5" t="s">
        <v>975</v>
      </c>
      <c r="D814" s="16">
        <v>0.24920000000000009</v>
      </c>
      <c r="E814" s="16">
        <v>0.22799999999999998</v>
      </c>
      <c r="F814" s="17">
        <v>0.28570999999999991</v>
      </c>
      <c r="G814" s="18">
        <v>765.96</v>
      </c>
      <c r="H814" s="18">
        <v>235.16</v>
      </c>
      <c r="I814" s="18">
        <v>765.96</v>
      </c>
      <c r="J814" s="53">
        <v>262.52</v>
      </c>
    </row>
    <row r="815" spans="1:10" ht="17.25" customHeight="1" x14ac:dyDescent="0.25">
      <c r="A815" s="4">
        <v>863</v>
      </c>
      <c r="B815" s="5" t="s">
        <v>1764</v>
      </c>
      <c r="C815" s="5" t="s">
        <v>1767</v>
      </c>
      <c r="D815" s="16">
        <v>0.26290000000000013</v>
      </c>
      <c r="E815" s="16">
        <v>0.252</v>
      </c>
      <c r="F815" s="17">
        <v>0.28570999999999991</v>
      </c>
      <c r="G815" s="18">
        <v>660.72</v>
      </c>
      <c r="H815" s="18">
        <v>209.86</v>
      </c>
      <c r="I815" s="18">
        <v>660.72</v>
      </c>
      <c r="J815" s="53">
        <v>146.29</v>
      </c>
    </row>
    <row r="816" spans="1:10" ht="17.25" customHeight="1" x14ac:dyDescent="0.25">
      <c r="A816" s="4">
        <v>1100</v>
      </c>
      <c r="B816" s="5" t="s">
        <v>812</v>
      </c>
      <c r="C816" s="5" t="s">
        <v>815</v>
      </c>
      <c r="D816" s="16">
        <v>0.24780000000000002</v>
      </c>
      <c r="E816" s="16">
        <v>0.23899999999999988</v>
      </c>
      <c r="F816" s="17">
        <v>0.28570999999999991</v>
      </c>
      <c r="G816" s="18">
        <v>701.03</v>
      </c>
      <c r="H816" s="18">
        <v>238.16</v>
      </c>
      <c r="I816" s="18">
        <v>701.03</v>
      </c>
      <c r="J816" s="53">
        <v>174.35</v>
      </c>
    </row>
    <row r="817" spans="1:10" ht="17.25" customHeight="1" x14ac:dyDescent="0.25">
      <c r="A817" s="4">
        <v>1226</v>
      </c>
      <c r="B817" s="5" t="s">
        <v>967</v>
      </c>
      <c r="C817" s="5" t="s">
        <v>970</v>
      </c>
      <c r="D817" s="16">
        <v>0.22019999999999995</v>
      </c>
      <c r="E817" s="16">
        <v>0.21300000000000008</v>
      </c>
      <c r="F817" s="17">
        <v>0.28570999999999991</v>
      </c>
      <c r="G817" s="18">
        <v>762.23</v>
      </c>
      <c r="H817" s="18">
        <v>276.16000000000003</v>
      </c>
      <c r="I817" s="18">
        <v>762.23</v>
      </c>
      <c r="J817" s="53">
        <v>230.45</v>
      </c>
    </row>
    <row r="818" spans="1:10" ht="17.25" customHeight="1" x14ac:dyDescent="0.25">
      <c r="A818" s="4">
        <v>233</v>
      </c>
      <c r="B818" s="5" t="s">
        <v>105</v>
      </c>
      <c r="C818" s="5" t="s">
        <v>106</v>
      </c>
      <c r="D818" s="16">
        <v>0.47514000000000012</v>
      </c>
      <c r="E818" s="16">
        <v>0.25300000000000011</v>
      </c>
      <c r="F818" s="17">
        <v>0.28570000000000007</v>
      </c>
      <c r="G818" s="18">
        <v>741</v>
      </c>
      <c r="H818" s="18">
        <v>252.15</v>
      </c>
      <c r="I818" s="18">
        <v>741</v>
      </c>
      <c r="J818" s="53">
        <v>260.76</v>
      </c>
    </row>
    <row r="819" spans="1:10" ht="17.25" customHeight="1" x14ac:dyDescent="0.25">
      <c r="A819" s="4">
        <v>465</v>
      </c>
      <c r="B819" s="5" t="s">
        <v>371</v>
      </c>
      <c r="C819" s="5" t="s">
        <v>372</v>
      </c>
      <c r="D819" s="16">
        <v>0.54029000000000016</v>
      </c>
      <c r="E819" s="16">
        <v>0.21900000000000008</v>
      </c>
      <c r="F819" s="17">
        <v>0.28570999999999991</v>
      </c>
      <c r="G819" s="18">
        <v>825</v>
      </c>
      <c r="H819" s="18">
        <v>501.7</v>
      </c>
      <c r="I819" s="18">
        <v>825</v>
      </c>
      <c r="J819" s="53">
        <v>284.77999999999997</v>
      </c>
    </row>
    <row r="820" spans="1:10" ht="17.25" customHeight="1" x14ac:dyDescent="0.25">
      <c r="A820" s="4">
        <v>358</v>
      </c>
      <c r="B820" s="5" t="s">
        <v>247</v>
      </c>
      <c r="C820" s="5" t="s">
        <v>248</v>
      </c>
      <c r="D820" s="16">
        <v>0.52105999999999986</v>
      </c>
      <c r="E820" s="16">
        <v>0.25404000000000004</v>
      </c>
      <c r="F820" s="17">
        <v>0.28570000000000007</v>
      </c>
      <c r="G820" s="18">
        <v>746</v>
      </c>
      <c r="H820" s="18">
        <v>284.49</v>
      </c>
      <c r="I820" s="18">
        <v>746</v>
      </c>
      <c r="J820" s="53">
        <v>272.77</v>
      </c>
    </row>
    <row r="821" spans="1:10" ht="17.25" customHeight="1" x14ac:dyDescent="0.25">
      <c r="A821" s="4">
        <v>60</v>
      </c>
      <c r="B821" s="5" t="s">
        <v>1547</v>
      </c>
      <c r="C821" s="5" t="s">
        <v>1548</v>
      </c>
      <c r="D821" s="16">
        <v>0.5746</v>
      </c>
      <c r="E821" s="16">
        <v>0.2370000000000001</v>
      </c>
      <c r="F821" s="17">
        <v>0.28570999999999991</v>
      </c>
      <c r="G821" s="18">
        <v>698</v>
      </c>
      <c r="H821" s="18">
        <v>459.95</v>
      </c>
      <c r="I821" s="18">
        <v>698</v>
      </c>
      <c r="J821" s="53">
        <v>236.74</v>
      </c>
    </row>
    <row r="822" spans="1:10" ht="17.25" customHeight="1" x14ac:dyDescent="0.25">
      <c r="A822" s="4">
        <v>1283</v>
      </c>
      <c r="B822" s="5" t="s">
        <v>1035</v>
      </c>
      <c r="C822" s="5" t="s">
        <v>1038</v>
      </c>
      <c r="D822" s="16">
        <v>0.20179999999999998</v>
      </c>
      <c r="E822" s="16">
        <v>0.19500000000000006</v>
      </c>
      <c r="F822" s="17">
        <v>0.28570999999999991</v>
      </c>
      <c r="G822" s="18">
        <v>798.63</v>
      </c>
      <c r="H822" s="18">
        <v>294.16000000000003</v>
      </c>
      <c r="I822" s="18">
        <v>798.63</v>
      </c>
      <c r="J822" s="53">
        <v>272.52999999999997</v>
      </c>
    </row>
    <row r="823" spans="1:10" ht="17.25" customHeight="1" x14ac:dyDescent="0.25">
      <c r="A823" s="4">
        <v>1328</v>
      </c>
      <c r="B823" s="21" t="s">
        <v>1091</v>
      </c>
      <c r="C823" s="22" t="s">
        <v>1094</v>
      </c>
      <c r="D823" s="23">
        <v>0.26059999999999994</v>
      </c>
      <c r="E823" s="33">
        <v>0.18500000000000005</v>
      </c>
      <c r="F823" s="24">
        <v>0.28570999999999991</v>
      </c>
      <c r="G823" s="25">
        <v>821.75</v>
      </c>
      <c r="H823" s="25">
        <v>303.16000000000003</v>
      </c>
      <c r="I823" s="25">
        <v>821.75</v>
      </c>
      <c r="J823" s="55">
        <v>300.58</v>
      </c>
    </row>
    <row r="824" spans="1:10" ht="17.25" customHeight="1" x14ac:dyDescent="0.25">
      <c r="A824" s="4">
        <v>1296</v>
      </c>
      <c r="B824" s="5" t="s">
        <v>1050</v>
      </c>
      <c r="C824" s="5" t="s">
        <v>1051</v>
      </c>
      <c r="D824" s="16">
        <v>0.24150000000000005</v>
      </c>
      <c r="E824" s="16">
        <v>0.21199999999999997</v>
      </c>
      <c r="F824" s="17">
        <v>0.28570999999999991</v>
      </c>
      <c r="G824" s="18">
        <v>734.78</v>
      </c>
      <c r="H824" s="18">
        <v>401.16</v>
      </c>
      <c r="I824" s="18">
        <v>734.78</v>
      </c>
      <c r="J824" s="53">
        <v>246.43</v>
      </c>
    </row>
    <row r="825" spans="1:10" ht="17.25" customHeight="1" x14ac:dyDescent="0.25">
      <c r="A825" s="4">
        <v>144</v>
      </c>
      <c r="B825" s="5" t="s">
        <v>1678</v>
      </c>
      <c r="C825" s="5" t="s">
        <v>1679</v>
      </c>
      <c r="D825" s="16">
        <v>0.50475000000000003</v>
      </c>
      <c r="E825" s="16">
        <v>0.23392999999999997</v>
      </c>
      <c r="F825" s="17">
        <v>0.22900000000000009</v>
      </c>
      <c r="G825" s="18">
        <v>357.14</v>
      </c>
      <c r="H825" s="18">
        <v>151.15</v>
      </c>
      <c r="I825" s="18">
        <v>357.14</v>
      </c>
      <c r="J825" s="53">
        <v>166.02</v>
      </c>
    </row>
    <row r="826" spans="1:10" ht="17.25" customHeight="1" x14ac:dyDescent="0.25">
      <c r="A826" s="4">
        <v>466</v>
      </c>
      <c r="B826" s="5" t="s">
        <v>373</v>
      </c>
      <c r="C826" s="5" t="s">
        <v>374</v>
      </c>
      <c r="D826" s="16">
        <v>0.55556000000000005</v>
      </c>
      <c r="E826" s="16">
        <v>0.25946999999999987</v>
      </c>
      <c r="F826" s="17">
        <v>0.27852999999999994</v>
      </c>
      <c r="G826" s="18">
        <v>516.73</v>
      </c>
      <c r="H826" s="20">
        <v>278.25</v>
      </c>
      <c r="I826" s="18">
        <v>516.73</v>
      </c>
      <c r="J826" s="53">
        <v>186.05</v>
      </c>
    </row>
    <row r="827" spans="1:10" ht="17.25" customHeight="1" x14ac:dyDescent="0.25">
      <c r="A827" s="4">
        <v>62</v>
      </c>
      <c r="B827" s="5" t="s">
        <v>1551</v>
      </c>
      <c r="C827" s="5" t="s">
        <v>1552</v>
      </c>
      <c r="D827" s="16">
        <v>0.61624999999999996</v>
      </c>
      <c r="E827" s="16">
        <v>0.26692999999999989</v>
      </c>
      <c r="F827" s="17">
        <v>0.29794000000000009</v>
      </c>
      <c r="G827" s="18">
        <v>292.8</v>
      </c>
      <c r="H827" s="18">
        <v>172.45</v>
      </c>
      <c r="I827" s="18">
        <v>292.8</v>
      </c>
      <c r="J827" s="53">
        <v>138.01</v>
      </c>
    </row>
    <row r="828" spans="1:10" ht="17.25" customHeight="1" x14ac:dyDescent="0.25">
      <c r="A828" s="4">
        <v>143</v>
      </c>
      <c r="B828" s="5" t="s">
        <v>1676</v>
      </c>
      <c r="C828" s="5" t="s">
        <v>1677</v>
      </c>
      <c r="D828" s="16">
        <v>0.55973000000000006</v>
      </c>
      <c r="E828" s="16">
        <v>0.24195000000000011</v>
      </c>
      <c r="F828" s="17">
        <v>0.31130000000000013</v>
      </c>
      <c r="G828" s="18">
        <v>368</v>
      </c>
      <c r="H828" s="18">
        <v>116.65</v>
      </c>
      <c r="I828" s="18">
        <v>368</v>
      </c>
      <c r="J828" s="53">
        <v>150.02000000000001</v>
      </c>
    </row>
    <row r="829" spans="1:10" ht="17.25" customHeight="1" x14ac:dyDescent="0.25">
      <c r="A829" s="4">
        <v>1154</v>
      </c>
      <c r="B829" s="5" t="s">
        <v>877</v>
      </c>
      <c r="C829" s="5" t="s">
        <v>881</v>
      </c>
      <c r="D829" s="16">
        <v>0.27069999999999994</v>
      </c>
      <c r="E829" s="16">
        <v>0.21599999999999997</v>
      </c>
      <c r="F829" s="17">
        <v>0.28570999999999991</v>
      </c>
      <c r="G829" s="18">
        <v>758</v>
      </c>
      <c r="H829" s="18">
        <v>438.66</v>
      </c>
      <c r="I829" s="18">
        <v>758</v>
      </c>
      <c r="J829" s="53">
        <v>162.27000000000001</v>
      </c>
    </row>
    <row r="830" spans="1:10" ht="17.25" customHeight="1" x14ac:dyDescent="0.25">
      <c r="A830" s="4">
        <v>643</v>
      </c>
      <c r="B830" s="5" t="s">
        <v>534</v>
      </c>
      <c r="C830" s="5" t="s">
        <v>535</v>
      </c>
      <c r="D830" s="16">
        <v>0.35075999999999996</v>
      </c>
      <c r="E830" s="16">
        <v>0.28820000000000001</v>
      </c>
      <c r="F830" s="17">
        <v>0.30929999999999991</v>
      </c>
      <c r="G830" s="18">
        <v>554.20000000000005</v>
      </c>
      <c r="H830" s="18">
        <v>337.15</v>
      </c>
      <c r="I830" s="18">
        <v>554.20000000000005</v>
      </c>
      <c r="J830" s="53">
        <v>222.46</v>
      </c>
    </row>
    <row r="831" spans="1:10" ht="17.25" customHeight="1" x14ac:dyDescent="0.25">
      <c r="A831" s="6">
        <v>644</v>
      </c>
      <c r="B831" s="5" t="s">
        <v>536</v>
      </c>
      <c r="C831" s="5" t="s">
        <v>537</v>
      </c>
      <c r="D831" s="16">
        <v>0.26371000000000011</v>
      </c>
      <c r="E831" s="16">
        <v>0.25980000000000003</v>
      </c>
      <c r="F831" s="17">
        <v>0.28570000000000007</v>
      </c>
      <c r="G831" s="18">
        <v>544</v>
      </c>
      <c r="H831" s="18">
        <v>293.14999999999998</v>
      </c>
      <c r="I831" s="18">
        <v>544</v>
      </c>
      <c r="J831" s="53">
        <v>161.38999999999999</v>
      </c>
    </row>
    <row r="832" spans="1:10" ht="17.25" customHeight="1" x14ac:dyDescent="0.25">
      <c r="A832" s="4">
        <v>639</v>
      </c>
      <c r="B832" s="5" t="s">
        <v>530</v>
      </c>
      <c r="C832" s="5" t="s">
        <v>531</v>
      </c>
      <c r="D832" s="16">
        <v>0.24507000000000012</v>
      </c>
      <c r="E832" s="16">
        <v>0.28299999999999992</v>
      </c>
      <c r="F832" s="17">
        <v>0.28570999999999991</v>
      </c>
      <c r="G832" s="18">
        <v>663</v>
      </c>
      <c r="H832" s="18">
        <v>313.95</v>
      </c>
      <c r="I832" s="18">
        <v>663</v>
      </c>
      <c r="J832" s="53">
        <v>116.2</v>
      </c>
    </row>
    <row r="833" spans="1:10" ht="17.25" customHeight="1" x14ac:dyDescent="0.25">
      <c r="A833" s="4">
        <v>595</v>
      </c>
      <c r="B833" s="5" t="s">
        <v>486</v>
      </c>
      <c r="C833" s="5" t="s">
        <v>488</v>
      </c>
      <c r="D833" s="16">
        <v>0.27475000000000005</v>
      </c>
      <c r="E833" s="16">
        <v>0.25340000000000007</v>
      </c>
      <c r="F833" s="17">
        <v>0.25619999999999998</v>
      </c>
      <c r="G833" s="18">
        <v>615</v>
      </c>
      <c r="H833" s="18">
        <v>236.15</v>
      </c>
      <c r="I833" s="18">
        <v>615</v>
      </c>
      <c r="J833" s="53">
        <v>99.17</v>
      </c>
    </row>
    <row r="834" spans="1:10" ht="17.25" customHeight="1" x14ac:dyDescent="0.25">
      <c r="A834" s="4">
        <v>547</v>
      </c>
      <c r="B834" s="5" t="s">
        <v>448</v>
      </c>
      <c r="C834" s="5" t="s">
        <v>449</v>
      </c>
      <c r="D834" s="16">
        <v>0.25302999999999987</v>
      </c>
      <c r="E834" s="16">
        <v>0.24920999999999993</v>
      </c>
      <c r="F834" s="17">
        <v>0.28637000000000001</v>
      </c>
      <c r="G834" s="18">
        <v>622.04999999999995</v>
      </c>
      <c r="H834" s="18">
        <v>192.85</v>
      </c>
      <c r="I834" s="18">
        <v>622.04999999999995</v>
      </c>
      <c r="J834" s="53">
        <v>97.16</v>
      </c>
    </row>
    <row r="835" spans="1:10" ht="17.25" customHeight="1" x14ac:dyDescent="0.25">
      <c r="A835" s="4">
        <v>1174</v>
      </c>
      <c r="B835" s="5" t="s">
        <v>903</v>
      </c>
      <c r="C835" s="5" t="s">
        <v>904</v>
      </c>
      <c r="D835" s="16">
        <v>0.26529999999999987</v>
      </c>
      <c r="E835" s="16">
        <v>0.2410000000000001</v>
      </c>
      <c r="F835" s="17">
        <v>0.28570999999999991</v>
      </c>
      <c r="G835" s="18">
        <v>747.1</v>
      </c>
      <c r="H835" s="18">
        <v>225.16</v>
      </c>
      <c r="I835" s="18">
        <v>747.1</v>
      </c>
      <c r="J835" s="53">
        <v>234.46</v>
      </c>
    </row>
    <row r="836" spans="1:10" ht="17.25" customHeight="1" x14ac:dyDescent="0.25">
      <c r="A836" s="4">
        <v>758</v>
      </c>
      <c r="B836" s="5" t="s">
        <v>1738</v>
      </c>
      <c r="C836" s="5" t="s">
        <v>1741</v>
      </c>
      <c r="D836" s="16">
        <v>0.27150000000000007</v>
      </c>
      <c r="E836" s="16">
        <v>0.2589999999999999</v>
      </c>
      <c r="F836" s="17">
        <v>0.28570999999999991</v>
      </c>
      <c r="G836" s="18">
        <v>638.37</v>
      </c>
      <c r="H836" s="18">
        <v>206.66</v>
      </c>
      <c r="I836" s="18">
        <v>638.37</v>
      </c>
      <c r="J836" s="53">
        <v>132.27000000000001</v>
      </c>
    </row>
    <row r="837" spans="1:10" ht="17.25" customHeight="1" x14ac:dyDescent="0.25">
      <c r="A837" s="4">
        <v>955</v>
      </c>
      <c r="B837" s="5" t="s">
        <v>680</v>
      </c>
      <c r="C837" s="5" t="s">
        <v>683</v>
      </c>
      <c r="D837" s="16">
        <v>0.25560000000000005</v>
      </c>
      <c r="E837" s="16">
        <v>0.246</v>
      </c>
      <c r="F837" s="17">
        <v>0.28570999999999991</v>
      </c>
      <c r="G837" s="18">
        <v>681.56</v>
      </c>
      <c r="H837" s="18">
        <v>231.16</v>
      </c>
      <c r="I837" s="18">
        <v>681.56</v>
      </c>
      <c r="J837" s="53">
        <v>160.32</v>
      </c>
    </row>
    <row r="838" spans="1:10" ht="17.25" customHeight="1" x14ac:dyDescent="0.25">
      <c r="A838" s="4">
        <v>1171</v>
      </c>
      <c r="B838" s="5" t="s">
        <v>897</v>
      </c>
      <c r="C838" s="5" t="s">
        <v>900</v>
      </c>
      <c r="D838" s="16">
        <v>0.23280000000000012</v>
      </c>
      <c r="E838" s="16">
        <v>0.22500000000000009</v>
      </c>
      <c r="F838" s="17">
        <v>0.28570999999999991</v>
      </c>
      <c r="G838" s="18">
        <v>733.68</v>
      </c>
      <c r="H838" s="18">
        <v>259.16000000000003</v>
      </c>
      <c r="I838" s="18">
        <v>733.68</v>
      </c>
      <c r="J838" s="53">
        <v>202.4</v>
      </c>
    </row>
    <row r="839" spans="1:10" ht="17.25" customHeight="1" x14ac:dyDescent="0.25">
      <c r="A839" s="4">
        <v>170</v>
      </c>
      <c r="B839" s="5" t="s">
        <v>26</v>
      </c>
      <c r="C839" s="5" t="s">
        <v>28</v>
      </c>
      <c r="D839" s="16">
        <v>0.29249999999999998</v>
      </c>
      <c r="E839" s="16">
        <v>0.23676000000000008</v>
      </c>
      <c r="F839" s="17">
        <v>0.22450999999999999</v>
      </c>
      <c r="G839" s="18">
        <v>690</v>
      </c>
      <c r="H839" s="18">
        <v>227.15</v>
      </c>
      <c r="I839" s="18">
        <v>690</v>
      </c>
      <c r="J839" s="53">
        <v>71.08</v>
      </c>
    </row>
    <row r="840" spans="1:10" ht="17.25" customHeight="1" x14ac:dyDescent="0.25">
      <c r="A840" s="4">
        <v>1144</v>
      </c>
      <c r="B840" s="5" t="s">
        <v>870</v>
      </c>
      <c r="C840" s="5" t="s">
        <v>871</v>
      </c>
      <c r="D840" s="16">
        <v>0.33125000000000004</v>
      </c>
      <c r="E840" s="16">
        <v>0.26100000000000012</v>
      </c>
      <c r="F840" s="17">
        <v>0.28570999999999991</v>
      </c>
      <c r="G840" s="18">
        <v>792</v>
      </c>
      <c r="H840" s="18">
        <v>404.15</v>
      </c>
      <c r="I840" s="18">
        <v>792</v>
      </c>
      <c r="J840" s="53">
        <v>184.24</v>
      </c>
    </row>
    <row r="841" spans="1:10" ht="17.25" customHeight="1" x14ac:dyDescent="0.25">
      <c r="A841" s="4">
        <v>19</v>
      </c>
      <c r="B841" s="5" t="s">
        <v>1483</v>
      </c>
      <c r="C841" s="5" t="s">
        <v>1181</v>
      </c>
      <c r="D841" s="16">
        <v>0.19500999999999991</v>
      </c>
      <c r="E841" s="16">
        <v>0.18589000000000011</v>
      </c>
      <c r="F841" s="17">
        <v>0.28205999999999998</v>
      </c>
      <c r="G841" s="18">
        <v>456.65</v>
      </c>
      <c r="H841" s="18">
        <v>259.91000000000003</v>
      </c>
      <c r="I841" s="18">
        <v>456.65</v>
      </c>
      <c r="J841" s="53">
        <v>27.03</v>
      </c>
    </row>
    <row r="842" spans="1:10" ht="17.25" customHeight="1" x14ac:dyDescent="0.25">
      <c r="A842" s="4">
        <v>590</v>
      </c>
      <c r="B842" s="5" t="s">
        <v>480</v>
      </c>
      <c r="C842" s="5" t="s">
        <v>482</v>
      </c>
      <c r="D842" s="16">
        <v>0.32901000000000002</v>
      </c>
      <c r="E842" s="16">
        <v>0.23199999999999998</v>
      </c>
      <c r="F842" s="17">
        <v>0.28570999999999991</v>
      </c>
      <c r="G842" s="18">
        <v>758</v>
      </c>
      <c r="H842" s="18">
        <v>334</v>
      </c>
      <c r="I842" s="18">
        <v>758</v>
      </c>
      <c r="J842" s="53">
        <v>132.16</v>
      </c>
    </row>
    <row r="843" spans="1:10" ht="17.25" customHeight="1" x14ac:dyDescent="0.25">
      <c r="A843" s="6">
        <v>488</v>
      </c>
      <c r="B843" s="5" t="s">
        <v>2289</v>
      </c>
      <c r="C843" s="5" t="s">
        <v>2435</v>
      </c>
      <c r="D843" s="16">
        <v>0.39568000000000003</v>
      </c>
      <c r="E843" s="16">
        <v>0.25180000000000002</v>
      </c>
      <c r="F843" s="17">
        <v>0.29539999999999988</v>
      </c>
      <c r="G843" s="18">
        <v>738</v>
      </c>
      <c r="H843" s="18">
        <v>316</v>
      </c>
      <c r="I843" s="18">
        <v>738</v>
      </c>
      <c r="J843" s="53">
        <v>128.56</v>
      </c>
    </row>
    <row r="844" spans="1:10" ht="17.25" customHeight="1" x14ac:dyDescent="0.25">
      <c r="A844" s="4">
        <v>993</v>
      </c>
      <c r="B844" s="5" t="s">
        <v>712</v>
      </c>
      <c r="C844" s="5" t="s">
        <v>2436</v>
      </c>
      <c r="D844" s="16">
        <v>0.31037000000000003</v>
      </c>
      <c r="E844" s="16">
        <v>0.26489999999999991</v>
      </c>
      <c r="F844" s="17">
        <v>0.28570000000000007</v>
      </c>
      <c r="G844" s="18">
        <v>734</v>
      </c>
      <c r="H844" s="18">
        <v>371.56</v>
      </c>
      <c r="I844" s="18">
        <v>734</v>
      </c>
      <c r="J844" s="53">
        <v>150.22</v>
      </c>
    </row>
    <row r="845" spans="1:10" ht="17.25" customHeight="1" x14ac:dyDescent="0.25">
      <c r="A845" s="6">
        <v>334</v>
      </c>
      <c r="B845" s="5" t="s">
        <v>216</v>
      </c>
      <c r="C845" s="5" t="s">
        <v>220</v>
      </c>
      <c r="D845" s="16">
        <v>0.30445000000000011</v>
      </c>
      <c r="E845" s="16">
        <v>0.2682500000000001</v>
      </c>
      <c r="F845" s="17">
        <v>0.28570000000000007</v>
      </c>
      <c r="G845" s="18">
        <v>576</v>
      </c>
      <c r="H845" s="18">
        <v>277.45</v>
      </c>
      <c r="I845" s="18">
        <v>576</v>
      </c>
      <c r="J845" s="53">
        <v>90.12</v>
      </c>
    </row>
    <row r="846" spans="1:10" ht="17.25" customHeight="1" x14ac:dyDescent="0.25">
      <c r="A846" s="4">
        <v>878</v>
      </c>
      <c r="B846" s="5" t="s">
        <v>1788</v>
      </c>
      <c r="C846" s="5" t="s">
        <v>1789</v>
      </c>
      <c r="D846" s="16">
        <v>0.31018999999999997</v>
      </c>
      <c r="E846" s="16">
        <v>0.2611699999999999</v>
      </c>
      <c r="F846" s="17">
        <v>0.30223</v>
      </c>
      <c r="G846" s="18">
        <v>684.9</v>
      </c>
      <c r="H846" s="18">
        <v>221.74</v>
      </c>
      <c r="I846" s="18">
        <v>684.9</v>
      </c>
      <c r="J846" s="53">
        <v>118.18</v>
      </c>
    </row>
    <row r="847" spans="1:10" ht="17.25" customHeight="1" x14ac:dyDescent="0.25">
      <c r="A847" s="4">
        <v>876</v>
      </c>
      <c r="B847" s="5" t="s">
        <v>1784</v>
      </c>
      <c r="C847" s="5" t="s">
        <v>1785</v>
      </c>
      <c r="D847" s="16">
        <v>0.31515000000000004</v>
      </c>
      <c r="E847" s="16">
        <v>0.254</v>
      </c>
      <c r="F847" s="17">
        <v>0.31000000000000005</v>
      </c>
      <c r="G847" s="18">
        <v>687</v>
      </c>
      <c r="H847" s="18">
        <v>271.7</v>
      </c>
      <c r="I847" s="18">
        <v>687</v>
      </c>
      <c r="J847" s="53">
        <v>116.16</v>
      </c>
    </row>
    <row r="848" spans="1:10" ht="17.25" customHeight="1" x14ac:dyDescent="0.25">
      <c r="A848" s="4">
        <v>767</v>
      </c>
      <c r="B848" s="5" t="s">
        <v>1750</v>
      </c>
      <c r="C848" s="5" t="s">
        <v>1751</v>
      </c>
      <c r="D848" s="16">
        <v>0.27526000000000006</v>
      </c>
      <c r="E848" s="16">
        <v>0.21249999999999991</v>
      </c>
      <c r="F848" s="17">
        <v>0.23239999999999994</v>
      </c>
      <c r="G848" s="18">
        <v>790</v>
      </c>
      <c r="H848" s="18">
        <v>273.68</v>
      </c>
      <c r="I848" s="18">
        <v>790</v>
      </c>
      <c r="J848" s="53">
        <v>117.15</v>
      </c>
    </row>
    <row r="849" spans="1:10" ht="17.25" customHeight="1" x14ac:dyDescent="0.25">
      <c r="A849" s="4">
        <v>491</v>
      </c>
      <c r="B849" s="5" t="s">
        <v>390</v>
      </c>
      <c r="C849" s="5" t="s">
        <v>391</v>
      </c>
      <c r="D849" s="16">
        <v>0.58162000000000003</v>
      </c>
      <c r="E849" s="16">
        <v>0.26380999999999988</v>
      </c>
      <c r="F849" s="17">
        <v>0.28949999999999987</v>
      </c>
      <c r="G849" s="18">
        <v>721.15</v>
      </c>
      <c r="H849" s="18">
        <v>241.83</v>
      </c>
      <c r="I849" s="18">
        <v>721.15</v>
      </c>
      <c r="J849" s="53">
        <v>204.01</v>
      </c>
    </row>
    <row r="850" spans="1:10" ht="17.25" customHeight="1" x14ac:dyDescent="0.25">
      <c r="A850" s="4">
        <v>322</v>
      </c>
      <c r="B850" s="5" t="s">
        <v>207</v>
      </c>
      <c r="C850" s="5" t="s">
        <v>208</v>
      </c>
      <c r="D850" s="16">
        <v>0.22280999999999995</v>
      </c>
      <c r="E850" s="16">
        <v>0.27293999999999996</v>
      </c>
      <c r="F850" s="17">
        <v>0.27300999999999997</v>
      </c>
      <c r="G850" s="18">
        <v>408.14</v>
      </c>
      <c r="H850" s="18">
        <v>113.54</v>
      </c>
      <c r="I850" s="18">
        <v>408.14</v>
      </c>
      <c r="J850" s="53">
        <v>58.12</v>
      </c>
    </row>
    <row r="851" spans="1:10" ht="17.25" customHeight="1" x14ac:dyDescent="0.25">
      <c r="A851" s="4">
        <v>330</v>
      </c>
      <c r="B851" s="5" t="s">
        <v>211</v>
      </c>
      <c r="C851" s="5" t="s">
        <v>215</v>
      </c>
      <c r="D851" s="16">
        <v>0.26984000000000008</v>
      </c>
      <c r="E851" s="16">
        <v>0.27205999999999997</v>
      </c>
      <c r="F851" s="17">
        <v>0.23435000000000006</v>
      </c>
      <c r="G851" s="18">
        <v>547.73</v>
      </c>
      <c r="H851" s="18">
        <v>165.15</v>
      </c>
      <c r="I851" s="18">
        <v>547.73</v>
      </c>
      <c r="J851" s="53">
        <v>56.11</v>
      </c>
    </row>
    <row r="852" spans="1:10" ht="17.25" customHeight="1" x14ac:dyDescent="0.25">
      <c r="A852" s="4">
        <v>289</v>
      </c>
      <c r="B852" s="5" t="s">
        <v>168</v>
      </c>
      <c r="C852" s="5" t="s">
        <v>171</v>
      </c>
      <c r="D852" s="16">
        <v>0.23181000000000007</v>
      </c>
      <c r="E852" s="16">
        <v>0.26659999999999995</v>
      </c>
      <c r="F852" s="17">
        <v>0.27964000000000011</v>
      </c>
      <c r="G852" s="18">
        <v>417.9</v>
      </c>
      <c r="H852" s="18">
        <v>132.81</v>
      </c>
      <c r="I852" s="18">
        <v>417.9</v>
      </c>
      <c r="J852" s="53">
        <v>56.11</v>
      </c>
    </row>
    <row r="853" spans="1:10" ht="17.25" customHeight="1" x14ac:dyDescent="0.25">
      <c r="A853" s="4">
        <v>583</v>
      </c>
      <c r="B853" s="5" t="s">
        <v>474</v>
      </c>
      <c r="C853" s="5" t="s">
        <v>476</v>
      </c>
      <c r="D853" s="16">
        <v>0.29861000000000004</v>
      </c>
      <c r="E853" s="16">
        <v>0.26574999999999993</v>
      </c>
      <c r="F853" s="17">
        <v>0.28366000000000002</v>
      </c>
      <c r="G853" s="18">
        <v>561</v>
      </c>
      <c r="H853" s="18">
        <v>174.3</v>
      </c>
      <c r="I853" s="18">
        <v>561</v>
      </c>
      <c r="J853" s="53">
        <v>116.16</v>
      </c>
    </row>
    <row r="854" spans="1:10" ht="17.25" customHeight="1" x14ac:dyDescent="0.25">
      <c r="A854" s="4">
        <v>700</v>
      </c>
      <c r="B854" s="5" t="s">
        <v>591</v>
      </c>
      <c r="C854" s="5" t="s">
        <v>592</v>
      </c>
      <c r="D854" s="16">
        <v>0.29832999999999998</v>
      </c>
      <c r="E854" s="16">
        <v>0.26282000000000005</v>
      </c>
      <c r="F854" s="17">
        <v>0.28570999999999991</v>
      </c>
      <c r="G854" s="18">
        <v>580</v>
      </c>
      <c r="H854" s="18">
        <v>212</v>
      </c>
      <c r="I854" s="18">
        <v>580</v>
      </c>
      <c r="J854" s="53">
        <v>128.16999999999999</v>
      </c>
    </row>
    <row r="855" spans="1:10" ht="17.25" customHeight="1" x14ac:dyDescent="0.25">
      <c r="A855" s="4">
        <v>418</v>
      </c>
      <c r="B855" s="5" t="s">
        <v>320</v>
      </c>
      <c r="C855" s="5" t="s">
        <v>322</v>
      </c>
      <c r="D855" s="16">
        <v>0.29013</v>
      </c>
      <c r="E855" s="16">
        <v>0.25669999999999993</v>
      </c>
      <c r="F855" s="17">
        <v>0.26829999999999998</v>
      </c>
      <c r="G855" s="18">
        <v>551.35</v>
      </c>
      <c r="H855" s="18">
        <v>177.35</v>
      </c>
      <c r="I855" s="18">
        <v>551.35</v>
      </c>
      <c r="J855" s="53">
        <v>102.13</v>
      </c>
    </row>
    <row r="856" spans="1:10" ht="17.25" customHeight="1" x14ac:dyDescent="0.25">
      <c r="A856" s="4">
        <v>826</v>
      </c>
      <c r="B856" s="5" t="s">
        <v>630</v>
      </c>
      <c r="C856" s="5" t="s">
        <v>631</v>
      </c>
      <c r="D856" s="16">
        <v>0.28482999999999992</v>
      </c>
      <c r="E856" s="16">
        <v>0.26401999999999992</v>
      </c>
      <c r="F856" s="17">
        <v>0.28570000000000007</v>
      </c>
      <c r="G856" s="18">
        <v>602</v>
      </c>
      <c r="H856" s="18">
        <v>192.45</v>
      </c>
      <c r="I856" s="18">
        <v>602</v>
      </c>
      <c r="J856" s="53">
        <v>144.21</v>
      </c>
    </row>
    <row r="857" spans="1:10" ht="17.25" customHeight="1" x14ac:dyDescent="0.25">
      <c r="A857" s="4">
        <v>340</v>
      </c>
      <c r="B857" s="5" t="s">
        <v>226</v>
      </c>
      <c r="C857" s="5" t="s">
        <v>227</v>
      </c>
      <c r="D857" s="16">
        <v>0.29377999999999993</v>
      </c>
      <c r="E857" s="16">
        <v>0.28222000000000014</v>
      </c>
      <c r="F857" s="17">
        <v>0.25951000000000013</v>
      </c>
      <c r="G857" s="18">
        <v>559</v>
      </c>
      <c r="H857" s="18">
        <v>128.31</v>
      </c>
      <c r="I857" s="18">
        <v>559</v>
      </c>
      <c r="J857" s="53">
        <v>90.19</v>
      </c>
    </row>
    <row r="858" spans="1:10" ht="17.25" customHeight="1" x14ac:dyDescent="0.25">
      <c r="A858" s="4">
        <v>348</v>
      </c>
      <c r="B858" s="5" t="s">
        <v>233</v>
      </c>
      <c r="C858" s="5" t="s">
        <v>234</v>
      </c>
      <c r="D858" s="16">
        <v>0.23429000000000011</v>
      </c>
      <c r="E858" s="16">
        <v>0.24788999999999994</v>
      </c>
      <c r="F858" s="17">
        <v>0.23649999999999993</v>
      </c>
      <c r="G858" s="18">
        <v>513.73</v>
      </c>
      <c r="H858" s="18">
        <v>188.55</v>
      </c>
      <c r="I858" s="18">
        <v>513.73</v>
      </c>
      <c r="J858" s="53">
        <v>73.14</v>
      </c>
    </row>
    <row r="859" spans="1:10" ht="17.25" customHeight="1" x14ac:dyDescent="0.25">
      <c r="A859" s="4">
        <v>990</v>
      </c>
      <c r="B859" s="5" t="s">
        <v>708</v>
      </c>
      <c r="C859" s="5" t="s">
        <v>710</v>
      </c>
      <c r="D859" s="16">
        <v>0.29434000000000005</v>
      </c>
      <c r="E859" s="16">
        <v>0.27495000000000003</v>
      </c>
      <c r="F859" s="17">
        <v>0.32244000000000006</v>
      </c>
      <c r="G859" s="18">
        <v>650.15</v>
      </c>
      <c r="H859" s="18">
        <v>221.7</v>
      </c>
      <c r="I859" s="18">
        <v>650.15</v>
      </c>
      <c r="J859" s="53">
        <v>134.22</v>
      </c>
    </row>
    <row r="860" spans="1:10" ht="17.25" customHeight="1" x14ac:dyDescent="0.25">
      <c r="A860" s="4">
        <v>295</v>
      </c>
      <c r="B860" s="5" t="s">
        <v>179</v>
      </c>
      <c r="C860" s="5" t="s">
        <v>180</v>
      </c>
      <c r="D860" s="16">
        <v>0.27293999999999996</v>
      </c>
      <c r="E860" s="16">
        <v>0.25695000000000001</v>
      </c>
      <c r="F860" s="17">
        <v>0.28570999999999991</v>
      </c>
      <c r="G860" s="18">
        <v>507</v>
      </c>
      <c r="H860" s="18">
        <v>208.15</v>
      </c>
      <c r="I860" s="18">
        <v>507</v>
      </c>
      <c r="J860" s="53">
        <v>72.11</v>
      </c>
    </row>
    <row r="861" spans="1:10" ht="17.25" customHeight="1" x14ac:dyDescent="0.25">
      <c r="A861" s="4">
        <v>302</v>
      </c>
      <c r="B861" s="5" t="s">
        <v>185</v>
      </c>
      <c r="C861" s="5" t="s">
        <v>186</v>
      </c>
      <c r="D861" s="16">
        <v>0.30227000000000004</v>
      </c>
      <c r="E861" s="16">
        <v>0.25490000000000013</v>
      </c>
      <c r="F861" s="17">
        <v>0.26859999999999995</v>
      </c>
      <c r="G861" s="18">
        <v>609.15</v>
      </c>
      <c r="H861" s="18">
        <v>227.15</v>
      </c>
      <c r="I861" s="18">
        <v>609.15</v>
      </c>
      <c r="J861" s="53">
        <v>88.1</v>
      </c>
    </row>
    <row r="862" spans="1:10" ht="17.25" customHeight="1" x14ac:dyDescent="0.25">
      <c r="A862" s="4">
        <v>280</v>
      </c>
      <c r="B862" s="5" t="s">
        <v>161</v>
      </c>
      <c r="C862" s="5" t="s">
        <v>162</v>
      </c>
      <c r="D862" s="16">
        <v>0.24858000000000002</v>
      </c>
      <c r="E862" s="16">
        <v>0.2444900000000001</v>
      </c>
      <c r="F862" s="17">
        <v>0.29984999999999995</v>
      </c>
      <c r="G862" s="18">
        <v>565</v>
      </c>
      <c r="H862" s="18">
        <v>201.7</v>
      </c>
      <c r="I862" s="18">
        <v>565</v>
      </c>
      <c r="J862" s="53">
        <v>69.099999999999994</v>
      </c>
    </row>
    <row r="863" spans="1:10" ht="17.25" customHeight="1" x14ac:dyDescent="0.25">
      <c r="A863" s="4">
        <v>1095</v>
      </c>
      <c r="B863" s="5" t="s">
        <v>807</v>
      </c>
      <c r="C863" s="5" t="s">
        <v>809</v>
      </c>
      <c r="D863" s="16">
        <v>0.26547000000000009</v>
      </c>
      <c r="E863" s="16">
        <v>0.25388999999999995</v>
      </c>
      <c r="F863" s="17">
        <v>0.28570999999999991</v>
      </c>
      <c r="G863" s="18">
        <v>644</v>
      </c>
      <c r="H863" s="18">
        <v>213.15</v>
      </c>
      <c r="I863" s="18">
        <v>644</v>
      </c>
      <c r="J863" s="53">
        <v>158.28</v>
      </c>
    </row>
    <row r="864" spans="1:10" ht="17.25" customHeight="1" x14ac:dyDescent="0.25">
      <c r="A864" s="4">
        <v>438</v>
      </c>
      <c r="B864" s="5" t="s">
        <v>345</v>
      </c>
      <c r="C864" s="5" t="s">
        <v>346</v>
      </c>
      <c r="D864" s="16">
        <v>0.23724999999999996</v>
      </c>
      <c r="E864" s="16">
        <v>0.27610000000000001</v>
      </c>
      <c r="F864" s="17">
        <v>0.28672999999999993</v>
      </c>
      <c r="G864" s="18">
        <v>460.43</v>
      </c>
      <c r="H864" s="18">
        <v>113.25</v>
      </c>
      <c r="I864" s="18">
        <v>460.43</v>
      </c>
      <c r="J864" s="53">
        <v>72.150000000000006</v>
      </c>
    </row>
    <row r="865" spans="1:10" ht="17.25" customHeight="1" x14ac:dyDescent="0.25">
      <c r="A865" s="4">
        <v>735</v>
      </c>
      <c r="B865" s="5" t="s">
        <v>1715</v>
      </c>
      <c r="C865" s="5" t="s">
        <v>1717</v>
      </c>
      <c r="D865" s="16">
        <v>0.29448999999999992</v>
      </c>
      <c r="E865" s="16">
        <v>0.26505000000000001</v>
      </c>
      <c r="F865" s="17">
        <v>0.30089999999999995</v>
      </c>
      <c r="G865" s="18">
        <v>599</v>
      </c>
      <c r="H865" s="18">
        <v>194.65</v>
      </c>
      <c r="I865" s="18">
        <v>599</v>
      </c>
      <c r="J865" s="53">
        <v>130.18</v>
      </c>
    </row>
    <row r="866" spans="1:10" ht="17.25" customHeight="1" x14ac:dyDescent="0.25">
      <c r="A866" s="4">
        <v>1017</v>
      </c>
      <c r="B866" s="5" t="s">
        <v>729</v>
      </c>
      <c r="C866" s="5" t="s">
        <v>731</v>
      </c>
      <c r="D866" s="16">
        <v>0.28710999999999998</v>
      </c>
      <c r="E866" s="16">
        <v>0.28038000000000007</v>
      </c>
      <c r="F866" s="17">
        <v>0.24390000000000001</v>
      </c>
      <c r="G866" s="18">
        <v>637</v>
      </c>
      <c r="H866" s="18">
        <v>215</v>
      </c>
      <c r="I866" s="18">
        <v>637</v>
      </c>
      <c r="J866" s="53">
        <v>172.26</v>
      </c>
    </row>
    <row r="867" spans="1:10" ht="17.25" customHeight="1" x14ac:dyDescent="0.25">
      <c r="A867" s="4">
        <v>900</v>
      </c>
      <c r="B867" s="5" t="s">
        <v>1804</v>
      </c>
      <c r="C867" s="5" t="s">
        <v>1805</v>
      </c>
      <c r="D867" s="16">
        <v>0.29347000000000012</v>
      </c>
      <c r="E867" s="16">
        <v>0.26380000000000003</v>
      </c>
      <c r="F867" s="17">
        <v>0.28570000000000007</v>
      </c>
      <c r="G867" s="18">
        <v>715</v>
      </c>
      <c r="H867" s="18">
        <v>265.05</v>
      </c>
      <c r="I867" s="18">
        <v>715</v>
      </c>
      <c r="J867" s="53">
        <v>138.21</v>
      </c>
    </row>
    <row r="868" spans="1:10" ht="17.25" customHeight="1" x14ac:dyDescent="0.25">
      <c r="A868" s="4">
        <v>763</v>
      </c>
      <c r="B868" s="5" t="s">
        <v>2290</v>
      </c>
      <c r="C868" s="5" t="s">
        <v>1746</v>
      </c>
      <c r="D868" s="16">
        <v>0.39189000000000007</v>
      </c>
      <c r="E868" s="16">
        <v>0.19999999999999996</v>
      </c>
      <c r="F868" s="17">
        <v>0.28570999999999991</v>
      </c>
      <c r="G868" s="18">
        <v>1007</v>
      </c>
      <c r="H868" s="18">
        <v>619.15</v>
      </c>
      <c r="I868" s="18">
        <v>1007</v>
      </c>
      <c r="J868" s="53">
        <v>166.13</v>
      </c>
    </row>
    <row r="869" spans="1:10" ht="17.25" customHeight="1" x14ac:dyDescent="0.25">
      <c r="A869" s="4">
        <v>375</v>
      </c>
      <c r="B869" s="5" t="s">
        <v>272</v>
      </c>
      <c r="C869" s="5" t="s">
        <v>274</v>
      </c>
      <c r="D869" s="16">
        <v>0.24604000000000004</v>
      </c>
      <c r="E869" s="16">
        <v>0.26488</v>
      </c>
      <c r="F869" s="17">
        <v>0.28570999999999991</v>
      </c>
      <c r="G869" s="18">
        <v>484</v>
      </c>
      <c r="H869" s="18">
        <v>127.26999999999998</v>
      </c>
      <c r="I869" s="18">
        <v>484</v>
      </c>
      <c r="J869" s="53">
        <v>68.12</v>
      </c>
    </row>
    <row r="870" spans="1:10" ht="17.25" customHeight="1" x14ac:dyDescent="0.25">
      <c r="A870" s="4">
        <v>212</v>
      </c>
      <c r="B870" s="5" t="s">
        <v>80</v>
      </c>
      <c r="C870" s="5" t="s">
        <v>81</v>
      </c>
      <c r="D870" s="16">
        <v>0.26784999999999992</v>
      </c>
      <c r="E870" s="16">
        <v>0.26475000000000004</v>
      </c>
      <c r="F870" s="17">
        <v>0.24299999999999988</v>
      </c>
      <c r="G870" s="18">
        <v>508.31</v>
      </c>
      <c r="H870" s="18">
        <v>185.28</v>
      </c>
      <c r="I870" s="18">
        <v>508.31</v>
      </c>
      <c r="J870" s="53">
        <v>60.09</v>
      </c>
    </row>
    <row r="871" spans="1:10" ht="17.25" customHeight="1" x14ac:dyDescent="0.25">
      <c r="A871" s="4">
        <v>419</v>
      </c>
      <c r="B871" s="5" t="s">
        <v>320</v>
      </c>
      <c r="C871" s="5" t="s">
        <v>323</v>
      </c>
      <c r="D871" s="16">
        <v>0.30574000000000012</v>
      </c>
      <c r="E871" s="16">
        <v>0.26733999999999991</v>
      </c>
      <c r="F871" s="17">
        <v>0.28600000000000003</v>
      </c>
      <c r="G871" s="18">
        <v>538</v>
      </c>
      <c r="H871" s="18">
        <v>199.75</v>
      </c>
      <c r="I871" s="18">
        <v>538</v>
      </c>
      <c r="J871" s="53">
        <v>102.13</v>
      </c>
    </row>
    <row r="872" spans="1:10" ht="17.25" customHeight="1" x14ac:dyDescent="0.25">
      <c r="A872" s="4">
        <v>197</v>
      </c>
      <c r="B872" s="5" t="s">
        <v>2291</v>
      </c>
      <c r="C872" s="5" t="s">
        <v>64</v>
      </c>
      <c r="D872" s="16">
        <v>0.31886999999999999</v>
      </c>
      <c r="E872" s="16">
        <v>0.27503000000000011</v>
      </c>
      <c r="F872" s="17">
        <v>0.28570999999999991</v>
      </c>
      <c r="G872" s="18">
        <v>489</v>
      </c>
      <c r="H872" s="18">
        <v>155.97</v>
      </c>
      <c r="I872" s="18">
        <v>489</v>
      </c>
      <c r="J872" s="53">
        <v>78.540000000000006</v>
      </c>
    </row>
    <row r="873" spans="1:10" ht="17.25" customHeight="1" x14ac:dyDescent="0.25">
      <c r="A873" s="4">
        <v>201</v>
      </c>
      <c r="B873" s="5" t="s">
        <v>2292</v>
      </c>
      <c r="C873" s="5" t="s">
        <v>68</v>
      </c>
      <c r="D873" s="16">
        <v>0.58618999999999999</v>
      </c>
      <c r="E873" s="16">
        <v>0.26661000000000001</v>
      </c>
      <c r="F873" s="17">
        <v>0.30231999999999992</v>
      </c>
      <c r="G873" s="18">
        <v>578</v>
      </c>
      <c r="H873" s="18">
        <v>183.15</v>
      </c>
      <c r="I873" s="18">
        <v>578</v>
      </c>
      <c r="J873" s="53">
        <v>169.99</v>
      </c>
    </row>
    <row r="874" spans="1:10" ht="17.25" customHeight="1" x14ac:dyDescent="0.25">
      <c r="A874" s="4">
        <v>221</v>
      </c>
      <c r="B874" s="5" t="s">
        <v>90</v>
      </c>
      <c r="C874" s="5" t="s">
        <v>91</v>
      </c>
      <c r="D874" s="16">
        <v>0.29957000000000011</v>
      </c>
      <c r="E874" s="16">
        <v>0.28093999999999997</v>
      </c>
      <c r="F874" s="17">
        <v>0.28570999999999991</v>
      </c>
      <c r="G874" s="18">
        <v>517</v>
      </c>
      <c r="H874" s="18">
        <v>142.61000000000001</v>
      </c>
      <c r="I874" s="18">
        <v>517</v>
      </c>
      <c r="J874" s="53">
        <v>76.16</v>
      </c>
    </row>
    <row r="875" spans="1:10" ht="17.25" customHeight="1" x14ac:dyDescent="0.25">
      <c r="A875" s="4">
        <v>224</v>
      </c>
      <c r="B875" s="5" t="s">
        <v>93</v>
      </c>
      <c r="C875" s="5" t="s">
        <v>94</v>
      </c>
      <c r="D875" s="16">
        <v>0.26757000000000009</v>
      </c>
      <c r="E875" s="16">
        <v>0.28279999999999994</v>
      </c>
      <c r="F875" s="17">
        <v>0.29720000000000013</v>
      </c>
      <c r="G875" s="18">
        <v>471.85</v>
      </c>
      <c r="H875" s="18">
        <v>177.95</v>
      </c>
      <c r="I875" s="18">
        <v>471.85</v>
      </c>
      <c r="J875" s="53">
        <v>59.11</v>
      </c>
    </row>
    <row r="876" spans="1:10" ht="17.25" customHeight="1" x14ac:dyDescent="0.25">
      <c r="A876" s="4">
        <v>907</v>
      </c>
      <c r="B876" s="5" t="s">
        <v>1810</v>
      </c>
      <c r="C876" s="5" t="s">
        <v>1812</v>
      </c>
      <c r="D876" s="16">
        <v>0.27207000000000003</v>
      </c>
      <c r="E876" s="16">
        <v>0.27126000000000006</v>
      </c>
      <c r="F876" s="17">
        <v>0.29804999999999993</v>
      </c>
      <c r="G876" s="18">
        <v>627</v>
      </c>
      <c r="H876" s="18">
        <v>183.76</v>
      </c>
      <c r="I876" s="18">
        <v>627</v>
      </c>
      <c r="J876" s="53">
        <v>126.24</v>
      </c>
    </row>
    <row r="877" spans="1:10" ht="17.25" customHeight="1" x14ac:dyDescent="0.25">
      <c r="A877" s="4">
        <v>344</v>
      </c>
      <c r="B877" s="5" t="s">
        <v>226</v>
      </c>
      <c r="C877" s="5" t="s">
        <v>229</v>
      </c>
      <c r="D877" s="16">
        <v>0.2883</v>
      </c>
      <c r="E877" s="16">
        <v>0.26900000000000013</v>
      </c>
      <c r="F877" s="17">
        <v>0.28570999999999991</v>
      </c>
      <c r="G877" s="18">
        <v>551</v>
      </c>
      <c r="H877" s="18">
        <v>171.65</v>
      </c>
      <c r="I877" s="18">
        <v>551</v>
      </c>
      <c r="J877" s="53">
        <v>90.19</v>
      </c>
    </row>
    <row r="878" spans="1:10" ht="17.25" customHeight="1" x14ac:dyDescent="0.25">
      <c r="A878" s="4">
        <v>624</v>
      </c>
      <c r="B878" s="5" t="s">
        <v>512</v>
      </c>
      <c r="C878" s="5" t="s">
        <v>514</v>
      </c>
      <c r="D878" s="16">
        <v>0.28590000000000004</v>
      </c>
      <c r="E878" s="16">
        <v>0.27400000000000002</v>
      </c>
      <c r="F878" s="17">
        <v>0.28570999999999991</v>
      </c>
      <c r="G878" s="18">
        <v>585.71</v>
      </c>
      <c r="H878" s="18">
        <v>170.45</v>
      </c>
      <c r="I878" s="18">
        <v>585.71</v>
      </c>
      <c r="J878" s="53">
        <v>118.24</v>
      </c>
    </row>
    <row r="879" spans="1:10" ht="17.25" customHeight="1" x14ac:dyDescent="0.25">
      <c r="A879" s="4">
        <v>754</v>
      </c>
      <c r="B879" s="5" t="s">
        <v>1733</v>
      </c>
      <c r="C879" s="5" t="s">
        <v>1737</v>
      </c>
      <c r="D879" s="16">
        <v>0.25479999999999992</v>
      </c>
      <c r="E879" s="16">
        <v>0.26100000000000012</v>
      </c>
      <c r="F879" s="17">
        <v>0.28570999999999991</v>
      </c>
      <c r="G879" s="18">
        <v>558.21</v>
      </c>
      <c r="H879" s="18">
        <v>177.8</v>
      </c>
      <c r="I879" s="18">
        <v>558.21</v>
      </c>
      <c r="J879" s="53">
        <v>116.2</v>
      </c>
    </row>
    <row r="880" spans="1:10" ht="17.25" customHeight="1" x14ac:dyDescent="0.25">
      <c r="A880" s="4">
        <v>873</v>
      </c>
      <c r="B880" s="5" t="s">
        <v>1780</v>
      </c>
      <c r="C880" s="5" t="s">
        <v>1781</v>
      </c>
      <c r="D880" s="16">
        <v>0.32054000000000005</v>
      </c>
      <c r="E880" s="16">
        <v>0.24748999999999999</v>
      </c>
      <c r="F880" s="17">
        <v>0.27889999999999993</v>
      </c>
      <c r="G880" s="18">
        <v>803.15</v>
      </c>
      <c r="H880" s="18">
        <v>299.45</v>
      </c>
      <c r="I880" s="18">
        <v>803.15</v>
      </c>
      <c r="J880" s="53">
        <v>129.16</v>
      </c>
    </row>
    <row r="881" spans="1:10" ht="17.25" customHeight="1" x14ac:dyDescent="0.25">
      <c r="A881" s="4">
        <v>423</v>
      </c>
      <c r="B881" s="5" t="s">
        <v>320</v>
      </c>
      <c r="C881" s="5" t="s">
        <v>325</v>
      </c>
      <c r="D881" s="16">
        <v>0.30462999999999996</v>
      </c>
      <c r="E881" s="16">
        <v>0.2661</v>
      </c>
      <c r="F881" s="17">
        <v>0.27429999999999999</v>
      </c>
      <c r="G881" s="18">
        <v>634</v>
      </c>
      <c r="H881" s="18">
        <v>243.85</v>
      </c>
      <c r="I881" s="18">
        <v>634</v>
      </c>
      <c r="J881" s="53">
        <v>102.13</v>
      </c>
    </row>
    <row r="882" spans="1:10" ht="17.25" customHeight="1" x14ac:dyDescent="0.25">
      <c r="A882" s="4">
        <v>369</v>
      </c>
      <c r="B882" s="5" t="s">
        <v>2269</v>
      </c>
      <c r="C882" s="5" t="s">
        <v>264</v>
      </c>
      <c r="D882" s="16">
        <v>0.37298000000000009</v>
      </c>
      <c r="E882" s="16">
        <v>0.21666000000000007</v>
      </c>
      <c r="F882" s="17">
        <v>0.28570000000000007</v>
      </c>
      <c r="G882" s="18">
        <v>821</v>
      </c>
      <c r="H882" s="18">
        <v>438.75</v>
      </c>
      <c r="I882" s="18">
        <v>821</v>
      </c>
      <c r="J882" s="53">
        <v>130.1</v>
      </c>
    </row>
    <row r="883" spans="1:10" ht="17.25" customHeight="1" x14ac:dyDescent="0.25">
      <c r="A883" s="4">
        <v>87</v>
      </c>
      <c r="B883" s="5" t="s">
        <v>1588</v>
      </c>
      <c r="C883" s="5" t="s">
        <v>1589</v>
      </c>
      <c r="D883" s="16">
        <v>0.29187999999999992</v>
      </c>
      <c r="E883" s="16">
        <v>0.27200000000000002</v>
      </c>
      <c r="F883" s="17">
        <v>0.28570999999999991</v>
      </c>
      <c r="G883" s="18">
        <v>370</v>
      </c>
      <c r="H883" s="18">
        <v>122</v>
      </c>
      <c r="I883" s="18">
        <v>370</v>
      </c>
      <c r="J883" s="53">
        <v>42.04</v>
      </c>
    </row>
    <row r="884" spans="1:10" ht="17.25" customHeight="1" x14ac:dyDescent="0.25">
      <c r="A884" s="4">
        <v>191</v>
      </c>
      <c r="B884" s="5" t="s">
        <v>55</v>
      </c>
      <c r="C884" s="5" t="s">
        <v>56</v>
      </c>
      <c r="D884" s="16">
        <v>0.39816000000000007</v>
      </c>
      <c r="E884" s="16">
        <v>0.26350000000000007</v>
      </c>
      <c r="F884" s="17">
        <v>0.28570000000000007</v>
      </c>
      <c r="G884" s="18">
        <v>616</v>
      </c>
      <c r="H884" s="18">
        <v>291.14999999999998</v>
      </c>
      <c r="I884" s="18">
        <v>616</v>
      </c>
      <c r="J884" s="53">
        <v>90.08</v>
      </c>
    </row>
    <row r="885" spans="1:10" ht="17.25" customHeight="1" x14ac:dyDescent="0.25">
      <c r="A885" s="4">
        <v>171</v>
      </c>
      <c r="B885" s="5" t="s">
        <v>26</v>
      </c>
      <c r="C885" s="5" t="s">
        <v>29</v>
      </c>
      <c r="D885" s="16">
        <v>0.29249999999999998</v>
      </c>
      <c r="E885" s="16">
        <v>0.24607000000000001</v>
      </c>
      <c r="F885" s="17">
        <v>0.23340000000000005</v>
      </c>
      <c r="G885" s="18">
        <v>643</v>
      </c>
      <c r="H885" s="18">
        <v>233</v>
      </c>
      <c r="I885" s="18">
        <v>643</v>
      </c>
      <c r="J885" s="53">
        <v>71.08</v>
      </c>
    </row>
    <row r="886" spans="1:10" ht="17.25" customHeight="1" x14ac:dyDescent="0.25">
      <c r="A886" s="4">
        <v>396</v>
      </c>
      <c r="B886" s="5" t="s">
        <v>295</v>
      </c>
      <c r="C886" s="5" t="s">
        <v>297</v>
      </c>
      <c r="D886" s="16">
        <v>0.33854000000000006</v>
      </c>
      <c r="E886" s="16">
        <v>0.24978999999999996</v>
      </c>
      <c r="F886" s="17">
        <v>0.2572000000000001</v>
      </c>
      <c r="G886" s="18">
        <v>723</v>
      </c>
      <c r="H886" s="18">
        <v>308.14999999999998</v>
      </c>
      <c r="I886" s="18">
        <v>723</v>
      </c>
      <c r="J886" s="53">
        <v>116.11</v>
      </c>
    </row>
    <row r="887" spans="1:10" ht="17.25" customHeight="1" x14ac:dyDescent="0.25">
      <c r="A887" s="4">
        <v>402</v>
      </c>
      <c r="B887" s="5" t="s">
        <v>2293</v>
      </c>
      <c r="C887" s="5" t="s">
        <v>304</v>
      </c>
      <c r="D887" s="16">
        <v>0.38403000000000009</v>
      </c>
      <c r="E887" s="16">
        <v>0.21500000000000008</v>
      </c>
      <c r="F887" s="17">
        <v>0.28570999999999991</v>
      </c>
      <c r="G887" s="18">
        <v>886</v>
      </c>
      <c r="H887" s="18">
        <v>497.15</v>
      </c>
      <c r="I887" s="18">
        <v>886</v>
      </c>
      <c r="J887" s="53">
        <v>147.13</v>
      </c>
    </row>
    <row r="888" spans="1:10" ht="17.25" customHeight="1" x14ac:dyDescent="0.25">
      <c r="A888" s="4">
        <v>1297</v>
      </c>
      <c r="B888" s="5" t="s">
        <v>1052</v>
      </c>
      <c r="C888" s="5" t="s">
        <v>1053</v>
      </c>
      <c r="D888" s="16">
        <v>0.25829999999999997</v>
      </c>
      <c r="E888" s="16">
        <v>0.23755999999999999</v>
      </c>
      <c r="F888" s="17">
        <v>0.28600000000000003</v>
      </c>
      <c r="G888" s="18">
        <v>775</v>
      </c>
      <c r="H888" s="18">
        <v>268.14999999999998</v>
      </c>
      <c r="I888" s="18">
        <v>775</v>
      </c>
      <c r="J888" s="53">
        <v>280.44</v>
      </c>
    </row>
    <row r="889" spans="1:10" ht="17.25" customHeight="1" x14ac:dyDescent="0.25">
      <c r="A889" s="4">
        <v>601</v>
      </c>
      <c r="B889" s="5" t="s">
        <v>493</v>
      </c>
      <c r="C889" s="5" t="s">
        <v>494</v>
      </c>
      <c r="D889" s="16">
        <v>0.29076000000000013</v>
      </c>
      <c r="E889" s="16">
        <v>0.26</v>
      </c>
      <c r="F889" s="17">
        <v>0.28570999999999991</v>
      </c>
      <c r="G889" s="18">
        <v>821</v>
      </c>
      <c r="H889" s="18">
        <v>483</v>
      </c>
      <c r="I889" s="18">
        <v>821</v>
      </c>
      <c r="J889" s="53">
        <v>146.19</v>
      </c>
    </row>
    <row r="890" spans="1:10" ht="17.25" customHeight="1" x14ac:dyDescent="0.25">
      <c r="A890" s="4">
        <v>238</v>
      </c>
      <c r="B890" s="5" t="s">
        <v>114</v>
      </c>
      <c r="C890" s="5" t="s">
        <v>115</v>
      </c>
      <c r="D890" s="16">
        <v>0.44777</v>
      </c>
      <c r="E890" s="16">
        <v>0.26140999999999992</v>
      </c>
      <c r="F890" s="17">
        <v>0.35583999999999993</v>
      </c>
      <c r="G890" s="18">
        <v>721</v>
      </c>
      <c r="H890" s="18">
        <v>326</v>
      </c>
      <c r="I890" s="18">
        <v>721</v>
      </c>
      <c r="J890" s="53">
        <v>98.06</v>
      </c>
    </row>
    <row r="891" spans="1:10" ht="17.25" customHeight="1" x14ac:dyDescent="0.25">
      <c r="A891" s="4">
        <v>245</v>
      </c>
      <c r="B891" s="5" t="s">
        <v>2284</v>
      </c>
      <c r="C891" s="5" t="s">
        <v>127</v>
      </c>
      <c r="D891" s="16">
        <v>0.39013000000000009</v>
      </c>
      <c r="E891" s="16">
        <v>0.23100000000000009</v>
      </c>
      <c r="F891" s="17">
        <v>0.29000000000000004</v>
      </c>
      <c r="G891" s="18">
        <v>773</v>
      </c>
      <c r="H891" s="18">
        <v>403.45</v>
      </c>
      <c r="I891" s="18">
        <v>773</v>
      </c>
      <c r="J891" s="53">
        <v>116.07</v>
      </c>
    </row>
    <row r="892" spans="1:10" ht="17.25" customHeight="1" x14ac:dyDescent="0.25">
      <c r="A892" s="4">
        <v>277</v>
      </c>
      <c r="B892" s="5" t="s">
        <v>157</v>
      </c>
      <c r="C892" s="5" t="s">
        <v>159</v>
      </c>
      <c r="D892" s="16">
        <v>0.4057900000000001</v>
      </c>
      <c r="E892" s="16">
        <v>0.25800000000000001</v>
      </c>
      <c r="F892" s="17">
        <v>0.28570999999999991</v>
      </c>
      <c r="G892" s="18">
        <v>781</v>
      </c>
      <c r="H892" s="18">
        <v>403.15</v>
      </c>
      <c r="I892" s="18">
        <v>781</v>
      </c>
      <c r="J892" s="53">
        <v>134.09</v>
      </c>
    </row>
    <row r="893" spans="1:10" ht="17.25" customHeight="1" x14ac:dyDescent="0.25">
      <c r="A893" s="4">
        <v>146</v>
      </c>
      <c r="B893" s="5" t="s">
        <v>1682</v>
      </c>
      <c r="C893" s="5" t="s">
        <v>1683</v>
      </c>
      <c r="D893" s="16">
        <v>0.26638000000000006</v>
      </c>
      <c r="E893" s="16">
        <v>0.20459000000000005</v>
      </c>
      <c r="F893" s="17">
        <v>0.26089999999999991</v>
      </c>
      <c r="G893" s="18">
        <v>715</v>
      </c>
      <c r="H893" s="18">
        <v>304.89999999999998</v>
      </c>
      <c r="I893" s="18">
        <v>715</v>
      </c>
      <c r="J893" s="53">
        <v>66.06</v>
      </c>
    </row>
    <row r="894" spans="1:10" ht="17.25" customHeight="1" x14ac:dyDescent="0.25">
      <c r="A894" s="4">
        <v>494</v>
      </c>
      <c r="B894" s="5" t="s">
        <v>2294</v>
      </c>
      <c r="C894" s="5" t="s">
        <v>2437</v>
      </c>
      <c r="D894" s="16">
        <v>0.35047000000000006</v>
      </c>
      <c r="E894" s="16">
        <v>0.23201999999999989</v>
      </c>
      <c r="F894" s="17">
        <v>0.32410000000000005</v>
      </c>
      <c r="G894" s="18">
        <v>751</v>
      </c>
      <c r="H894" s="18">
        <v>262.75</v>
      </c>
      <c r="I894" s="18">
        <v>751</v>
      </c>
      <c r="J894" s="53">
        <v>127.57</v>
      </c>
    </row>
    <row r="895" spans="1:10" ht="17.25" customHeight="1" x14ac:dyDescent="0.25">
      <c r="A895" s="4">
        <v>649</v>
      </c>
      <c r="B895" s="5" t="s">
        <v>543</v>
      </c>
      <c r="C895" s="5" t="s">
        <v>2438</v>
      </c>
      <c r="D895" s="16">
        <v>0.43142000000000014</v>
      </c>
      <c r="E895" s="16">
        <v>0.248</v>
      </c>
      <c r="F895" s="17">
        <v>0.28570999999999991</v>
      </c>
      <c r="G895" s="18">
        <v>724</v>
      </c>
      <c r="H895" s="18">
        <v>280</v>
      </c>
      <c r="I895" s="18">
        <v>724</v>
      </c>
      <c r="J895" s="53">
        <v>175.01</v>
      </c>
    </row>
    <row r="896" spans="1:10" ht="17.25" customHeight="1" x14ac:dyDescent="0.25">
      <c r="A896" s="6">
        <v>472</v>
      </c>
      <c r="B896" s="5" t="s">
        <v>2295</v>
      </c>
      <c r="C896" s="5" t="s">
        <v>2439</v>
      </c>
      <c r="D896" s="16">
        <v>0.36471999999999993</v>
      </c>
      <c r="E896" s="16">
        <v>0.22340000000000004</v>
      </c>
      <c r="F896" s="34">
        <v>0.24499000000000004</v>
      </c>
      <c r="G896" s="18">
        <v>742</v>
      </c>
      <c r="H896" s="18">
        <v>317.64999999999998</v>
      </c>
      <c r="I896" s="18">
        <v>742</v>
      </c>
      <c r="J896" s="53">
        <v>157.55000000000001</v>
      </c>
    </row>
    <row r="897" spans="1:10" ht="17.25" customHeight="1" x14ac:dyDescent="0.25">
      <c r="A897" s="4">
        <v>486</v>
      </c>
      <c r="B897" s="5" t="s">
        <v>2289</v>
      </c>
      <c r="C897" s="5" t="s">
        <v>2440</v>
      </c>
      <c r="D897" s="16">
        <v>0.41332000000000013</v>
      </c>
      <c r="E897" s="16">
        <v>0.27300000000000013</v>
      </c>
      <c r="F897" s="17">
        <v>0.28570000000000007</v>
      </c>
      <c r="G897" s="18">
        <v>729</v>
      </c>
      <c r="H897" s="18">
        <v>306</v>
      </c>
      <c r="I897" s="18">
        <v>729</v>
      </c>
      <c r="J897" s="53">
        <v>128.56</v>
      </c>
    </row>
    <row r="898" spans="1:10" ht="17.25" customHeight="1" x14ac:dyDescent="0.25">
      <c r="A898" s="4">
        <v>684</v>
      </c>
      <c r="B898" s="5" t="s">
        <v>574</v>
      </c>
      <c r="C898" s="5" t="s">
        <v>2441</v>
      </c>
      <c r="D898" s="16">
        <v>0.34662999999999999</v>
      </c>
      <c r="E898" s="16">
        <v>0.28268000000000004</v>
      </c>
      <c r="F898" s="17">
        <v>0.27069999999999994</v>
      </c>
      <c r="G898" s="18">
        <v>705.85</v>
      </c>
      <c r="H898" s="18">
        <v>285.39</v>
      </c>
      <c r="I898" s="18">
        <v>705.85</v>
      </c>
      <c r="J898" s="53">
        <v>108.14</v>
      </c>
    </row>
    <row r="899" spans="1:10" ht="17.25" customHeight="1" x14ac:dyDescent="0.25">
      <c r="A899" s="6">
        <v>978</v>
      </c>
      <c r="B899" s="5" t="s">
        <v>708</v>
      </c>
      <c r="C899" s="5" t="s">
        <v>2442</v>
      </c>
      <c r="D899" s="16">
        <v>0.27673999999999999</v>
      </c>
      <c r="E899" s="16">
        <v>0.25906000000000007</v>
      </c>
      <c r="F899" s="17">
        <v>0.29420000000000002</v>
      </c>
      <c r="G899" s="18">
        <v>657</v>
      </c>
      <c r="H899" s="18">
        <v>209.44</v>
      </c>
      <c r="I899" s="18">
        <v>657</v>
      </c>
      <c r="J899" s="53">
        <v>134.22</v>
      </c>
    </row>
    <row r="900" spans="1:10" ht="17.25" customHeight="1" x14ac:dyDescent="0.25">
      <c r="A900" s="4">
        <v>471</v>
      </c>
      <c r="B900" s="5" t="s">
        <v>380</v>
      </c>
      <c r="C900" s="5" t="s">
        <v>2443</v>
      </c>
      <c r="D900" s="19">
        <v>0.63363999999999998</v>
      </c>
      <c r="E900" s="16">
        <v>0.2742</v>
      </c>
      <c r="F900" s="34">
        <v>0.28570000000000007</v>
      </c>
      <c r="G900" s="18">
        <v>761</v>
      </c>
      <c r="H900" s="18">
        <v>266.25</v>
      </c>
      <c r="I900" s="18">
        <v>761</v>
      </c>
      <c r="J900" s="53">
        <v>235.9</v>
      </c>
    </row>
    <row r="901" spans="1:10" ht="17.25" customHeight="1" x14ac:dyDescent="0.25">
      <c r="A901" s="6">
        <v>475</v>
      </c>
      <c r="B901" s="5" t="s">
        <v>381</v>
      </c>
      <c r="C901" s="5" t="s">
        <v>2444</v>
      </c>
      <c r="D901" s="19">
        <v>0.41881999999999997</v>
      </c>
      <c r="E901" s="16">
        <v>0.26147000000000009</v>
      </c>
      <c r="F901" s="17">
        <v>0.31525999999999987</v>
      </c>
      <c r="G901" s="18">
        <v>683.95</v>
      </c>
      <c r="H901" s="20">
        <v>248.39</v>
      </c>
      <c r="I901" s="20">
        <v>683.95</v>
      </c>
      <c r="J901" s="54">
        <v>147</v>
      </c>
    </row>
    <row r="902" spans="1:10" ht="17.25" customHeight="1" x14ac:dyDescent="0.25">
      <c r="A902" s="4">
        <v>981</v>
      </c>
      <c r="B902" s="5" t="s">
        <v>708</v>
      </c>
      <c r="C902" s="5" t="s">
        <v>2445</v>
      </c>
      <c r="D902" s="16">
        <v>0.27326000000000006</v>
      </c>
      <c r="E902" s="16">
        <v>0.25662000000000007</v>
      </c>
      <c r="F902" s="17">
        <v>0.28570999999999991</v>
      </c>
      <c r="G902" s="18">
        <v>663</v>
      </c>
      <c r="H902" s="18">
        <v>189.26</v>
      </c>
      <c r="I902" s="18">
        <v>663</v>
      </c>
      <c r="J902" s="53">
        <v>134.22</v>
      </c>
    </row>
    <row r="903" spans="1:10" ht="17.25" customHeight="1" x14ac:dyDescent="0.25">
      <c r="A903" s="6">
        <v>478</v>
      </c>
      <c r="B903" s="5" t="s">
        <v>382</v>
      </c>
      <c r="C903" s="5" t="s">
        <v>2446</v>
      </c>
      <c r="D903" s="16">
        <v>0.40070000000000006</v>
      </c>
      <c r="E903" s="16">
        <v>0.26500000000000012</v>
      </c>
      <c r="F903" s="17">
        <v>0.28570999999999991</v>
      </c>
      <c r="G903" s="18">
        <v>552.94000000000005</v>
      </c>
      <c r="H903" s="18">
        <v>249.16</v>
      </c>
      <c r="I903" s="18">
        <v>552.94000000000005</v>
      </c>
      <c r="J903" s="53">
        <v>114.09</v>
      </c>
    </row>
    <row r="904" spans="1:10" ht="17.25" customHeight="1" x14ac:dyDescent="0.25">
      <c r="A904" s="4">
        <v>1148</v>
      </c>
      <c r="B904" s="5" t="s">
        <v>877</v>
      </c>
      <c r="C904" s="5" t="s">
        <v>2447</v>
      </c>
      <c r="D904" s="16">
        <v>0.27045999999999992</v>
      </c>
      <c r="E904" s="16">
        <v>0.23534999999999995</v>
      </c>
      <c r="F904" s="17">
        <v>0.40399999999999991</v>
      </c>
      <c r="G904" s="18">
        <v>684</v>
      </c>
      <c r="H904" s="18">
        <v>210.02</v>
      </c>
      <c r="I904" s="18">
        <v>684</v>
      </c>
      <c r="J904" s="53">
        <v>162.27000000000001</v>
      </c>
    </row>
    <row r="905" spans="1:10" ht="17.25" customHeight="1" x14ac:dyDescent="0.25">
      <c r="A905" s="6">
        <v>481</v>
      </c>
      <c r="B905" s="5" t="s">
        <v>2296</v>
      </c>
      <c r="C905" s="5" t="s">
        <v>2448</v>
      </c>
      <c r="D905" s="16">
        <v>0.3873899999999999</v>
      </c>
      <c r="E905" s="16">
        <v>0.2372399999999999</v>
      </c>
      <c r="F905" s="17">
        <v>0.22716000000000003</v>
      </c>
      <c r="G905" s="18">
        <v>805</v>
      </c>
      <c r="H905" s="18">
        <v>364</v>
      </c>
      <c r="I905" s="18">
        <v>805</v>
      </c>
      <c r="J905" s="53">
        <v>168.11</v>
      </c>
    </row>
    <row r="906" spans="1:10" ht="17.25" customHeight="1" x14ac:dyDescent="0.25">
      <c r="A906" s="6">
        <v>965</v>
      </c>
      <c r="B906" s="5" t="s">
        <v>698</v>
      </c>
      <c r="C906" s="5" t="s">
        <v>2449</v>
      </c>
      <c r="D906" s="16">
        <v>0.29588999999999999</v>
      </c>
      <c r="E906" s="16">
        <v>0.25858999999999988</v>
      </c>
      <c r="F906" s="17">
        <v>0.30295000000000005</v>
      </c>
      <c r="G906" s="18">
        <v>692</v>
      </c>
      <c r="H906" s="18">
        <v>206.25</v>
      </c>
      <c r="I906" s="18">
        <v>692</v>
      </c>
      <c r="J906" s="53">
        <v>130.19</v>
      </c>
    </row>
    <row r="907" spans="1:10" ht="17.25" customHeight="1" x14ac:dyDescent="0.25">
      <c r="A907" s="4">
        <v>537</v>
      </c>
      <c r="B907" s="5" t="s">
        <v>436</v>
      </c>
      <c r="C907" s="5" t="s">
        <v>438</v>
      </c>
      <c r="D907" s="16">
        <v>0.27648000000000006</v>
      </c>
      <c r="E907" s="16">
        <v>0.25438000000000005</v>
      </c>
      <c r="F907" s="17">
        <v>0.28483999999999998</v>
      </c>
      <c r="G907" s="18">
        <v>600</v>
      </c>
      <c r="H907" s="18">
        <v>220.15</v>
      </c>
      <c r="I907" s="18">
        <v>600</v>
      </c>
      <c r="J907" s="53">
        <v>98.14</v>
      </c>
    </row>
    <row r="908" spans="1:10" ht="17.25" customHeight="1" x14ac:dyDescent="0.25">
      <c r="A908" s="4">
        <v>893</v>
      </c>
      <c r="B908" s="5" t="s">
        <v>1795</v>
      </c>
      <c r="C908" s="5" t="s">
        <v>1797</v>
      </c>
      <c r="D908" s="16">
        <v>0.27770000000000006</v>
      </c>
      <c r="E908" s="16">
        <v>0.25909000000000004</v>
      </c>
      <c r="F908" s="17">
        <v>0.27981999999999996</v>
      </c>
      <c r="G908" s="18">
        <v>637.36</v>
      </c>
      <c r="H908" s="18">
        <v>228.46</v>
      </c>
      <c r="I908" s="18">
        <v>637.36</v>
      </c>
      <c r="J908" s="53">
        <v>120.19</v>
      </c>
    </row>
    <row r="909" spans="1:10" ht="17.25" customHeight="1" x14ac:dyDescent="0.25">
      <c r="A909" s="4">
        <v>266</v>
      </c>
      <c r="B909" s="5" t="s">
        <v>145</v>
      </c>
      <c r="C909" s="5" t="s">
        <v>148</v>
      </c>
      <c r="D909" s="16">
        <v>0.27638000000000007</v>
      </c>
      <c r="E909" s="16">
        <v>0.24459999999999993</v>
      </c>
      <c r="F909" s="17">
        <v>0.28570000000000007</v>
      </c>
      <c r="G909" s="18">
        <v>530</v>
      </c>
      <c r="H909" s="18">
        <v>192.15</v>
      </c>
      <c r="I909" s="18">
        <v>530</v>
      </c>
      <c r="J909" s="53">
        <v>70.09</v>
      </c>
    </row>
    <row r="910" spans="1:10" ht="17.25" customHeight="1" x14ac:dyDescent="0.25">
      <c r="A910" s="4">
        <v>271</v>
      </c>
      <c r="B910" s="5" t="s">
        <v>149</v>
      </c>
      <c r="C910" s="5" t="s">
        <v>151</v>
      </c>
      <c r="D910" s="16">
        <v>0.31044000000000005</v>
      </c>
      <c r="E910" s="16">
        <v>0.24380000000000002</v>
      </c>
      <c r="F910" s="17">
        <v>0.28570000000000007</v>
      </c>
      <c r="G910" s="18">
        <v>643</v>
      </c>
      <c r="H910" s="18">
        <v>288.14999999999998</v>
      </c>
      <c r="I910" s="18">
        <v>643</v>
      </c>
      <c r="J910" s="53">
        <v>86.09</v>
      </c>
    </row>
    <row r="911" spans="1:10" ht="17.25" customHeight="1" x14ac:dyDescent="0.25">
      <c r="A911" s="4">
        <v>250</v>
      </c>
      <c r="B911" s="5" t="s">
        <v>131</v>
      </c>
      <c r="C911" s="5" t="s">
        <v>132</v>
      </c>
      <c r="D911" s="16">
        <v>0.2531699999999999</v>
      </c>
      <c r="E911" s="16">
        <v>0.23730000000000007</v>
      </c>
      <c r="F911" s="17">
        <v>0.29631999999999992</v>
      </c>
      <c r="G911" s="18">
        <v>554</v>
      </c>
      <c r="H911" s="18">
        <v>237.35</v>
      </c>
      <c r="I911" s="18">
        <v>554</v>
      </c>
      <c r="J911" s="53">
        <v>67.09</v>
      </c>
    </row>
    <row r="912" spans="1:10" ht="17.25" customHeight="1" x14ac:dyDescent="0.25">
      <c r="A912" s="4">
        <v>38</v>
      </c>
      <c r="B912" s="5" t="s">
        <v>1510</v>
      </c>
      <c r="C912" s="5" t="s">
        <v>1511</v>
      </c>
      <c r="D912" s="16">
        <v>0.15998000000000001</v>
      </c>
      <c r="E912" s="16">
        <v>0.28810000000000002</v>
      </c>
      <c r="F912" s="17">
        <v>0.27700000000000014</v>
      </c>
      <c r="G912" s="18">
        <v>190.58</v>
      </c>
      <c r="H912" s="18">
        <v>90.67</v>
      </c>
      <c r="I912" s="18">
        <v>190.58</v>
      </c>
      <c r="J912" s="53">
        <v>16.04</v>
      </c>
    </row>
    <row r="913" spans="1:10" ht="17.25" customHeight="1" x14ac:dyDescent="0.25">
      <c r="A913" s="4">
        <v>40</v>
      </c>
      <c r="B913" s="5" t="s">
        <v>1514</v>
      </c>
      <c r="C913" s="5" t="s">
        <v>1515</v>
      </c>
      <c r="D913" s="16">
        <v>0.27197000000000005</v>
      </c>
      <c r="E913" s="16">
        <v>0.27191999999999994</v>
      </c>
      <c r="F913" s="17">
        <v>0.23310000000000008</v>
      </c>
      <c r="G913" s="18">
        <v>512.58000000000004</v>
      </c>
      <c r="H913" s="18">
        <v>175.47</v>
      </c>
      <c r="I913" s="18">
        <v>512.58000000000004</v>
      </c>
      <c r="J913" s="53">
        <v>32.04</v>
      </c>
    </row>
    <row r="914" spans="1:10" ht="17.25" customHeight="1" x14ac:dyDescent="0.25">
      <c r="A914" s="4">
        <v>192</v>
      </c>
      <c r="B914" s="5" t="s">
        <v>55</v>
      </c>
      <c r="C914" s="5" t="s">
        <v>57</v>
      </c>
      <c r="D914" s="16">
        <v>0.35888000000000009</v>
      </c>
      <c r="E914" s="16">
        <v>0.25150000000000006</v>
      </c>
      <c r="F914" s="17">
        <v>0.27446999999999999</v>
      </c>
      <c r="G914" s="18">
        <v>691</v>
      </c>
      <c r="H914" s="18">
        <v>281</v>
      </c>
      <c r="I914" s="18">
        <v>691</v>
      </c>
      <c r="J914" s="53">
        <v>90.08</v>
      </c>
    </row>
    <row r="915" spans="1:10" ht="17.25" customHeight="1" x14ac:dyDescent="0.25">
      <c r="A915" s="4">
        <v>188</v>
      </c>
      <c r="B915" s="5" t="s">
        <v>49</v>
      </c>
      <c r="C915" s="5" t="s">
        <v>51</v>
      </c>
      <c r="D915" s="16">
        <v>0.32119000000000009</v>
      </c>
      <c r="E915" s="16">
        <v>0.25855000000000006</v>
      </c>
      <c r="F915" s="17">
        <v>0.27449999999999997</v>
      </c>
      <c r="G915" s="18">
        <v>506.8</v>
      </c>
      <c r="H915" s="18">
        <v>175.15</v>
      </c>
      <c r="I915" s="18">
        <v>506.8</v>
      </c>
      <c r="J915" s="53">
        <v>74.08</v>
      </c>
    </row>
    <row r="916" spans="1:10" ht="17.25" customHeight="1" x14ac:dyDescent="0.25">
      <c r="A916" s="4">
        <v>272</v>
      </c>
      <c r="B916" s="5" t="s">
        <v>149</v>
      </c>
      <c r="C916" s="5" t="s">
        <v>152</v>
      </c>
      <c r="D916" s="16">
        <v>0.32153000000000009</v>
      </c>
      <c r="E916" s="16">
        <v>0.2553399999999999</v>
      </c>
      <c r="F916" s="17">
        <v>0.28570999999999991</v>
      </c>
      <c r="G916" s="18">
        <v>536</v>
      </c>
      <c r="H916" s="18">
        <v>196.32</v>
      </c>
      <c r="I916" s="18">
        <v>536</v>
      </c>
      <c r="J916" s="53">
        <v>86.09</v>
      </c>
    </row>
    <row r="917" spans="1:10" ht="17.25" customHeight="1" x14ac:dyDescent="0.25">
      <c r="A917" s="4">
        <v>772</v>
      </c>
      <c r="B917" s="5" t="s">
        <v>1756</v>
      </c>
      <c r="C917" s="5" t="s">
        <v>1757</v>
      </c>
      <c r="D917" s="16">
        <v>0.31227999999999989</v>
      </c>
      <c r="E917" s="16">
        <v>0.23519000000000001</v>
      </c>
      <c r="F917" s="17">
        <v>0.26760000000000006</v>
      </c>
      <c r="G917" s="18">
        <v>693</v>
      </c>
      <c r="H917" s="18">
        <v>260.75</v>
      </c>
      <c r="I917" s="18">
        <v>693</v>
      </c>
      <c r="J917" s="53">
        <v>136.15</v>
      </c>
    </row>
    <row r="918" spans="1:10" ht="17.25" customHeight="1" x14ac:dyDescent="0.25">
      <c r="A918" s="4">
        <v>29</v>
      </c>
      <c r="B918" s="5" t="s">
        <v>1498</v>
      </c>
      <c r="C918" s="5" t="s">
        <v>1499</v>
      </c>
      <c r="D918" s="16">
        <v>0.60858999999999996</v>
      </c>
      <c r="E918" s="16">
        <v>0.26292000000000004</v>
      </c>
      <c r="F918" s="17">
        <v>0.28029999999999999</v>
      </c>
      <c r="G918" s="18">
        <v>467</v>
      </c>
      <c r="H918" s="18">
        <v>179.55</v>
      </c>
      <c r="I918" s="18">
        <v>467</v>
      </c>
      <c r="J918" s="53">
        <v>94.94</v>
      </c>
    </row>
    <row r="919" spans="1:10" ht="17.25" customHeight="1" x14ac:dyDescent="0.25">
      <c r="A919" s="4">
        <v>30</v>
      </c>
      <c r="B919" s="5" t="s">
        <v>2297</v>
      </c>
      <c r="C919" s="5" t="s">
        <v>1500</v>
      </c>
      <c r="D919" s="16">
        <v>0.35820999999999992</v>
      </c>
      <c r="E919" s="16">
        <v>0.26109000000000004</v>
      </c>
      <c r="F919" s="17">
        <v>0.28689999999999993</v>
      </c>
      <c r="G919" s="18">
        <v>416.25</v>
      </c>
      <c r="H919" s="18">
        <v>175.45</v>
      </c>
      <c r="I919" s="18">
        <v>416.25</v>
      </c>
      <c r="J919" s="53">
        <v>50.49</v>
      </c>
    </row>
    <row r="920" spans="1:10" ht="17.25" customHeight="1" x14ac:dyDescent="0.25">
      <c r="A920" s="4">
        <v>43</v>
      </c>
      <c r="B920" s="5" t="s">
        <v>2298</v>
      </c>
      <c r="C920" s="5" t="s">
        <v>1518</v>
      </c>
      <c r="D920" s="16">
        <v>0.32760999999999996</v>
      </c>
      <c r="E920" s="16">
        <v>0.26256999999999997</v>
      </c>
      <c r="F920" s="17">
        <v>0.26568999999999998</v>
      </c>
      <c r="G920" s="18">
        <v>442</v>
      </c>
      <c r="H920" s="18">
        <v>139.05000000000001</v>
      </c>
      <c r="I920" s="18">
        <v>442</v>
      </c>
      <c r="J920" s="53">
        <v>80.59</v>
      </c>
    </row>
    <row r="921" spans="1:10" ht="17.25" customHeight="1" x14ac:dyDescent="0.25">
      <c r="A921" s="4">
        <v>39</v>
      </c>
      <c r="B921" s="5" t="s">
        <v>1512</v>
      </c>
      <c r="C921" s="5" t="s">
        <v>1513</v>
      </c>
      <c r="D921" s="16">
        <v>0.39803999999999995</v>
      </c>
      <c r="E921" s="16">
        <v>0.28208999999999995</v>
      </c>
      <c r="F921" s="17">
        <v>0.22528999999999999</v>
      </c>
      <c r="G921" s="18">
        <v>483</v>
      </c>
      <c r="H921" s="18">
        <v>182.55</v>
      </c>
      <c r="I921" s="18">
        <v>483</v>
      </c>
      <c r="J921" s="53">
        <v>115.03</v>
      </c>
    </row>
    <row r="922" spans="1:10" ht="17.25" customHeight="1" x14ac:dyDescent="0.25">
      <c r="A922" s="4">
        <v>213</v>
      </c>
      <c r="B922" s="5" t="s">
        <v>80</v>
      </c>
      <c r="C922" s="5" t="s">
        <v>82</v>
      </c>
      <c r="D922" s="16">
        <v>0.28400000000000003</v>
      </c>
      <c r="E922" s="16">
        <v>0.28920000000000012</v>
      </c>
      <c r="F922" s="17">
        <v>0.28949999999999987</v>
      </c>
      <c r="G922" s="18">
        <v>437.8</v>
      </c>
      <c r="H922" s="18">
        <v>160</v>
      </c>
      <c r="I922" s="18">
        <v>437.8</v>
      </c>
      <c r="J922" s="53">
        <v>60.09</v>
      </c>
    </row>
    <row r="923" spans="1:10" ht="17.25" customHeight="1" x14ac:dyDescent="0.25">
      <c r="A923" s="4">
        <v>297</v>
      </c>
      <c r="B923" s="5" t="s">
        <v>179</v>
      </c>
      <c r="C923" s="5" t="s">
        <v>182</v>
      </c>
      <c r="D923" s="16">
        <v>0.26760000000000006</v>
      </c>
      <c r="E923" s="16">
        <v>0.25140000000000007</v>
      </c>
      <c r="F923" s="17">
        <v>0.28570000000000007</v>
      </c>
      <c r="G923" s="18">
        <v>535.5</v>
      </c>
      <c r="H923" s="18">
        <v>186.48</v>
      </c>
      <c r="I923" s="18">
        <v>535.5</v>
      </c>
      <c r="J923" s="53">
        <v>72.11</v>
      </c>
    </row>
    <row r="924" spans="1:10" ht="17.25" customHeight="1" x14ac:dyDescent="0.25">
      <c r="A924" s="4">
        <v>32</v>
      </c>
      <c r="B924" s="5" t="s">
        <v>1503</v>
      </c>
      <c r="C924" s="5" t="s">
        <v>1504</v>
      </c>
      <c r="D924" s="16">
        <v>0.29787999999999992</v>
      </c>
      <c r="E924" s="16">
        <v>0.24153000000000002</v>
      </c>
      <c r="F924" s="17">
        <v>0.2854000000000001</v>
      </c>
      <c r="G924" s="18">
        <v>317.7</v>
      </c>
      <c r="H924" s="18">
        <v>131.35</v>
      </c>
      <c r="I924" s="18">
        <v>317.7</v>
      </c>
      <c r="J924" s="53">
        <v>34.03</v>
      </c>
    </row>
    <row r="925" spans="1:10" ht="17.25" customHeight="1" x14ac:dyDescent="0.25">
      <c r="A925" s="4">
        <v>115</v>
      </c>
      <c r="B925" s="5" t="s">
        <v>1630</v>
      </c>
      <c r="C925" s="5" t="s">
        <v>1632</v>
      </c>
      <c r="D925" s="16">
        <v>0.3414299999999999</v>
      </c>
      <c r="E925" s="16">
        <v>0.25838000000000005</v>
      </c>
      <c r="F925" s="17">
        <v>0.27679999999999993</v>
      </c>
      <c r="G925" s="18">
        <v>487.2</v>
      </c>
      <c r="H925" s="18">
        <v>174.15</v>
      </c>
      <c r="I925" s="18">
        <v>487.2</v>
      </c>
      <c r="J925" s="53">
        <v>60.05</v>
      </c>
    </row>
    <row r="926" spans="1:10" ht="17.25" customHeight="1" x14ac:dyDescent="0.25">
      <c r="A926" s="4">
        <v>33</v>
      </c>
      <c r="B926" s="5" t="s">
        <v>2299</v>
      </c>
      <c r="C926" s="5" t="s">
        <v>1505</v>
      </c>
      <c r="D926" s="16">
        <v>0.76723000000000008</v>
      </c>
      <c r="E926" s="16">
        <v>0.25853999999999999</v>
      </c>
      <c r="F926" s="17">
        <v>0.26790000000000003</v>
      </c>
      <c r="G926" s="18">
        <v>528</v>
      </c>
      <c r="H926" s="18">
        <v>206.7</v>
      </c>
      <c r="I926" s="18">
        <v>528</v>
      </c>
      <c r="J926" s="53">
        <v>141.94</v>
      </c>
    </row>
    <row r="927" spans="1:10" ht="17.25" customHeight="1" x14ac:dyDescent="0.25">
      <c r="A927" s="4">
        <v>452</v>
      </c>
      <c r="B927" s="5" t="s">
        <v>348</v>
      </c>
      <c r="C927" s="5" t="s">
        <v>357</v>
      </c>
      <c r="D927" s="16">
        <v>0.26662999999999992</v>
      </c>
      <c r="E927" s="16">
        <v>0.27282000000000006</v>
      </c>
      <c r="F927" s="17">
        <v>0.28570000000000007</v>
      </c>
      <c r="G927" s="18">
        <v>497</v>
      </c>
      <c r="H927" s="18">
        <v>150</v>
      </c>
      <c r="I927" s="18">
        <v>497</v>
      </c>
      <c r="J927" s="53">
        <v>88.15</v>
      </c>
    </row>
    <row r="928" spans="1:10" ht="17.25" customHeight="1" x14ac:dyDescent="0.25">
      <c r="A928" s="4">
        <v>576</v>
      </c>
      <c r="B928" s="5" t="s">
        <v>466</v>
      </c>
      <c r="C928" s="5" t="s">
        <v>473</v>
      </c>
      <c r="D928" s="16">
        <v>0.26654</v>
      </c>
      <c r="E928" s="16">
        <v>0.25886999999999993</v>
      </c>
      <c r="F928" s="17">
        <v>0.28570999999999991</v>
      </c>
      <c r="G928" s="18">
        <v>571.4</v>
      </c>
      <c r="H928" s="18">
        <v>189.15</v>
      </c>
      <c r="I928" s="18">
        <v>571.4</v>
      </c>
      <c r="J928" s="53">
        <v>100.16</v>
      </c>
    </row>
    <row r="929" spans="1:10" ht="17.25" customHeight="1" x14ac:dyDescent="0.25">
      <c r="A929" s="4">
        <v>101</v>
      </c>
      <c r="B929" s="5" t="s">
        <v>1609</v>
      </c>
      <c r="C929" s="5" t="s">
        <v>1610</v>
      </c>
      <c r="D929" s="16">
        <v>0.30084</v>
      </c>
      <c r="E929" s="16">
        <v>0.23442000000000007</v>
      </c>
      <c r="F929" s="17">
        <v>0.28570999999999991</v>
      </c>
      <c r="G929" s="18">
        <v>505</v>
      </c>
      <c r="H929" s="18">
        <v>256.14999999999998</v>
      </c>
      <c r="I929" s="18">
        <v>505</v>
      </c>
      <c r="J929" s="53">
        <v>57.05</v>
      </c>
    </row>
    <row r="930" spans="1:10" ht="17.25" customHeight="1" x14ac:dyDescent="0.25">
      <c r="A930" s="4">
        <v>389</v>
      </c>
      <c r="B930" s="5" t="s">
        <v>286</v>
      </c>
      <c r="C930" s="5" t="s">
        <v>288</v>
      </c>
      <c r="D930" s="16">
        <v>0.27709000000000006</v>
      </c>
      <c r="E930" s="16">
        <v>0.25093999999999994</v>
      </c>
      <c r="F930" s="17">
        <v>0.28570000000000007</v>
      </c>
      <c r="G930" s="18">
        <v>566</v>
      </c>
      <c r="H930" s="18">
        <v>219.55</v>
      </c>
      <c r="I930" s="18">
        <v>566</v>
      </c>
      <c r="J930" s="53">
        <v>84.12</v>
      </c>
    </row>
    <row r="931" spans="1:10" ht="17.25" customHeight="1" x14ac:dyDescent="0.25">
      <c r="A931" s="4">
        <v>329</v>
      </c>
      <c r="B931" s="5" t="s">
        <v>211</v>
      </c>
      <c r="C931" s="5" t="s">
        <v>214</v>
      </c>
      <c r="D931" s="16">
        <v>0.26855999999999991</v>
      </c>
      <c r="E931" s="16">
        <v>0.28478000000000003</v>
      </c>
      <c r="F931" s="17">
        <v>0.24439999999999995</v>
      </c>
      <c r="G931" s="18">
        <v>464.5</v>
      </c>
      <c r="H931" s="18">
        <v>127.93</v>
      </c>
      <c r="I931" s="18">
        <v>464.5</v>
      </c>
      <c r="J931" s="53">
        <v>74.12</v>
      </c>
    </row>
    <row r="932" spans="1:10" ht="17.25" customHeight="1" x14ac:dyDescent="0.25">
      <c r="A932" s="4">
        <v>412</v>
      </c>
      <c r="B932" s="5" t="s">
        <v>315</v>
      </c>
      <c r="C932" s="5" t="s">
        <v>316</v>
      </c>
      <c r="D932" s="16">
        <v>0.27526000000000006</v>
      </c>
      <c r="E932" s="16">
        <v>0.26204000000000005</v>
      </c>
      <c r="F932" s="17">
        <v>0.28570000000000007</v>
      </c>
      <c r="G932" s="18">
        <v>553</v>
      </c>
      <c r="H932" s="18">
        <v>181.15</v>
      </c>
      <c r="I932" s="18">
        <v>553</v>
      </c>
      <c r="J932" s="53">
        <v>86.13</v>
      </c>
    </row>
    <row r="933" spans="1:10" ht="17.25" customHeight="1" x14ac:dyDescent="0.25">
      <c r="A933" s="4">
        <v>42</v>
      </c>
      <c r="B933" s="5" t="s">
        <v>1516</v>
      </c>
      <c r="C933" s="5" t="s">
        <v>1517</v>
      </c>
      <c r="D933" s="16">
        <v>0.33179000000000003</v>
      </c>
      <c r="E933" s="16">
        <v>0.2801800000000001</v>
      </c>
      <c r="F933" s="17">
        <v>0.28522999999999987</v>
      </c>
      <c r="G933" s="18">
        <v>469.95</v>
      </c>
      <c r="H933" s="18">
        <v>150.18</v>
      </c>
      <c r="I933" s="18">
        <v>469.95</v>
      </c>
      <c r="J933" s="53">
        <v>48.11</v>
      </c>
    </row>
    <row r="934" spans="1:10" ht="17.25" customHeight="1" x14ac:dyDescent="0.25">
      <c r="A934" s="4">
        <v>393</v>
      </c>
      <c r="B934" s="5" t="s">
        <v>289</v>
      </c>
      <c r="C934" s="5" t="s">
        <v>293</v>
      </c>
      <c r="D934" s="16">
        <v>0.30984999999999996</v>
      </c>
      <c r="E934" s="16">
        <v>0.25357000000000007</v>
      </c>
      <c r="F934" s="17">
        <v>0.28570999999999991</v>
      </c>
      <c r="G934" s="18">
        <v>564</v>
      </c>
      <c r="H934" s="18">
        <v>224.95</v>
      </c>
      <c r="I934" s="18">
        <v>564</v>
      </c>
      <c r="J934" s="53">
        <v>100.12</v>
      </c>
    </row>
    <row r="935" spans="1:10" ht="17.25" customHeight="1" x14ac:dyDescent="0.25">
      <c r="A935" s="4">
        <v>421</v>
      </c>
      <c r="B935" s="5" t="s">
        <v>320</v>
      </c>
      <c r="C935" s="5" t="s">
        <v>2450</v>
      </c>
      <c r="D935" s="16">
        <v>0.29808999999999997</v>
      </c>
      <c r="E935" s="16">
        <v>0.25700000000000012</v>
      </c>
      <c r="F935" s="17">
        <v>0.27720000000000011</v>
      </c>
      <c r="G935" s="18">
        <v>554.5</v>
      </c>
      <c r="H935" s="18">
        <v>187.35</v>
      </c>
      <c r="I935" s="18">
        <v>554.5</v>
      </c>
      <c r="J935" s="53">
        <v>102.13</v>
      </c>
    </row>
    <row r="936" spans="1:10" ht="17.25" customHeight="1" x14ac:dyDescent="0.25">
      <c r="A936" s="4">
        <v>1319</v>
      </c>
      <c r="B936" s="5" t="s">
        <v>1081</v>
      </c>
      <c r="C936" s="5" t="s">
        <v>1082</v>
      </c>
      <c r="D936" s="16">
        <v>0.27971000000000013</v>
      </c>
      <c r="E936" s="16">
        <v>0.26239999999999997</v>
      </c>
      <c r="F936" s="17">
        <v>0.33247000000000004</v>
      </c>
      <c r="G936" s="18">
        <v>764</v>
      </c>
      <c r="H936" s="18">
        <v>293.05</v>
      </c>
      <c r="I936" s="18">
        <v>764</v>
      </c>
      <c r="J936" s="53">
        <v>296.49</v>
      </c>
    </row>
    <row r="937" spans="1:10" ht="17.25" customHeight="1" x14ac:dyDescent="0.25">
      <c r="A937" s="4">
        <v>306</v>
      </c>
      <c r="B937" s="5" t="s">
        <v>185</v>
      </c>
      <c r="C937" s="5" t="s">
        <v>189</v>
      </c>
      <c r="D937" s="16">
        <v>0.30990999999999991</v>
      </c>
      <c r="E937" s="16">
        <v>0.25865000000000005</v>
      </c>
      <c r="F937" s="17">
        <v>0.27700000000000014</v>
      </c>
      <c r="G937" s="18">
        <v>530.6</v>
      </c>
      <c r="H937" s="18">
        <v>185.65</v>
      </c>
      <c r="I937" s="18">
        <v>530.6</v>
      </c>
      <c r="J937" s="53">
        <v>88.1</v>
      </c>
    </row>
    <row r="938" spans="1:10" ht="17.25" customHeight="1" x14ac:dyDescent="0.25">
      <c r="A938" s="4">
        <v>775</v>
      </c>
      <c r="B938" s="5" t="s">
        <v>1758</v>
      </c>
      <c r="C938" s="5" t="s">
        <v>1759</v>
      </c>
      <c r="D938" s="16">
        <v>0.37125000000000008</v>
      </c>
      <c r="E938" s="16">
        <v>0.26414000000000004</v>
      </c>
      <c r="F938" s="17">
        <v>0.2612000000000001</v>
      </c>
      <c r="G938" s="18">
        <v>701</v>
      </c>
      <c r="H938" s="18">
        <v>265.14999999999998</v>
      </c>
      <c r="I938" s="18">
        <v>701</v>
      </c>
      <c r="J938" s="53">
        <v>152.15</v>
      </c>
    </row>
    <row r="939" spans="1:10" ht="17.25" customHeight="1" x14ac:dyDescent="0.25">
      <c r="A939" s="4">
        <v>450</v>
      </c>
      <c r="B939" s="5" t="s">
        <v>348</v>
      </c>
      <c r="C939" s="5" t="s">
        <v>2451</v>
      </c>
      <c r="D939" s="16">
        <v>0.26892000000000005</v>
      </c>
      <c r="E939" s="16">
        <v>0.26995999999999998</v>
      </c>
      <c r="F939" s="17">
        <v>0.28570000000000007</v>
      </c>
      <c r="G939" s="18">
        <v>498</v>
      </c>
      <c r="H939" s="18">
        <v>150</v>
      </c>
      <c r="I939" s="18">
        <v>498</v>
      </c>
      <c r="J939" s="53">
        <v>88.15</v>
      </c>
    </row>
    <row r="940" spans="1:10" ht="17.25" customHeight="1" x14ac:dyDescent="0.25">
      <c r="A940" s="4">
        <v>45</v>
      </c>
      <c r="B940" s="5" t="s">
        <v>1521</v>
      </c>
      <c r="C940" s="5" t="s">
        <v>1522</v>
      </c>
      <c r="D940" s="16">
        <v>0.22509000000000001</v>
      </c>
      <c r="E940" s="16">
        <v>0.26757000000000009</v>
      </c>
      <c r="F940" s="17">
        <v>0.28798999999999997</v>
      </c>
      <c r="G940" s="18">
        <v>352.5</v>
      </c>
      <c r="H940" s="18">
        <v>116.34</v>
      </c>
      <c r="I940" s="18">
        <v>352.5</v>
      </c>
      <c r="J940" s="53">
        <v>46.14</v>
      </c>
    </row>
    <row r="941" spans="1:10" ht="17.25" customHeight="1" x14ac:dyDescent="0.25">
      <c r="A941" s="4">
        <v>451</v>
      </c>
      <c r="B941" s="5" t="s">
        <v>348</v>
      </c>
      <c r="C941" s="5" t="s">
        <v>2452</v>
      </c>
      <c r="D941" s="16">
        <v>0.26791000000000009</v>
      </c>
      <c r="E941" s="16">
        <v>0.27031999999999989</v>
      </c>
      <c r="F941" s="17">
        <v>0.28289999999999993</v>
      </c>
      <c r="G941" s="18">
        <v>497.1</v>
      </c>
      <c r="H941" s="18">
        <v>164.55</v>
      </c>
      <c r="I941" s="18">
        <v>497.1</v>
      </c>
      <c r="J941" s="53">
        <v>88.15</v>
      </c>
    </row>
    <row r="942" spans="1:10" ht="17.25" customHeight="1" x14ac:dyDescent="0.25">
      <c r="A942" s="4">
        <v>610</v>
      </c>
      <c r="B942" s="5" t="s">
        <v>495</v>
      </c>
      <c r="C942" s="5" t="s">
        <v>2453</v>
      </c>
      <c r="D942" s="16">
        <v>0.26600000000000001</v>
      </c>
      <c r="E942" s="16">
        <v>0.26300999999999997</v>
      </c>
      <c r="F942" s="17">
        <v>0.28570999999999991</v>
      </c>
      <c r="G942" s="18">
        <v>534</v>
      </c>
      <c r="H942" s="18">
        <v>160</v>
      </c>
      <c r="I942" s="18">
        <v>534</v>
      </c>
      <c r="J942" s="53">
        <v>102.17</v>
      </c>
    </row>
    <row r="943" spans="1:10" ht="17.25" customHeight="1" x14ac:dyDescent="0.25">
      <c r="A943" s="4">
        <v>31</v>
      </c>
      <c r="B943" s="5" t="s">
        <v>1501</v>
      </c>
      <c r="C943" s="5" t="s">
        <v>1502</v>
      </c>
      <c r="D943" s="16">
        <v>0.4398200000000001</v>
      </c>
      <c r="E943" s="16">
        <v>0.26110999999999995</v>
      </c>
      <c r="F943" s="17">
        <v>0.27788000000000013</v>
      </c>
      <c r="G943" s="18">
        <v>517</v>
      </c>
      <c r="H943" s="18">
        <v>195.35</v>
      </c>
      <c r="I943" s="18">
        <v>517</v>
      </c>
      <c r="J943" s="53">
        <v>149.47999999999999</v>
      </c>
    </row>
    <row r="944" spans="1:10" ht="17.25" customHeight="1" x14ac:dyDescent="0.25">
      <c r="A944" s="4">
        <v>183</v>
      </c>
      <c r="B944" s="5" t="s">
        <v>43</v>
      </c>
      <c r="C944" s="5" t="s">
        <v>46</v>
      </c>
      <c r="D944" s="16">
        <v>0.27658000000000005</v>
      </c>
      <c r="E944" s="16">
        <v>0.26435999999999993</v>
      </c>
      <c r="F944" s="17">
        <v>0.25804999999999989</v>
      </c>
      <c r="G944" s="18">
        <v>437</v>
      </c>
      <c r="H944" s="18">
        <v>151.15</v>
      </c>
      <c r="I944" s="18">
        <v>437</v>
      </c>
      <c r="J944" s="53">
        <v>58.08</v>
      </c>
    </row>
    <row r="945" spans="1:10" ht="17.25" customHeight="1" x14ac:dyDescent="0.25">
      <c r="A945" s="4">
        <v>397</v>
      </c>
      <c r="B945" s="5" t="s">
        <v>295</v>
      </c>
      <c r="C945" s="5" t="s">
        <v>298</v>
      </c>
      <c r="D945" s="16">
        <v>0.33853</v>
      </c>
      <c r="E945" s="16">
        <v>0.26807000000000003</v>
      </c>
      <c r="F945" s="17">
        <v>0.21300000000000008</v>
      </c>
      <c r="G945" s="18">
        <v>642</v>
      </c>
      <c r="H945" s="18">
        <v>193.15</v>
      </c>
      <c r="I945" s="18">
        <v>642</v>
      </c>
      <c r="J945" s="53">
        <v>116.11</v>
      </c>
    </row>
    <row r="946" spans="1:10" ht="17.25" customHeight="1" x14ac:dyDescent="0.25">
      <c r="A946" s="4">
        <v>150</v>
      </c>
      <c r="B946" s="5" t="s">
        <v>1689</v>
      </c>
      <c r="C946" s="5" t="s">
        <v>1690</v>
      </c>
      <c r="D946" s="16">
        <v>0.2436799999999999</v>
      </c>
      <c r="E946" s="16">
        <v>0.26448000000000005</v>
      </c>
      <c r="F946" s="17">
        <v>0.27899999999999991</v>
      </c>
      <c r="G946" s="18">
        <v>402.39</v>
      </c>
      <c r="H946" s="18">
        <v>170.45</v>
      </c>
      <c r="I946" s="18">
        <v>402.39</v>
      </c>
      <c r="J946" s="53">
        <v>40.06</v>
      </c>
    </row>
    <row r="947" spans="1:10" ht="17.25" customHeight="1" x14ac:dyDescent="0.25">
      <c r="A947" s="4">
        <v>216</v>
      </c>
      <c r="B947" s="5" t="s">
        <v>83</v>
      </c>
      <c r="C947" s="5" t="s">
        <v>85</v>
      </c>
      <c r="D947" s="16">
        <v>0.35726000000000013</v>
      </c>
      <c r="E947" s="16">
        <v>0.30576000000000003</v>
      </c>
      <c r="F947" s="17">
        <v>0.31755</v>
      </c>
      <c r="G947" s="18">
        <v>480.6</v>
      </c>
      <c r="H947" s="18">
        <v>168.35</v>
      </c>
      <c r="I947" s="18">
        <v>480.6</v>
      </c>
      <c r="J947" s="53">
        <v>76.09</v>
      </c>
    </row>
    <row r="948" spans="1:10" ht="17.25" customHeight="1" x14ac:dyDescent="0.25">
      <c r="A948" s="4">
        <v>44</v>
      </c>
      <c r="B948" s="5" t="s">
        <v>1519</v>
      </c>
      <c r="C948" s="5" t="s">
        <v>1520</v>
      </c>
      <c r="D948" s="16">
        <v>0.20168000000000008</v>
      </c>
      <c r="E948" s="16">
        <v>0.21405000000000007</v>
      </c>
      <c r="F948" s="17">
        <v>0.22750000000000004</v>
      </c>
      <c r="G948" s="18">
        <v>430.05</v>
      </c>
      <c r="H948" s="18">
        <v>179.69</v>
      </c>
      <c r="I948" s="18">
        <v>430.05</v>
      </c>
      <c r="J948" s="53">
        <v>31.06</v>
      </c>
    </row>
    <row r="949" spans="1:10" ht="17.25" customHeight="1" x14ac:dyDescent="0.25">
      <c r="A949" s="4">
        <v>164</v>
      </c>
      <c r="B949" s="5" t="s">
        <v>19</v>
      </c>
      <c r="C949" s="5" t="s">
        <v>18</v>
      </c>
      <c r="D949" s="16">
        <v>0.40193000000000012</v>
      </c>
      <c r="E949" s="16">
        <v>0.25107999999999997</v>
      </c>
      <c r="F949" s="17">
        <v>0.30949999999999989</v>
      </c>
      <c r="G949" s="18">
        <v>600</v>
      </c>
      <c r="H949" s="18">
        <v>241.03</v>
      </c>
      <c r="I949" s="18">
        <v>600</v>
      </c>
      <c r="J949" s="53">
        <v>108.52</v>
      </c>
    </row>
    <row r="950" spans="1:10" ht="17.25" customHeight="1" x14ac:dyDescent="0.25">
      <c r="A950" s="4">
        <v>95</v>
      </c>
      <c r="B950" s="5" t="s">
        <v>2263</v>
      </c>
      <c r="C950" s="5" t="s">
        <v>1600</v>
      </c>
      <c r="D950" s="16">
        <v>0.42759999999999998</v>
      </c>
      <c r="E950" s="16">
        <v>0.26788999999999996</v>
      </c>
      <c r="F950" s="17">
        <v>0.27814000000000005</v>
      </c>
      <c r="G950" s="18">
        <v>525</v>
      </c>
      <c r="H950" s="18">
        <v>192</v>
      </c>
      <c r="I950" s="18">
        <v>525</v>
      </c>
      <c r="J950" s="53">
        <v>94.5</v>
      </c>
    </row>
    <row r="951" spans="1:10" ht="17.25" customHeight="1" x14ac:dyDescent="0.25">
      <c r="A951" s="4">
        <v>253</v>
      </c>
      <c r="B951" s="5" t="s">
        <v>135</v>
      </c>
      <c r="C951" s="5" t="s">
        <v>136</v>
      </c>
      <c r="D951" s="16">
        <v>0.32489999999999997</v>
      </c>
      <c r="E951" s="16">
        <v>0.22700000000000009</v>
      </c>
      <c r="F951" s="17">
        <v>0.31950000000000012</v>
      </c>
      <c r="G951" s="18">
        <v>687</v>
      </c>
      <c r="H951" s="18">
        <v>260.08</v>
      </c>
      <c r="I951" s="18">
        <v>687</v>
      </c>
      <c r="J951" s="53">
        <v>99.09</v>
      </c>
    </row>
    <row r="952" spans="1:10" ht="17.25" customHeight="1" x14ac:dyDescent="0.25">
      <c r="A952" s="4">
        <v>717</v>
      </c>
      <c r="B952" s="5" t="s">
        <v>1698</v>
      </c>
      <c r="C952" s="5" t="s">
        <v>1705</v>
      </c>
      <c r="D952" s="16">
        <v>0.26688000000000001</v>
      </c>
      <c r="E952" s="16">
        <v>0.27041000000000004</v>
      </c>
      <c r="F952" s="17">
        <v>0.29269999999999996</v>
      </c>
      <c r="G952" s="18">
        <v>572.19000000000005</v>
      </c>
      <c r="H952" s="18">
        <v>146.58000000000001</v>
      </c>
      <c r="I952" s="18">
        <v>572.19000000000005</v>
      </c>
      <c r="J952" s="53">
        <v>98.19</v>
      </c>
    </row>
    <row r="953" spans="1:10" ht="17.25" customHeight="1" x14ac:dyDescent="0.25">
      <c r="A953" s="4">
        <v>514</v>
      </c>
      <c r="B953" s="5" t="s">
        <v>413</v>
      </c>
      <c r="C953" s="5" t="s">
        <v>415</v>
      </c>
      <c r="D953" s="16">
        <v>0.28769</v>
      </c>
      <c r="E953" s="16">
        <v>0.27431000000000005</v>
      </c>
      <c r="F953" s="17">
        <v>0.28570999999999991</v>
      </c>
      <c r="G953" s="18">
        <v>541</v>
      </c>
      <c r="H953" s="18">
        <v>150</v>
      </c>
      <c r="I953" s="18">
        <v>541</v>
      </c>
      <c r="J953" s="53">
        <v>80.13</v>
      </c>
    </row>
    <row r="954" spans="1:10" ht="17.25" customHeight="1" x14ac:dyDescent="0.25">
      <c r="A954" s="4">
        <v>561</v>
      </c>
      <c r="B954" s="5" t="s">
        <v>452</v>
      </c>
      <c r="C954" s="5" t="s">
        <v>459</v>
      </c>
      <c r="D954" s="16">
        <v>0.26391000000000009</v>
      </c>
      <c r="E954" s="16">
        <v>0.2704200000000001</v>
      </c>
      <c r="F954" s="17">
        <v>0.28276000000000012</v>
      </c>
      <c r="G954" s="18">
        <v>532.79</v>
      </c>
      <c r="H954" s="18">
        <v>130.72999999999999</v>
      </c>
      <c r="I954" s="18">
        <v>532.79</v>
      </c>
      <c r="J954" s="53">
        <v>84.16</v>
      </c>
    </row>
    <row r="955" spans="1:10" ht="17.25" customHeight="1" x14ac:dyDescent="0.25">
      <c r="A955" s="4">
        <v>1193</v>
      </c>
      <c r="B955" s="5" t="s">
        <v>928</v>
      </c>
      <c r="C955" s="5" t="s">
        <v>929</v>
      </c>
      <c r="D955" s="16">
        <v>0.28508</v>
      </c>
      <c r="E955" s="16">
        <v>0.22100000000000009</v>
      </c>
      <c r="F955" s="17">
        <v>0.28570999999999991</v>
      </c>
      <c r="G955" s="18">
        <v>712</v>
      </c>
      <c r="H955" s="18">
        <v>278.14999999999998</v>
      </c>
      <c r="I955" s="18">
        <v>712</v>
      </c>
      <c r="J955" s="53">
        <v>214.34</v>
      </c>
    </row>
    <row r="956" spans="1:10" ht="17.25" customHeight="1" x14ac:dyDescent="0.25">
      <c r="A956" s="4">
        <v>228</v>
      </c>
      <c r="B956" s="5" t="s">
        <v>96</v>
      </c>
      <c r="C956" s="5" t="s">
        <v>98</v>
      </c>
      <c r="D956" s="16">
        <v>0.29664000000000001</v>
      </c>
      <c r="E956" s="16">
        <v>0.2523200000000001</v>
      </c>
      <c r="F956" s="17">
        <v>0.28570000000000007</v>
      </c>
      <c r="G956" s="18">
        <v>630</v>
      </c>
      <c r="H956" s="18">
        <v>268.64999999999998</v>
      </c>
      <c r="I956" s="18">
        <v>630</v>
      </c>
      <c r="J956" s="53">
        <v>75.11</v>
      </c>
    </row>
    <row r="957" spans="1:10" ht="17.25" customHeight="1" x14ac:dyDescent="0.25">
      <c r="A957" s="4">
        <v>516</v>
      </c>
      <c r="B957" s="5" t="s">
        <v>416</v>
      </c>
      <c r="C957" s="5" t="s">
        <v>418</v>
      </c>
      <c r="D957" s="16">
        <v>0.26767999999999992</v>
      </c>
      <c r="E957" s="16">
        <v>0.21875</v>
      </c>
      <c r="F957" s="17">
        <v>0.35460000000000003</v>
      </c>
      <c r="G957" s="18">
        <v>742</v>
      </c>
      <c r="H957" s="18">
        <v>228.15</v>
      </c>
      <c r="I957" s="18">
        <v>742</v>
      </c>
      <c r="J957" s="53">
        <v>108.14</v>
      </c>
    </row>
    <row r="958" spans="1:10" ht="17.25" customHeight="1" x14ac:dyDescent="0.25">
      <c r="A958" s="4">
        <v>1346</v>
      </c>
      <c r="B958" s="21" t="s">
        <v>1100</v>
      </c>
      <c r="C958" s="21" t="s">
        <v>1103</v>
      </c>
      <c r="D958" s="16">
        <v>0.2601</v>
      </c>
      <c r="E958" s="16">
        <v>0.17900000000000005</v>
      </c>
      <c r="F958" s="17">
        <v>0.28570999999999991</v>
      </c>
      <c r="G958" s="18">
        <v>832.33</v>
      </c>
      <c r="H958" s="18">
        <v>308.16000000000003</v>
      </c>
      <c r="I958" s="18">
        <v>832.33</v>
      </c>
      <c r="J958" s="53">
        <v>314.61</v>
      </c>
    </row>
    <row r="959" spans="1:10" ht="17.25" customHeight="1" x14ac:dyDescent="0.25">
      <c r="A959" s="4">
        <v>1101</v>
      </c>
      <c r="B959" s="5" t="s">
        <v>812</v>
      </c>
      <c r="C959" s="5" t="s">
        <v>816</v>
      </c>
      <c r="D959" s="16">
        <v>0.24780000000000002</v>
      </c>
      <c r="E959" s="16">
        <v>0.23899999999999988</v>
      </c>
      <c r="F959" s="17">
        <v>0.28570999999999991</v>
      </c>
      <c r="G959" s="18">
        <v>701.03</v>
      </c>
      <c r="H959" s="18">
        <v>238.16</v>
      </c>
      <c r="I959" s="18">
        <v>701.03</v>
      </c>
      <c r="J959" s="53">
        <v>174.35</v>
      </c>
    </row>
    <row r="960" spans="1:10" ht="17.25" customHeight="1" x14ac:dyDescent="0.25">
      <c r="A960" s="4">
        <v>1329</v>
      </c>
      <c r="B960" s="21" t="s">
        <v>1091</v>
      </c>
      <c r="C960" s="21" t="s">
        <v>1840</v>
      </c>
      <c r="D960" s="23">
        <v>0.26059999999999994</v>
      </c>
      <c r="E960" s="23">
        <v>0.18500000000000005</v>
      </c>
      <c r="F960" s="24">
        <v>0.28570999999999991</v>
      </c>
      <c r="G960" s="25">
        <v>821.75</v>
      </c>
      <c r="H960" s="25">
        <v>303.16000000000003</v>
      </c>
      <c r="I960" s="25">
        <v>821.75</v>
      </c>
      <c r="J960" s="55">
        <v>300.58</v>
      </c>
    </row>
    <row r="961" spans="1:10" ht="17.25" customHeight="1" x14ac:dyDescent="0.25">
      <c r="A961" s="4">
        <v>956</v>
      </c>
      <c r="B961" s="5" t="s">
        <v>680</v>
      </c>
      <c r="C961" s="5" t="s">
        <v>684</v>
      </c>
      <c r="D961" s="16">
        <v>0.25560000000000005</v>
      </c>
      <c r="E961" s="16">
        <v>0.246</v>
      </c>
      <c r="F961" s="17">
        <v>0.28570999999999991</v>
      </c>
      <c r="G961" s="18">
        <v>681.56</v>
      </c>
      <c r="H961" s="18">
        <v>231.16</v>
      </c>
      <c r="I961" s="18">
        <v>681.56</v>
      </c>
      <c r="J961" s="53">
        <v>160.32</v>
      </c>
    </row>
    <row r="962" spans="1:10" ht="17.25" customHeight="1" x14ac:dyDescent="0.25">
      <c r="A962" s="4">
        <v>1269</v>
      </c>
      <c r="B962" s="5" t="s">
        <v>1020</v>
      </c>
      <c r="C962" s="5" t="s">
        <v>2454</v>
      </c>
      <c r="D962" s="16">
        <v>0.20789999999999997</v>
      </c>
      <c r="E962" s="16">
        <v>0.20100000000000007</v>
      </c>
      <c r="F962" s="17">
        <v>0.28570999999999991</v>
      </c>
      <c r="G962" s="18">
        <v>787.27</v>
      </c>
      <c r="H962" s="18">
        <v>288.16000000000003</v>
      </c>
      <c r="I962" s="18">
        <v>787.27</v>
      </c>
      <c r="J962" s="53">
        <v>258.5</v>
      </c>
    </row>
    <row r="963" spans="1:10" ht="17.25" customHeight="1" x14ac:dyDescent="0.25">
      <c r="A963" s="4">
        <v>625</v>
      </c>
      <c r="B963" s="5" t="s">
        <v>512</v>
      </c>
      <c r="C963" s="5" t="s">
        <v>515</v>
      </c>
      <c r="D963" s="16">
        <v>0.29299999999999993</v>
      </c>
      <c r="E963" s="16">
        <v>0.27600000000000002</v>
      </c>
      <c r="F963" s="17">
        <v>0.28570999999999991</v>
      </c>
      <c r="G963" s="18">
        <v>587.98</v>
      </c>
      <c r="H963" s="18">
        <v>179.16</v>
      </c>
      <c r="I963" s="18">
        <v>587.98</v>
      </c>
      <c r="J963" s="53">
        <v>118.24</v>
      </c>
    </row>
    <row r="964" spans="1:10" ht="17.25" customHeight="1" x14ac:dyDescent="0.25">
      <c r="A964" s="4">
        <v>328</v>
      </c>
      <c r="B964" s="5" t="s">
        <v>211</v>
      </c>
      <c r="C964" s="5" t="s">
        <v>213</v>
      </c>
      <c r="D964" s="16">
        <v>0.26370000000000005</v>
      </c>
      <c r="E964" s="16">
        <v>0.2629999999999999</v>
      </c>
      <c r="F964" s="17">
        <v>0.28570999999999991</v>
      </c>
      <c r="G964" s="18">
        <v>476.2</v>
      </c>
      <c r="H964" s="18">
        <v>156.87</v>
      </c>
      <c r="I964" s="18">
        <v>476.2</v>
      </c>
      <c r="J964" s="53">
        <v>74.12</v>
      </c>
    </row>
    <row r="965" spans="1:10" ht="17.25" customHeight="1" x14ac:dyDescent="0.25">
      <c r="A965" s="4">
        <v>345</v>
      </c>
      <c r="B965" s="5" t="s">
        <v>226</v>
      </c>
      <c r="C965" s="5" t="s">
        <v>230</v>
      </c>
      <c r="D965" s="16">
        <v>0.28790000000000004</v>
      </c>
      <c r="E965" s="16">
        <v>0.26600000000000001</v>
      </c>
      <c r="F965" s="17">
        <v>0.28570999999999991</v>
      </c>
      <c r="G965" s="18">
        <v>563</v>
      </c>
      <c r="H965" s="18">
        <v>160.19</v>
      </c>
      <c r="I965" s="18">
        <v>563</v>
      </c>
      <c r="J965" s="53">
        <v>90.19</v>
      </c>
    </row>
    <row r="966" spans="1:10" ht="17.25" customHeight="1" x14ac:dyDescent="0.25">
      <c r="A966" s="4">
        <v>1250</v>
      </c>
      <c r="B966" s="5" t="s">
        <v>998</v>
      </c>
      <c r="C966" s="5" t="s">
        <v>1002</v>
      </c>
      <c r="D966" s="16">
        <v>0.21399999999999997</v>
      </c>
      <c r="E966" s="16">
        <v>0.20700000000000007</v>
      </c>
      <c r="F966" s="17">
        <v>0.28570999999999991</v>
      </c>
      <c r="G966" s="18">
        <v>775.15</v>
      </c>
      <c r="H966" s="18">
        <v>284.16000000000003</v>
      </c>
      <c r="I966" s="18">
        <v>775.15</v>
      </c>
      <c r="J966" s="53">
        <v>244.48</v>
      </c>
    </row>
    <row r="967" spans="1:10" ht="17.25" customHeight="1" x14ac:dyDescent="0.25">
      <c r="A967" s="4">
        <v>890</v>
      </c>
      <c r="B967" s="5" t="s">
        <v>1795</v>
      </c>
      <c r="C967" s="5" t="s">
        <v>2455</v>
      </c>
      <c r="D967" s="16">
        <v>0.24529000000000001</v>
      </c>
      <c r="E967" s="16">
        <v>0.22802999999999995</v>
      </c>
      <c r="F967" s="17">
        <v>0.25957000000000008</v>
      </c>
      <c r="G967" s="18">
        <v>637.15</v>
      </c>
      <c r="H967" s="18">
        <v>177.61</v>
      </c>
      <c r="I967" s="18">
        <v>637.15</v>
      </c>
      <c r="J967" s="53">
        <v>120.19</v>
      </c>
    </row>
    <row r="968" spans="1:10" ht="17.25" customHeight="1" x14ac:dyDescent="0.25">
      <c r="A968" s="4">
        <v>1227</v>
      </c>
      <c r="B968" s="5" t="s">
        <v>967</v>
      </c>
      <c r="C968" s="5" t="s">
        <v>971</v>
      </c>
      <c r="D968" s="16">
        <v>0.22019999999999995</v>
      </c>
      <c r="E968" s="16">
        <v>0.21300000000000008</v>
      </c>
      <c r="F968" s="17">
        <v>0.28570999999999991</v>
      </c>
      <c r="G968" s="18">
        <v>762.23</v>
      </c>
      <c r="H968" s="18">
        <v>276.16000000000003</v>
      </c>
      <c r="I968" s="18">
        <v>762.23</v>
      </c>
      <c r="J968" s="53">
        <v>230.45</v>
      </c>
    </row>
    <row r="969" spans="1:10" ht="17.25" customHeight="1" x14ac:dyDescent="0.25">
      <c r="A969" s="4">
        <v>1172</v>
      </c>
      <c r="B969" s="5" t="s">
        <v>897</v>
      </c>
      <c r="C969" s="5" t="s">
        <v>901</v>
      </c>
      <c r="D969" s="16">
        <v>0.23280000000000012</v>
      </c>
      <c r="E969" s="16">
        <v>0.22500000000000009</v>
      </c>
      <c r="F969" s="17">
        <v>0.28570999999999991</v>
      </c>
      <c r="G969" s="18">
        <v>733.68</v>
      </c>
      <c r="H969" s="18">
        <v>259.16000000000003</v>
      </c>
      <c r="I969" s="18">
        <v>733.68</v>
      </c>
      <c r="J969" s="53">
        <v>202.4</v>
      </c>
    </row>
    <row r="970" spans="1:10" ht="17.25" customHeight="1" x14ac:dyDescent="0.25">
      <c r="A970" s="4">
        <v>882</v>
      </c>
      <c r="B970" s="5" t="s">
        <v>1788</v>
      </c>
      <c r="C970" s="5" t="s">
        <v>2456</v>
      </c>
      <c r="D970" s="16">
        <v>0.29035999999999995</v>
      </c>
      <c r="E970" s="16">
        <v>0.25697999999999999</v>
      </c>
      <c r="F970" s="17">
        <v>0.29075000000000006</v>
      </c>
      <c r="G970" s="18">
        <v>657</v>
      </c>
      <c r="H970" s="18">
        <v>186.81</v>
      </c>
      <c r="I970" s="18">
        <v>657</v>
      </c>
      <c r="J970" s="53">
        <v>118.18</v>
      </c>
    </row>
    <row r="971" spans="1:10" ht="17.25" customHeight="1" x14ac:dyDescent="0.25">
      <c r="A971" s="4">
        <v>500</v>
      </c>
      <c r="B971" s="5" t="s">
        <v>398</v>
      </c>
      <c r="C971" s="5" t="s">
        <v>2457</v>
      </c>
      <c r="D971" s="16">
        <v>0.34128000000000003</v>
      </c>
      <c r="E971" s="16">
        <v>0.26400000000000001</v>
      </c>
      <c r="F971" s="17">
        <v>0.28570999999999991</v>
      </c>
      <c r="G971" s="18">
        <v>815</v>
      </c>
      <c r="H971" s="18">
        <v>387.15</v>
      </c>
      <c r="I971" s="18">
        <v>815</v>
      </c>
      <c r="J971" s="53">
        <v>138.12</v>
      </c>
    </row>
    <row r="972" spans="1:10" ht="17.25" customHeight="1" x14ac:dyDescent="0.25">
      <c r="A972" s="4">
        <v>676</v>
      </c>
      <c r="B972" s="5" t="s">
        <v>569</v>
      </c>
      <c r="C972" s="5" t="s">
        <v>2458</v>
      </c>
      <c r="D972" s="16">
        <v>0.31096999999999997</v>
      </c>
      <c r="E972" s="16">
        <v>0.22103000000000006</v>
      </c>
      <c r="F972" s="17">
        <v>0.27205999999999997</v>
      </c>
      <c r="G972" s="18">
        <v>734</v>
      </c>
      <c r="H972" s="18">
        <v>289.2</v>
      </c>
      <c r="I972" s="18">
        <v>734</v>
      </c>
      <c r="J972" s="53">
        <v>137.13999999999999</v>
      </c>
    </row>
    <row r="973" spans="1:10" ht="17.25" customHeight="1" x14ac:dyDescent="0.25">
      <c r="A973" s="4">
        <v>485</v>
      </c>
      <c r="B973" s="5" t="s">
        <v>2300</v>
      </c>
      <c r="C973" s="5" t="s">
        <v>385</v>
      </c>
      <c r="D973" s="16">
        <v>0.37817999999999996</v>
      </c>
      <c r="E973" s="16">
        <v>0.27648000000000006</v>
      </c>
      <c r="F973" s="17">
        <v>0.29035999999999995</v>
      </c>
      <c r="G973" s="18">
        <v>632.35</v>
      </c>
      <c r="H973" s="18">
        <v>227.95</v>
      </c>
      <c r="I973" s="18">
        <v>632.35</v>
      </c>
      <c r="J973" s="53">
        <v>112.56</v>
      </c>
    </row>
    <row r="974" spans="1:10" ht="17.25" customHeight="1" x14ac:dyDescent="0.25">
      <c r="A974" s="4">
        <v>139</v>
      </c>
      <c r="B974" s="5" t="s">
        <v>1668</v>
      </c>
      <c r="C974" s="5" t="s">
        <v>1669</v>
      </c>
      <c r="D974" s="16">
        <v>0.27149000000000001</v>
      </c>
      <c r="E974" s="16">
        <v>0.22411000000000003</v>
      </c>
      <c r="F974" s="17">
        <v>0.20150000000000001</v>
      </c>
      <c r="G974" s="18">
        <v>638</v>
      </c>
      <c r="H974" s="18">
        <v>283.64999999999998</v>
      </c>
      <c r="I974" s="18">
        <v>638</v>
      </c>
      <c r="J974" s="53">
        <v>61.08</v>
      </c>
    </row>
    <row r="975" spans="1:10" ht="17.25" customHeight="1" x14ac:dyDescent="0.25">
      <c r="A975" s="4">
        <v>318</v>
      </c>
      <c r="B975" s="5" t="s">
        <v>201</v>
      </c>
      <c r="C975" s="5" t="s">
        <v>203</v>
      </c>
      <c r="D975" s="16">
        <v>0.31566000000000005</v>
      </c>
      <c r="E975" s="16">
        <v>0.25656999999999996</v>
      </c>
      <c r="F975" s="17">
        <v>0.25639999999999996</v>
      </c>
      <c r="G975" s="18">
        <v>618</v>
      </c>
      <c r="H975" s="18">
        <v>270.05</v>
      </c>
      <c r="I975" s="18">
        <v>618</v>
      </c>
      <c r="J975" s="53">
        <v>87.12</v>
      </c>
    </row>
    <row r="976" spans="1:10" ht="17.25" customHeight="1" x14ac:dyDescent="0.25">
      <c r="A976" s="4">
        <v>517</v>
      </c>
      <c r="B976" s="5" t="s">
        <v>416</v>
      </c>
      <c r="C976" s="5" t="s">
        <v>2459</v>
      </c>
      <c r="D976" s="16">
        <v>0.28683999999999998</v>
      </c>
      <c r="E976" s="16">
        <v>0.21429999999999993</v>
      </c>
      <c r="F976" s="17">
        <v>0.25363999999999987</v>
      </c>
      <c r="G976" s="18">
        <v>824</v>
      </c>
      <c r="H976" s="18">
        <v>334</v>
      </c>
      <c r="I976" s="18">
        <v>824</v>
      </c>
      <c r="J976" s="53">
        <v>108.14</v>
      </c>
    </row>
    <row r="977" spans="1:10" ht="17.25" customHeight="1" x14ac:dyDescent="0.25">
      <c r="A977" s="4">
        <v>1287</v>
      </c>
      <c r="B977" s="5" t="s">
        <v>1043</v>
      </c>
      <c r="C977" s="5" t="s">
        <v>2460</v>
      </c>
      <c r="D977" s="16">
        <v>0.30008999999999997</v>
      </c>
      <c r="E977" s="16">
        <v>0.23686000000000007</v>
      </c>
      <c r="F977" s="17">
        <v>0.29679999999999995</v>
      </c>
      <c r="G977" s="18">
        <v>924.85</v>
      </c>
      <c r="H977" s="18">
        <v>360</v>
      </c>
      <c r="I977" s="18">
        <v>924.85</v>
      </c>
      <c r="J977" s="53">
        <v>230.3</v>
      </c>
    </row>
    <row r="978" spans="1:10" ht="17.25" customHeight="1" x14ac:dyDescent="0.25">
      <c r="A978" s="6">
        <v>692</v>
      </c>
      <c r="B978" s="5" t="s">
        <v>579</v>
      </c>
      <c r="C978" s="5" t="s">
        <v>2461</v>
      </c>
      <c r="D978" s="16">
        <v>0.28725000000000001</v>
      </c>
      <c r="E978" s="16">
        <v>0.2399</v>
      </c>
      <c r="F978" s="17">
        <v>0.26905000000000001</v>
      </c>
      <c r="G978" s="18">
        <v>709.15</v>
      </c>
      <c r="H978" s="18">
        <v>242.75</v>
      </c>
      <c r="I978" s="18">
        <v>709.15</v>
      </c>
      <c r="J978" s="53">
        <v>107.15</v>
      </c>
    </row>
    <row r="979" spans="1:10" ht="17.25" customHeight="1" x14ac:dyDescent="0.25">
      <c r="A979" s="4">
        <v>779</v>
      </c>
      <c r="B979" s="5" t="s">
        <v>594</v>
      </c>
      <c r="C979" s="5" t="s">
        <v>2462</v>
      </c>
      <c r="D979" s="16">
        <v>0.27865999999999991</v>
      </c>
      <c r="E979" s="16">
        <v>0.25924999999999998</v>
      </c>
      <c r="F979" s="17">
        <v>0.27242999999999995</v>
      </c>
      <c r="G979" s="18">
        <v>617.04999999999995</v>
      </c>
      <c r="H979" s="18">
        <v>225.3</v>
      </c>
      <c r="I979" s="18">
        <v>617.04999999999995</v>
      </c>
      <c r="J979" s="53">
        <v>106.16</v>
      </c>
    </row>
    <row r="980" spans="1:10" ht="17.25" customHeight="1" x14ac:dyDescent="0.25">
      <c r="A980" s="4">
        <v>995</v>
      </c>
      <c r="B980" s="5" t="s">
        <v>714</v>
      </c>
      <c r="C980" s="5" t="s">
        <v>715</v>
      </c>
      <c r="D980" s="16">
        <v>0.26888000000000001</v>
      </c>
      <c r="E980" s="16">
        <v>0.23809999999999998</v>
      </c>
      <c r="F980" s="17">
        <v>0.26202999999999999</v>
      </c>
      <c r="G980" s="18">
        <v>702</v>
      </c>
      <c r="H980" s="18">
        <v>235.15</v>
      </c>
      <c r="I980" s="18">
        <v>702</v>
      </c>
      <c r="J980" s="53">
        <v>149.22999999999999</v>
      </c>
    </row>
    <row r="981" spans="1:10" ht="17.25" customHeight="1" x14ac:dyDescent="0.25">
      <c r="A981" s="4">
        <v>317</v>
      </c>
      <c r="B981" s="5" t="s">
        <v>201</v>
      </c>
      <c r="C981" s="5" t="s">
        <v>202</v>
      </c>
      <c r="D981" s="16">
        <v>0.27140999999999993</v>
      </c>
      <c r="E981" s="16">
        <v>0.23272000000000004</v>
      </c>
      <c r="F981" s="17">
        <v>0.27021000000000006</v>
      </c>
      <c r="G981" s="18">
        <v>658</v>
      </c>
      <c r="H981" s="18">
        <v>253.15</v>
      </c>
      <c r="I981" s="18">
        <v>658</v>
      </c>
      <c r="J981" s="53">
        <v>87.12</v>
      </c>
    </row>
    <row r="982" spans="1:10" ht="17.25" customHeight="1" x14ac:dyDescent="0.25">
      <c r="A982" s="4">
        <v>792</v>
      </c>
      <c r="B982" s="5" t="s">
        <v>604</v>
      </c>
      <c r="C982" s="5" t="s">
        <v>605</v>
      </c>
      <c r="D982" s="16">
        <v>0.26088</v>
      </c>
      <c r="E982" s="16">
        <v>0.22867999999999999</v>
      </c>
      <c r="F982" s="17">
        <v>0.23350000000000004</v>
      </c>
      <c r="G982" s="18">
        <v>687.15</v>
      </c>
      <c r="H982" s="18">
        <v>275.60000000000002</v>
      </c>
      <c r="I982" s="18">
        <v>687.15</v>
      </c>
      <c r="J982" s="53">
        <v>121.18</v>
      </c>
    </row>
    <row r="983" spans="1:10" ht="17.25" customHeight="1" x14ac:dyDescent="0.25">
      <c r="A983" s="4">
        <v>205</v>
      </c>
      <c r="B983" s="5" t="s">
        <v>72</v>
      </c>
      <c r="C983" s="5" t="s">
        <v>73</v>
      </c>
      <c r="D983" s="16">
        <v>0.27376</v>
      </c>
      <c r="E983" s="16">
        <v>0.23012999999999995</v>
      </c>
      <c r="F983" s="17">
        <v>0.27629999999999999</v>
      </c>
      <c r="G983" s="18">
        <v>647</v>
      </c>
      <c r="H983" s="18">
        <v>212.72</v>
      </c>
      <c r="I983" s="18">
        <v>647</v>
      </c>
      <c r="J983" s="53">
        <v>73.09</v>
      </c>
    </row>
    <row r="984" spans="1:10" ht="17.25" customHeight="1" x14ac:dyDescent="0.25">
      <c r="A984" s="4">
        <v>355</v>
      </c>
      <c r="B984" s="5" t="s">
        <v>241</v>
      </c>
      <c r="C984" s="5" t="s">
        <v>242</v>
      </c>
      <c r="D984" s="16">
        <v>0.31637000000000004</v>
      </c>
      <c r="E984" s="16">
        <v>0.25300000000000011</v>
      </c>
      <c r="F984" s="17">
        <v>0.28570000000000007</v>
      </c>
      <c r="G984" s="18">
        <v>698</v>
      </c>
      <c r="H984" s="18">
        <v>273.14999999999998</v>
      </c>
      <c r="I984" s="18">
        <v>698</v>
      </c>
      <c r="J984" s="53">
        <v>104.15</v>
      </c>
    </row>
    <row r="985" spans="1:10" ht="17.25" customHeight="1" x14ac:dyDescent="0.25">
      <c r="A985" s="4">
        <v>637</v>
      </c>
      <c r="B985" s="5" t="s">
        <v>528</v>
      </c>
      <c r="C985" s="5" t="s">
        <v>529</v>
      </c>
      <c r="D985" s="16">
        <v>0.31713999999999998</v>
      </c>
      <c r="E985" s="16">
        <v>0.26644000000000001</v>
      </c>
      <c r="F985" s="17">
        <v>0.28570000000000007</v>
      </c>
      <c r="G985" s="18">
        <v>708</v>
      </c>
      <c r="H985" s="18">
        <v>254.15</v>
      </c>
      <c r="I985" s="18">
        <v>708</v>
      </c>
      <c r="J985" s="53">
        <v>129.19999999999999</v>
      </c>
    </row>
    <row r="986" spans="1:10" ht="17.25" customHeight="1" x14ac:dyDescent="0.25">
      <c r="A986" s="6">
        <v>962</v>
      </c>
      <c r="B986" s="5" t="s">
        <v>693</v>
      </c>
      <c r="C986" s="5" t="s">
        <v>694</v>
      </c>
      <c r="D986" s="16">
        <v>0.30618999999999996</v>
      </c>
      <c r="E986" s="16">
        <v>0.25036999999999998</v>
      </c>
      <c r="F986" s="17">
        <v>0.27300000000000013</v>
      </c>
      <c r="G986" s="18">
        <v>748.35</v>
      </c>
      <c r="H986" s="18">
        <v>353.43</v>
      </c>
      <c r="I986" s="18">
        <v>748.35</v>
      </c>
      <c r="J986" s="53">
        <v>128.16999999999999</v>
      </c>
    </row>
    <row r="987" spans="1:10" ht="17.25" customHeight="1" x14ac:dyDescent="0.25">
      <c r="A987" s="4">
        <v>321</v>
      </c>
      <c r="B987" s="5" t="s">
        <v>207</v>
      </c>
      <c r="C987" s="5" t="s">
        <v>2463</v>
      </c>
      <c r="D987" s="16">
        <v>0.22826999999999997</v>
      </c>
      <c r="E987" s="16">
        <v>0.27239999999999998</v>
      </c>
      <c r="F987" s="17">
        <v>0.2863</v>
      </c>
      <c r="G987" s="18">
        <v>425.18</v>
      </c>
      <c r="H987" s="18">
        <v>134.86000000000001</v>
      </c>
      <c r="I987" s="18">
        <v>425.18</v>
      </c>
      <c r="J987" s="53">
        <v>58.12</v>
      </c>
    </row>
    <row r="988" spans="1:10" ht="17.25" customHeight="1" x14ac:dyDescent="0.25">
      <c r="A988" s="4">
        <v>324</v>
      </c>
      <c r="B988" s="5" t="s">
        <v>211</v>
      </c>
      <c r="C988" s="5" t="s">
        <v>2366</v>
      </c>
      <c r="D988" s="16">
        <v>0.26890999999999998</v>
      </c>
      <c r="E988" s="16">
        <v>0.26673999999999998</v>
      </c>
      <c r="F988" s="17">
        <v>0.24570000000000003</v>
      </c>
      <c r="G988" s="18">
        <v>562.92999999999995</v>
      </c>
      <c r="H988" s="18">
        <v>183.85</v>
      </c>
      <c r="I988" s="18">
        <v>562.92999999999995</v>
      </c>
      <c r="J988" s="53">
        <v>74.12</v>
      </c>
    </row>
    <row r="989" spans="1:10" ht="17.25" customHeight="1" x14ac:dyDescent="0.25">
      <c r="A989" s="4">
        <v>578</v>
      </c>
      <c r="B989" s="5" t="s">
        <v>474</v>
      </c>
      <c r="C989" s="5" t="s">
        <v>2464</v>
      </c>
      <c r="D989" s="16">
        <v>0.29857</v>
      </c>
      <c r="E989" s="16">
        <v>0.26028000000000007</v>
      </c>
      <c r="F989" s="17">
        <v>0.30899999999999994</v>
      </c>
      <c r="G989" s="18">
        <v>579.65</v>
      </c>
      <c r="H989" s="18">
        <v>199.65</v>
      </c>
      <c r="I989" s="18">
        <v>579.65</v>
      </c>
      <c r="J989" s="53">
        <v>116.16</v>
      </c>
    </row>
    <row r="990" spans="1:10" ht="17.25" customHeight="1" x14ac:dyDescent="0.25">
      <c r="A990" s="4">
        <v>699</v>
      </c>
      <c r="B990" s="5" t="s">
        <v>591</v>
      </c>
      <c r="C990" s="5" t="s">
        <v>2465</v>
      </c>
      <c r="D990" s="16">
        <v>0.2994699999999999</v>
      </c>
      <c r="E990" s="16">
        <v>0.25838000000000005</v>
      </c>
      <c r="F990" s="17">
        <v>0.30842999999999998</v>
      </c>
      <c r="G990" s="18">
        <v>598</v>
      </c>
      <c r="H990" s="18">
        <v>208.55</v>
      </c>
      <c r="I990" s="18">
        <v>598</v>
      </c>
      <c r="J990" s="53">
        <v>128.16999999999999</v>
      </c>
    </row>
    <row r="991" spans="1:10" ht="17.25" customHeight="1" x14ac:dyDescent="0.25">
      <c r="A991" s="4">
        <v>1107</v>
      </c>
      <c r="B991" s="5" t="s">
        <v>824</v>
      </c>
      <c r="C991" s="5" t="s">
        <v>2466</v>
      </c>
      <c r="D991" s="16">
        <v>0.32113999999999998</v>
      </c>
      <c r="E991" s="16">
        <v>0.26431000000000004</v>
      </c>
      <c r="F991" s="17">
        <v>0.29709999999999992</v>
      </c>
      <c r="G991" s="18">
        <v>724</v>
      </c>
      <c r="H991" s="18">
        <v>251.65</v>
      </c>
      <c r="I991" s="18">
        <v>724</v>
      </c>
      <c r="J991" s="53">
        <v>178.23</v>
      </c>
    </row>
    <row r="992" spans="1:10" ht="17.25" customHeight="1" x14ac:dyDescent="0.25">
      <c r="A992" s="4">
        <v>312</v>
      </c>
      <c r="B992" s="5" t="s">
        <v>2301</v>
      </c>
      <c r="C992" s="5" t="s">
        <v>2467</v>
      </c>
      <c r="D992" s="16">
        <v>0.30871000000000004</v>
      </c>
      <c r="E992" s="16">
        <v>0.26428999999999991</v>
      </c>
      <c r="F992" s="17">
        <v>0.29539999999999988</v>
      </c>
      <c r="G992" s="18">
        <v>537</v>
      </c>
      <c r="H992" s="18">
        <v>150.05000000000001</v>
      </c>
      <c r="I992" s="18">
        <v>537</v>
      </c>
      <c r="J992" s="53">
        <v>92.57</v>
      </c>
    </row>
    <row r="993" spans="1:10" ht="17.25" customHeight="1" x14ac:dyDescent="0.25">
      <c r="A993" s="4">
        <v>607</v>
      </c>
      <c r="B993" s="5" t="s">
        <v>495</v>
      </c>
      <c r="C993" s="5" t="s">
        <v>2468</v>
      </c>
      <c r="D993" s="16">
        <v>0.26107000000000014</v>
      </c>
      <c r="E993" s="16">
        <v>0.26506000000000007</v>
      </c>
      <c r="F993" s="17">
        <v>0.28570000000000007</v>
      </c>
      <c r="G993" s="18">
        <v>531</v>
      </c>
      <c r="H993" s="18">
        <v>170.15</v>
      </c>
      <c r="I993" s="18">
        <v>531</v>
      </c>
      <c r="J993" s="53">
        <v>102.17</v>
      </c>
    </row>
    <row r="994" spans="1:10" ht="17.25" customHeight="1" x14ac:dyDescent="0.25">
      <c r="A994" s="4">
        <v>416</v>
      </c>
      <c r="B994" s="5" t="s">
        <v>320</v>
      </c>
      <c r="C994" s="5" t="s">
        <v>2469</v>
      </c>
      <c r="D994" s="16">
        <v>0.30397000000000007</v>
      </c>
      <c r="E994" s="16">
        <v>0.26605999999999996</v>
      </c>
      <c r="F994" s="17">
        <v>0.27849999999999997</v>
      </c>
      <c r="G994" s="18">
        <v>559</v>
      </c>
      <c r="H994" s="18">
        <v>181.25</v>
      </c>
      <c r="I994" s="18">
        <v>559</v>
      </c>
      <c r="J994" s="53">
        <v>102.13</v>
      </c>
    </row>
    <row r="995" spans="1:10" ht="17.25" customHeight="1" x14ac:dyDescent="0.25">
      <c r="A995" s="4">
        <v>400</v>
      </c>
      <c r="B995" s="5" t="s">
        <v>302</v>
      </c>
      <c r="C995" s="5" t="s">
        <v>2470</v>
      </c>
      <c r="D995" s="16">
        <v>0.27537999999999996</v>
      </c>
      <c r="E995" s="16">
        <v>0.20710000000000006</v>
      </c>
      <c r="F995" s="17">
        <v>0.41199999999999992</v>
      </c>
      <c r="G995" s="18">
        <v>568</v>
      </c>
      <c r="H995" s="18">
        <v>193</v>
      </c>
      <c r="I995" s="18">
        <v>568</v>
      </c>
      <c r="J995" s="53">
        <v>99.13</v>
      </c>
    </row>
    <row r="996" spans="1:10" ht="17.25" customHeight="1" x14ac:dyDescent="0.25">
      <c r="A996" s="4">
        <v>339</v>
      </c>
      <c r="B996" s="5" t="s">
        <v>226</v>
      </c>
      <c r="C996" s="5" t="s">
        <v>2471</v>
      </c>
      <c r="D996" s="16">
        <v>0.29377999999999993</v>
      </c>
      <c r="E996" s="16">
        <v>0.27052999999999994</v>
      </c>
      <c r="F996" s="17">
        <v>0.29943999999999993</v>
      </c>
      <c r="G996" s="18">
        <v>569</v>
      </c>
      <c r="H996" s="18">
        <v>157.46</v>
      </c>
      <c r="I996" s="18">
        <v>569</v>
      </c>
      <c r="J996" s="53">
        <v>90.19</v>
      </c>
    </row>
    <row r="997" spans="1:10" ht="17.25" customHeight="1" x14ac:dyDescent="0.25">
      <c r="A997" s="4">
        <v>800</v>
      </c>
      <c r="B997" s="5" t="s">
        <v>613</v>
      </c>
      <c r="C997" s="5" t="s">
        <v>2472</v>
      </c>
      <c r="D997" s="16">
        <v>0.28691</v>
      </c>
      <c r="E997" s="16">
        <v>0.25449999999999995</v>
      </c>
      <c r="F997" s="17">
        <v>0.28570000000000007</v>
      </c>
      <c r="G997" s="18">
        <v>616</v>
      </c>
      <c r="H997" s="18">
        <v>223</v>
      </c>
      <c r="I997" s="18">
        <v>616</v>
      </c>
      <c r="J997" s="53">
        <v>142.19999999999999</v>
      </c>
    </row>
    <row r="998" spans="1:10" ht="17.25" customHeight="1" x14ac:dyDescent="0.25">
      <c r="A998" s="4">
        <v>824</v>
      </c>
      <c r="B998" s="5" t="s">
        <v>630</v>
      </c>
      <c r="C998" s="5" t="s">
        <v>2473</v>
      </c>
      <c r="D998" s="16">
        <v>0.29193000000000002</v>
      </c>
      <c r="E998" s="16">
        <v>0.27107999999999999</v>
      </c>
      <c r="F998" s="17">
        <v>0.27649999999999997</v>
      </c>
      <c r="G998" s="18">
        <v>616</v>
      </c>
      <c r="H998" s="18">
        <v>181.15</v>
      </c>
      <c r="I998" s="18">
        <v>616</v>
      </c>
      <c r="J998" s="53">
        <v>144.21</v>
      </c>
    </row>
    <row r="999" spans="1:10" ht="17.25" customHeight="1" x14ac:dyDescent="0.25">
      <c r="A999" s="4">
        <v>1192</v>
      </c>
      <c r="B999" s="5" t="s">
        <v>928</v>
      </c>
      <c r="C999" s="5" t="s">
        <v>2474</v>
      </c>
      <c r="D999" s="16">
        <v>0.27</v>
      </c>
      <c r="E999" s="16">
        <v>0.25480999999999998</v>
      </c>
      <c r="F999" s="17">
        <v>0.28570000000000007</v>
      </c>
      <c r="G999" s="18">
        <v>652</v>
      </c>
      <c r="H999" s="18">
        <v>235.15</v>
      </c>
      <c r="I999" s="18">
        <v>652</v>
      </c>
      <c r="J999" s="53">
        <v>214.34</v>
      </c>
    </row>
    <row r="1000" spans="1:10" ht="17.25" customHeight="1" x14ac:dyDescent="0.25">
      <c r="A1000" s="4">
        <v>733</v>
      </c>
      <c r="B1000" s="5" t="s">
        <v>1715</v>
      </c>
      <c r="C1000" s="5" t="s">
        <v>2475</v>
      </c>
      <c r="D1000" s="16">
        <v>0.28675000000000006</v>
      </c>
      <c r="E1000" s="16">
        <v>0.25740000000000007</v>
      </c>
      <c r="F1000" s="17">
        <v>0.28570999999999991</v>
      </c>
      <c r="G1000" s="18">
        <v>594</v>
      </c>
      <c r="H1000" s="18">
        <v>183.63</v>
      </c>
      <c r="I1000" s="18">
        <v>594</v>
      </c>
      <c r="J1000" s="53">
        <v>130.18</v>
      </c>
    </row>
    <row r="1001" spans="1:10" ht="17.25" customHeight="1" x14ac:dyDescent="0.25">
      <c r="A1001" s="4">
        <v>1355</v>
      </c>
      <c r="B1001" s="21" t="s">
        <v>1959</v>
      </c>
      <c r="C1001" s="21" t="s">
        <v>2476</v>
      </c>
      <c r="D1001" s="16">
        <v>0.24798000000000009</v>
      </c>
      <c r="E1001" s="16">
        <v>0.24</v>
      </c>
      <c r="F1001" s="17">
        <v>0.28570000000000007</v>
      </c>
      <c r="G1001" s="18">
        <v>764</v>
      </c>
      <c r="H1001" s="18">
        <v>299.45</v>
      </c>
      <c r="I1001" s="18">
        <v>764</v>
      </c>
      <c r="J1001" s="53">
        <v>308.58</v>
      </c>
    </row>
    <row r="1002" spans="1:10" ht="17.25" customHeight="1" x14ac:dyDescent="0.25">
      <c r="A1002" s="4">
        <v>912</v>
      </c>
      <c r="B1002" s="5" t="s">
        <v>1817</v>
      </c>
      <c r="C1002" s="5" t="s">
        <v>2477</v>
      </c>
      <c r="D1002" s="16">
        <v>0.28929000000000005</v>
      </c>
      <c r="E1002" s="16">
        <v>0.26645999999999992</v>
      </c>
      <c r="F1002" s="17">
        <v>0.29649999999999999</v>
      </c>
      <c r="G1002" s="18">
        <v>629</v>
      </c>
      <c r="H1002" s="18">
        <v>180.35</v>
      </c>
      <c r="I1002" s="18">
        <v>629</v>
      </c>
      <c r="J1002" s="53">
        <v>158.24</v>
      </c>
    </row>
    <row r="1003" spans="1:10" ht="17.25" customHeight="1" x14ac:dyDescent="0.25">
      <c r="A1003" s="4">
        <v>347</v>
      </c>
      <c r="B1003" s="5" t="s">
        <v>233</v>
      </c>
      <c r="C1003" s="5" t="s">
        <v>2478</v>
      </c>
      <c r="D1003" s="16">
        <v>0.23378999999999994</v>
      </c>
      <c r="E1003" s="16">
        <v>0.24469999999999992</v>
      </c>
      <c r="F1003" s="17">
        <v>0.24278</v>
      </c>
      <c r="G1003" s="18">
        <v>531.9</v>
      </c>
      <c r="H1003" s="18">
        <v>224.05</v>
      </c>
      <c r="I1003" s="18">
        <v>531.9</v>
      </c>
      <c r="J1003" s="53">
        <v>73.14</v>
      </c>
    </row>
    <row r="1004" spans="1:10" ht="17.25" customHeight="1" x14ac:dyDescent="0.25">
      <c r="A1004" s="6">
        <v>974</v>
      </c>
      <c r="B1004" s="5" t="s">
        <v>708</v>
      </c>
      <c r="C1004" s="5" t="s">
        <v>2479</v>
      </c>
      <c r="D1004" s="16">
        <v>0.27042999999999995</v>
      </c>
      <c r="E1004" s="16">
        <v>0.25324999999999998</v>
      </c>
      <c r="F1004" s="17">
        <v>0.28960000000000008</v>
      </c>
      <c r="G1004" s="18">
        <v>660.55</v>
      </c>
      <c r="H1004" s="18">
        <v>185.3</v>
      </c>
      <c r="I1004" s="18">
        <v>660.55</v>
      </c>
      <c r="J1004" s="53">
        <v>134.22</v>
      </c>
    </row>
    <row r="1005" spans="1:10" ht="17.25" customHeight="1" x14ac:dyDescent="0.25">
      <c r="A1005" s="4">
        <v>1011</v>
      </c>
      <c r="B1005" s="5" t="s">
        <v>724</v>
      </c>
      <c r="C1005" s="5" t="s">
        <v>2480</v>
      </c>
      <c r="D1005" s="16">
        <v>0.26269000000000009</v>
      </c>
      <c r="E1005" s="16">
        <v>0.26560000000000006</v>
      </c>
      <c r="F1005" s="17">
        <v>0.3024</v>
      </c>
      <c r="G1005" s="18">
        <v>667</v>
      </c>
      <c r="H1005" s="18">
        <v>198.42</v>
      </c>
      <c r="I1005" s="18">
        <v>667</v>
      </c>
      <c r="J1005" s="53">
        <v>140.26</v>
      </c>
    </row>
    <row r="1006" spans="1:10" ht="17.25" customHeight="1" x14ac:dyDescent="0.25">
      <c r="A1006" s="4">
        <v>294</v>
      </c>
      <c r="B1006" s="5" t="s">
        <v>179</v>
      </c>
      <c r="C1006" s="5" t="s">
        <v>2481</v>
      </c>
      <c r="D1006" s="16">
        <v>0.26622999999999997</v>
      </c>
      <c r="E1006" s="16">
        <v>0.24819999999999998</v>
      </c>
      <c r="F1006" s="17">
        <v>0.28570000000000007</v>
      </c>
      <c r="G1006" s="18">
        <v>525</v>
      </c>
      <c r="H1006" s="18">
        <v>176.75</v>
      </c>
      <c r="I1006" s="18">
        <v>525</v>
      </c>
      <c r="J1006" s="53">
        <v>72.11</v>
      </c>
    </row>
    <row r="1007" spans="1:10" ht="17.25" customHeight="1" x14ac:dyDescent="0.25">
      <c r="A1007" s="4">
        <v>303</v>
      </c>
      <c r="B1007" s="5" t="s">
        <v>185</v>
      </c>
      <c r="C1007" s="5" t="s">
        <v>2482</v>
      </c>
      <c r="D1007" s="16">
        <v>0.31132000000000004</v>
      </c>
      <c r="E1007" s="16">
        <v>0.26191999999999993</v>
      </c>
      <c r="F1007" s="17">
        <v>0.27997000000000005</v>
      </c>
      <c r="G1007" s="18">
        <v>628</v>
      </c>
      <c r="H1007" s="18">
        <v>267.95</v>
      </c>
      <c r="I1007" s="18">
        <v>628</v>
      </c>
      <c r="J1007" s="53">
        <v>88.1</v>
      </c>
    </row>
    <row r="1008" spans="1:10" ht="17.25" customHeight="1" x14ac:dyDescent="0.25">
      <c r="A1008" s="4">
        <v>279</v>
      </c>
      <c r="B1008" s="5" t="s">
        <v>161</v>
      </c>
      <c r="C1008" s="5" t="s">
        <v>2483</v>
      </c>
      <c r="D1008" s="16">
        <v>0.24862000000000006</v>
      </c>
      <c r="E1008" s="16">
        <v>0.24330999999999992</v>
      </c>
      <c r="F1008" s="17">
        <v>0.28586</v>
      </c>
      <c r="G1008" s="18">
        <v>582.25</v>
      </c>
      <c r="H1008" s="18">
        <v>161.25</v>
      </c>
      <c r="I1008" s="18">
        <v>582.25</v>
      </c>
      <c r="J1008" s="53">
        <v>69.099999999999994</v>
      </c>
    </row>
    <row r="1009" spans="1:10" ht="17.25" customHeight="1" x14ac:dyDescent="0.25">
      <c r="A1009" s="4">
        <v>1018</v>
      </c>
      <c r="B1009" s="5" t="s">
        <v>732</v>
      </c>
      <c r="C1009" s="5" t="s">
        <v>2484</v>
      </c>
      <c r="D1009" s="16">
        <v>0.23276000000000008</v>
      </c>
      <c r="E1009" s="16">
        <v>0.25239999999999996</v>
      </c>
      <c r="F1009" s="17">
        <v>0.28570000000000007</v>
      </c>
      <c r="G1009" s="18">
        <v>618.45000000000005</v>
      </c>
      <c r="H1009" s="18">
        <v>243.49</v>
      </c>
      <c r="I1009" s="18">
        <v>618.45000000000005</v>
      </c>
      <c r="J1009" s="53">
        <v>142.28</v>
      </c>
    </row>
    <row r="1010" spans="1:10" ht="17.25" customHeight="1" x14ac:dyDescent="0.25">
      <c r="A1010" s="4">
        <v>1015</v>
      </c>
      <c r="B1010" s="5" t="s">
        <v>729</v>
      </c>
      <c r="C1010" s="5" t="s">
        <v>2485</v>
      </c>
      <c r="D1010" s="16">
        <v>0.28725000000000001</v>
      </c>
      <c r="E1010" s="16">
        <v>0.27072000000000007</v>
      </c>
      <c r="F1010" s="17">
        <v>0.26859999999999995</v>
      </c>
      <c r="G1010" s="18">
        <v>713</v>
      </c>
      <c r="H1010" s="18">
        <v>304.75</v>
      </c>
      <c r="I1010" s="18">
        <v>713</v>
      </c>
      <c r="J1010" s="53">
        <v>172.26</v>
      </c>
    </row>
    <row r="1011" spans="1:10" ht="17.25" customHeight="1" x14ac:dyDescent="0.25">
      <c r="A1011" s="4">
        <v>1097</v>
      </c>
      <c r="B1011" s="5" t="s">
        <v>812</v>
      </c>
      <c r="C1011" s="5" t="s">
        <v>2486</v>
      </c>
      <c r="D1011" s="16">
        <v>0.27940999999999994</v>
      </c>
      <c r="E1011" s="16">
        <v>0.27937000000000012</v>
      </c>
      <c r="F1011" s="17">
        <v>0.26122000000000001</v>
      </c>
      <c r="G1011" s="18">
        <v>696</v>
      </c>
      <c r="H1011" s="18">
        <v>247.56</v>
      </c>
      <c r="I1011" s="18">
        <v>696</v>
      </c>
      <c r="J1011" s="53">
        <v>174.35</v>
      </c>
    </row>
    <row r="1012" spans="1:10" ht="17.25" customHeight="1" x14ac:dyDescent="0.25">
      <c r="A1012" s="4">
        <v>1104</v>
      </c>
      <c r="B1012" s="5" t="s">
        <v>820</v>
      </c>
      <c r="C1012" s="5" t="s">
        <v>2487</v>
      </c>
      <c r="D1012" s="16">
        <v>0.24714999999999998</v>
      </c>
      <c r="E1012" s="16">
        <v>0.25170000000000003</v>
      </c>
      <c r="F1012" s="17">
        <v>0.28570000000000007</v>
      </c>
      <c r="G1012" s="18">
        <v>663</v>
      </c>
      <c r="H1012" s="18">
        <v>288.85000000000002</v>
      </c>
      <c r="I1012" s="18">
        <v>663</v>
      </c>
      <c r="J1012" s="53">
        <v>157.30000000000001</v>
      </c>
    </row>
    <row r="1013" spans="1:10" ht="17.25" customHeight="1" x14ac:dyDescent="0.25">
      <c r="A1013" s="4">
        <v>1257</v>
      </c>
      <c r="B1013" s="5" t="s">
        <v>1010</v>
      </c>
      <c r="C1013" s="5" t="s">
        <v>2488</v>
      </c>
      <c r="D1013" s="16">
        <v>0.24794000000000005</v>
      </c>
      <c r="E1013" s="16">
        <v>0.23856999999999995</v>
      </c>
      <c r="F1013" s="17">
        <v>0.29618999999999995</v>
      </c>
      <c r="G1013" s="18">
        <v>753</v>
      </c>
      <c r="H1013" s="18">
        <v>258.77</v>
      </c>
      <c r="I1013" s="18">
        <v>753</v>
      </c>
      <c r="J1013" s="53">
        <v>218.38</v>
      </c>
    </row>
    <row r="1014" spans="1:10" ht="17.25" customHeight="1" x14ac:dyDescent="0.25">
      <c r="A1014" s="4">
        <v>1260</v>
      </c>
      <c r="B1014" s="5" t="s">
        <v>1014</v>
      </c>
      <c r="C1014" s="5" t="s">
        <v>2489</v>
      </c>
      <c r="D1014" s="16">
        <v>0.26157000000000008</v>
      </c>
      <c r="E1014" s="16">
        <v>0.26241000000000003</v>
      </c>
      <c r="F1014" s="17">
        <v>0.32208999999999999</v>
      </c>
      <c r="G1014" s="18">
        <v>751.25</v>
      </c>
      <c r="H1014" s="18">
        <v>271.42</v>
      </c>
      <c r="I1014" s="18">
        <v>751.25</v>
      </c>
      <c r="J1014" s="53">
        <v>224.42</v>
      </c>
    </row>
    <row r="1015" spans="1:10" ht="17.25" customHeight="1" x14ac:dyDescent="0.25">
      <c r="A1015" s="4">
        <v>1164</v>
      </c>
      <c r="B1015" s="5" t="s">
        <v>893</v>
      </c>
      <c r="C1015" s="5" t="s">
        <v>2490</v>
      </c>
      <c r="D1015" s="16">
        <v>0.23402999999999996</v>
      </c>
      <c r="E1015" s="16">
        <v>0.25183</v>
      </c>
      <c r="F1015" s="17">
        <v>0.28960000000000008</v>
      </c>
      <c r="G1015" s="18">
        <v>658.2</v>
      </c>
      <c r="H1015" s="18">
        <v>263.57</v>
      </c>
      <c r="I1015" s="18">
        <v>658.2</v>
      </c>
      <c r="J1015" s="53">
        <v>170.33</v>
      </c>
    </row>
    <row r="1016" spans="1:10" ht="17.25" customHeight="1" x14ac:dyDescent="0.25">
      <c r="A1016" s="4">
        <v>1163</v>
      </c>
      <c r="B1016" s="5" t="s">
        <v>892</v>
      </c>
      <c r="C1016" s="5" t="s">
        <v>2491</v>
      </c>
      <c r="D1016" s="16">
        <v>0.2841800000000001</v>
      </c>
      <c r="E1016" s="16">
        <v>0.26550000000000007</v>
      </c>
      <c r="F1016" s="17">
        <v>0.29329999999999989</v>
      </c>
      <c r="G1016" s="18">
        <v>734</v>
      </c>
      <c r="H1016" s="18">
        <v>317.14999999999998</v>
      </c>
      <c r="I1016" s="18">
        <v>734</v>
      </c>
      <c r="J1016" s="53">
        <v>200.32</v>
      </c>
    </row>
    <row r="1017" spans="1:10" ht="17.25" customHeight="1" x14ac:dyDescent="0.25">
      <c r="A1017" s="4">
        <v>1168</v>
      </c>
      <c r="B1017" s="5" t="s">
        <v>897</v>
      </c>
      <c r="C1017" s="5" t="s">
        <v>2492</v>
      </c>
      <c r="D1017" s="16">
        <v>0.27764999999999995</v>
      </c>
      <c r="E1017" s="16">
        <v>0.27017999999999986</v>
      </c>
      <c r="F1017" s="17">
        <v>0.31186000000000003</v>
      </c>
      <c r="G1017" s="18">
        <v>724</v>
      </c>
      <c r="H1017" s="18">
        <v>265.14999999999998</v>
      </c>
      <c r="I1017" s="18">
        <v>724</v>
      </c>
      <c r="J1017" s="53">
        <v>202.4</v>
      </c>
    </row>
    <row r="1018" spans="1:10" ht="17.25" customHeight="1" x14ac:dyDescent="0.25">
      <c r="A1018" s="4">
        <v>1295</v>
      </c>
      <c r="B1018" s="5" t="s">
        <v>1050</v>
      </c>
      <c r="C1018" s="5" t="s">
        <v>2493</v>
      </c>
      <c r="D1018" s="16">
        <v>0.24819999999999998</v>
      </c>
      <c r="E1018" s="16">
        <v>0.24353000000000002</v>
      </c>
      <c r="F1018" s="17">
        <v>0.28570999999999991</v>
      </c>
      <c r="G1018" s="18">
        <v>774.26</v>
      </c>
      <c r="H1018" s="18">
        <v>275.93</v>
      </c>
      <c r="I1018" s="18">
        <v>774.26</v>
      </c>
      <c r="J1018" s="53">
        <v>246.43</v>
      </c>
    </row>
    <row r="1019" spans="1:10" ht="17.25" customHeight="1" x14ac:dyDescent="0.25">
      <c r="A1019" s="4">
        <v>1340</v>
      </c>
      <c r="B1019" s="21" t="s">
        <v>1954</v>
      </c>
      <c r="C1019" s="21" t="s">
        <v>2494</v>
      </c>
      <c r="D1019" s="23">
        <v>0.23758999999999997</v>
      </c>
      <c r="E1019" s="23">
        <v>0.24934000000000012</v>
      </c>
      <c r="F1019" s="24">
        <v>0.30879999999999996</v>
      </c>
      <c r="G1019" s="25">
        <v>767.04</v>
      </c>
      <c r="H1019" s="25">
        <v>309.58999999999997</v>
      </c>
      <c r="I1019" s="18">
        <v>767.04</v>
      </c>
      <c r="J1019" s="53">
        <v>282.55</v>
      </c>
    </row>
    <row r="1020" spans="1:10" ht="17.25" customHeight="1" x14ac:dyDescent="0.25">
      <c r="A1020" s="4">
        <v>439</v>
      </c>
      <c r="B1020" s="5" t="s">
        <v>345</v>
      </c>
      <c r="C1020" s="5" t="s">
        <v>347</v>
      </c>
      <c r="D1020" s="16">
        <v>0.23294999999999999</v>
      </c>
      <c r="E1020" s="16">
        <v>0.27380000000000004</v>
      </c>
      <c r="F1020" s="17">
        <v>0.29194999999999993</v>
      </c>
      <c r="G1020" s="18">
        <v>433.78</v>
      </c>
      <c r="H1020" s="18">
        <v>256.58</v>
      </c>
      <c r="I1020" s="18">
        <v>433.78</v>
      </c>
      <c r="J1020" s="53">
        <v>72.150000000000006</v>
      </c>
    </row>
    <row r="1021" spans="1:10" ht="17.25" customHeight="1" x14ac:dyDescent="0.25">
      <c r="A1021" s="4">
        <v>455</v>
      </c>
      <c r="B1021" s="5" t="s">
        <v>359</v>
      </c>
      <c r="C1021" s="5" t="s">
        <v>361</v>
      </c>
      <c r="D1021" s="16">
        <v>0.30146000000000006</v>
      </c>
      <c r="E1021" s="16">
        <v>0.27400000000000002</v>
      </c>
      <c r="F1021" s="17">
        <v>0.28570999999999991</v>
      </c>
      <c r="G1021" s="18">
        <v>643</v>
      </c>
      <c r="H1021" s="18">
        <v>400</v>
      </c>
      <c r="I1021" s="18">
        <v>643</v>
      </c>
      <c r="J1021" s="53">
        <v>104.15</v>
      </c>
    </row>
    <row r="1022" spans="1:10" ht="17.25" customHeight="1" x14ac:dyDescent="0.25">
      <c r="A1022" s="4">
        <v>1279</v>
      </c>
      <c r="B1022" s="5" t="s">
        <v>1032</v>
      </c>
      <c r="C1022" s="5" t="s">
        <v>2495</v>
      </c>
      <c r="D1022" s="16">
        <v>0.23953000000000002</v>
      </c>
      <c r="E1022" s="16">
        <v>0.25316000000000005</v>
      </c>
      <c r="F1022" s="17">
        <v>0.30520000000000014</v>
      </c>
      <c r="G1022" s="18">
        <v>733.37</v>
      </c>
      <c r="H1022" s="18">
        <v>295.13</v>
      </c>
      <c r="I1022" s="18">
        <v>733.37</v>
      </c>
      <c r="J1022" s="53">
        <v>240.47</v>
      </c>
    </row>
    <row r="1023" spans="1:10" ht="17.25" customHeight="1" x14ac:dyDescent="0.25">
      <c r="A1023" s="4">
        <v>747</v>
      </c>
      <c r="B1023" s="5" t="s">
        <v>1724</v>
      </c>
      <c r="C1023" s="5" t="s">
        <v>2496</v>
      </c>
      <c r="D1023" s="16">
        <v>0.23236999999999997</v>
      </c>
      <c r="E1023" s="16">
        <v>0.26019999999999999</v>
      </c>
      <c r="F1023" s="17">
        <v>0.27910000000000013</v>
      </c>
      <c r="G1023" s="18">
        <v>540.26</v>
      </c>
      <c r="H1023" s="18">
        <v>182.57</v>
      </c>
      <c r="I1023" s="18">
        <v>540.26</v>
      </c>
      <c r="J1023" s="53">
        <v>100.2</v>
      </c>
    </row>
    <row r="1024" spans="1:10" ht="17.25" customHeight="1" x14ac:dyDescent="0.25">
      <c r="A1024" s="4">
        <v>738</v>
      </c>
      <c r="B1024" s="5" t="s">
        <v>1715</v>
      </c>
      <c r="C1024" s="5" t="s">
        <v>2497</v>
      </c>
      <c r="D1024" s="16">
        <v>0.29454000000000002</v>
      </c>
      <c r="E1024" s="16">
        <v>0.25919999999999987</v>
      </c>
      <c r="F1024" s="17">
        <v>0.30590000000000006</v>
      </c>
      <c r="G1024" s="18">
        <v>680</v>
      </c>
      <c r="H1024" s="18">
        <v>265.83</v>
      </c>
      <c r="I1024" s="18">
        <v>680</v>
      </c>
      <c r="J1024" s="53">
        <v>130.18</v>
      </c>
    </row>
    <row r="1025" spans="1:10" ht="17.25" customHeight="1" x14ac:dyDescent="0.25">
      <c r="A1025" s="4">
        <v>755</v>
      </c>
      <c r="B1025" s="5" t="s">
        <v>1738</v>
      </c>
      <c r="C1025" s="5" t="s">
        <v>2498</v>
      </c>
      <c r="D1025" s="16">
        <v>0.28445000000000009</v>
      </c>
      <c r="E1025" s="16">
        <v>0.27096999999999993</v>
      </c>
      <c r="F1025" s="17">
        <v>0.30330000000000013</v>
      </c>
      <c r="G1025" s="18">
        <v>645</v>
      </c>
      <c r="H1025" s="18">
        <v>229.92</v>
      </c>
      <c r="I1025" s="18">
        <v>645</v>
      </c>
      <c r="J1025" s="53">
        <v>132.27000000000001</v>
      </c>
    </row>
    <row r="1026" spans="1:10" ht="17.25" customHeight="1" x14ac:dyDescent="0.25">
      <c r="A1026" s="4">
        <v>1186</v>
      </c>
      <c r="B1026" s="5" t="s">
        <v>919</v>
      </c>
      <c r="C1026" s="5" t="s">
        <v>2499</v>
      </c>
      <c r="D1026" s="16">
        <v>0.27207000000000003</v>
      </c>
      <c r="E1026" s="16">
        <v>0.25683999999999996</v>
      </c>
      <c r="F1026" s="17">
        <v>0.32095000000000007</v>
      </c>
      <c r="G1026" s="18">
        <v>714</v>
      </c>
      <c r="H1026" s="18">
        <v>225.15</v>
      </c>
      <c r="I1026" s="18">
        <v>714</v>
      </c>
      <c r="J1026" s="53">
        <v>176.3</v>
      </c>
    </row>
    <row r="1027" spans="1:10" ht="17.25" customHeight="1" x14ac:dyDescent="0.25">
      <c r="A1027" s="4">
        <v>1264</v>
      </c>
      <c r="B1027" s="5" t="s">
        <v>1018</v>
      </c>
      <c r="C1027" s="5" t="s">
        <v>2500</v>
      </c>
      <c r="D1027" s="16">
        <v>0.24347999999999992</v>
      </c>
      <c r="E1027" s="16">
        <v>0.25442000000000009</v>
      </c>
      <c r="F1027" s="17">
        <v>0.32379999999999987</v>
      </c>
      <c r="G1027" s="18">
        <v>720.6</v>
      </c>
      <c r="H1027" s="18">
        <v>291.33999999999997</v>
      </c>
      <c r="I1027" s="18">
        <v>720.6</v>
      </c>
      <c r="J1027" s="53">
        <v>226.44</v>
      </c>
    </row>
    <row r="1028" spans="1:10" ht="17.25" customHeight="1" x14ac:dyDescent="0.25">
      <c r="A1028" s="4">
        <v>1263</v>
      </c>
      <c r="B1028" s="5" t="s">
        <v>1017</v>
      </c>
      <c r="C1028" s="5" t="s">
        <v>2501</v>
      </c>
      <c r="D1028" s="16">
        <v>0.27973000000000003</v>
      </c>
      <c r="E1028" s="16">
        <v>0.26805000000000012</v>
      </c>
      <c r="F1028" s="17">
        <v>0.29469999999999996</v>
      </c>
      <c r="G1028" s="18">
        <v>776</v>
      </c>
      <c r="H1028" s="18">
        <v>335.95</v>
      </c>
      <c r="I1028" s="18">
        <v>776</v>
      </c>
      <c r="J1028" s="53">
        <v>256.42</v>
      </c>
    </row>
    <row r="1029" spans="1:10" ht="17.25" customHeight="1" x14ac:dyDescent="0.25">
      <c r="A1029" s="4">
        <v>598</v>
      </c>
      <c r="B1029" s="5" t="s">
        <v>489</v>
      </c>
      <c r="C1029" s="5" t="s">
        <v>2502</v>
      </c>
      <c r="D1029" s="16">
        <v>0.23242000000000007</v>
      </c>
      <c r="E1029" s="16">
        <v>0.26500000000000012</v>
      </c>
      <c r="F1029" s="17">
        <v>0.27810000000000001</v>
      </c>
      <c r="G1029" s="18">
        <v>507.43</v>
      </c>
      <c r="H1029" s="18">
        <v>177.84</v>
      </c>
      <c r="I1029" s="18">
        <v>507.43</v>
      </c>
      <c r="J1029" s="53">
        <v>86.17</v>
      </c>
    </row>
    <row r="1030" spans="1:10" ht="17.25" customHeight="1" x14ac:dyDescent="0.25">
      <c r="A1030" s="4">
        <v>588</v>
      </c>
      <c r="B1030" s="5" t="s">
        <v>474</v>
      </c>
      <c r="C1030" s="5" t="s">
        <v>2503</v>
      </c>
      <c r="D1030" s="16">
        <v>0.29909999999999992</v>
      </c>
      <c r="E1030" s="16">
        <v>0.26580000000000004</v>
      </c>
      <c r="F1030" s="17">
        <v>0.27649999999999997</v>
      </c>
      <c r="G1030" s="18">
        <v>667</v>
      </c>
      <c r="H1030" s="18">
        <v>270.14999999999998</v>
      </c>
      <c r="I1030" s="18">
        <v>667</v>
      </c>
      <c r="J1030" s="53">
        <v>116.16</v>
      </c>
    </row>
    <row r="1031" spans="1:10" ht="17.25" customHeight="1" x14ac:dyDescent="0.25">
      <c r="A1031" s="4">
        <v>825</v>
      </c>
      <c r="B1031" s="5" t="s">
        <v>630</v>
      </c>
      <c r="C1031" s="5" t="s">
        <v>2504</v>
      </c>
      <c r="D1031" s="16">
        <v>0.29193999999999987</v>
      </c>
      <c r="E1031" s="16">
        <v>0.2654399999999999</v>
      </c>
      <c r="F1031" s="17">
        <v>0.29810000000000003</v>
      </c>
      <c r="G1031" s="18">
        <v>618</v>
      </c>
      <c r="H1031" s="18">
        <v>192.25</v>
      </c>
      <c r="I1031" s="18">
        <v>618</v>
      </c>
      <c r="J1031" s="53">
        <v>144.21</v>
      </c>
    </row>
    <row r="1032" spans="1:10" ht="17.25" customHeight="1" x14ac:dyDescent="0.25">
      <c r="A1032" s="4">
        <v>632</v>
      </c>
      <c r="B1032" s="5" t="s">
        <v>519</v>
      </c>
      <c r="C1032" s="5" t="s">
        <v>2505</v>
      </c>
      <c r="D1032" s="16">
        <v>0.24242999999999992</v>
      </c>
      <c r="E1032" s="16">
        <v>0.25402999999999998</v>
      </c>
      <c r="F1032" s="17">
        <v>0.25235000000000007</v>
      </c>
      <c r="G1032" s="18">
        <v>583</v>
      </c>
      <c r="H1032" s="18">
        <v>251.85</v>
      </c>
      <c r="I1032" s="18">
        <v>583</v>
      </c>
      <c r="J1032" s="53">
        <v>101.19</v>
      </c>
    </row>
    <row r="1033" spans="1:10" ht="17.25" customHeight="1" x14ac:dyDescent="0.25">
      <c r="A1033" s="4">
        <v>1150</v>
      </c>
      <c r="B1033" s="5" t="s">
        <v>877</v>
      </c>
      <c r="C1033" s="5" t="s">
        <v>2506</v>
      </c>
      <c r="D1033" s="16">
        <v>0.26391000000000009</v>
      </c>
      <c r="E1033" s="16">
        <v>0.25217000000000001</v>
      </c>
      <c r="F1033" s="17">
        <v>0.28570000000000007</v>
      </c>
      <c r="G1033" s="18">
        <v>698</v>
      </c>
      <c r="H1033" s="18">
        <v>212</v>
      </c>
      <c r="I1033" s="18">
        <v>698</v>
      </c>
      <c r="J1033" s="53">
        <v>162.27000000000001</v>
      </c>
    </row>
    <row r="1034" spans="1:10" ht="17.25" customHeight="1" x14ac:dyDescent="0.25">
      <c r="A1034" s="4">
        <v>622</v>
      </c>
      <c r="B1034" s="5" t="s">
        <v>512</v>
      </c>
      <c r="C1034" s="5" t="s">
        <v>2507</v>
      </c>
      <c r="D1034" s="16">
        <v>0.28699999999999992</v>
      </c>
      <c r="E1034" s="16">
        <v>0.25553000000000003</v>
      </c>
      <c r="F1034" s="17">
        <v>0.37222</v>
      </c>
      <c r="G1034" s="18">
        <v>623</v>
      </c>
      <c r="H1034" s="18">
        <v>192.62</v>
      </c>
      <c r="I1034" s="18">
        <v>623</v>
      </c>
      <c r="J1034" s="53">
        <v>118.24</v>
      </c>
    </row>
    <row r="1035" spans="1:10" ht="17.25" customHeight="1" x14ac:dyDescent="0.25">
      <c r="A1035" s="6">
        <v>492</v>
      </c>
      <c r="B1035" s="5" t="s">
        <v>392</v>
      </c>
      <c r="C1035" s="5" t="s">
        <v>393</v>
      </c>
      <c r="D1035" s="16">
        <v>0.36139999999999994</v>
      </c>
      <c r="E1035" s="16">
        <v>0.24730999999999992</v>
      </c>
      <c r="F1035" s="17">
        <v>0.28570000000000007</v>
      </c>
      <c r="G1035" s="18">
        <v>719</v>
      </c>
      <c r="H1035" s="18">
        <v>278.91000000000003</v>
      </c>
      <c r="I1035" s="18">
        <v>719</v>
      </c>
      <c r="J1035" s="53">
        <v>123.11</v>
      </c>
    </row>
    <row r="1036" spans="1:10" ht="17.25" customHeight="1" x14ac:dyDescent="0.25">
      <c r="A1036" s="4">
        <v>125</v>
      </c>
      <c r="B1036" s="5" t="s">
        <v>1647</v>
      </c>
      <c r="C1036" s="5" t="s">
        <v>1648</v>
      </c>
      <c r="D1036" s="16">
        <v>0.31810000000000005</v>
      </c>
      <c r="E1036" s="16">
        <v>0.23655000000000004</v>
      </c>
      <c r="F1036" s="17">
        <v>0.27800000000000002</v>
      </c>
      <c r="G1036" s="18">
        <v>593</v>
      </c>
      <c r="H1036" s="18">
        <v>183.63</v>
      </c>
      <c r="I1036" s="18">
        <v>593</v>
      </c>
      <c r="J1036" s="53">
        <v>75.069999999999993</v>
      </c>
    </row>
    <row r="1037" spans="1:10" ht="17.25" customHeight="1" x14ac:dyDescent="0.25">
      <c r="A1037" s="4">
        <v>172</v>
      </c>
      <c r="B1037" s="5" t="s">
        <v>30</v>
      </c>
      <c r="C1037" s="5" t="s">
        <v>31</v>
      </c>
      <c r="D1037" s="16">
        <v>0.54197000000000006</v>
      </c>
      <c r="E1037" s="16">
        <v>0.27885999999999989</v>
      </c>
      <c r="F1037" s="17">
        <v>0.29994999999999994</v>
      </c>
      <c r="G1037" s="18">
        <v>680</v>
      </c>
      <c r="H1037" s="18">
        <v>286.14999999999998</v>
      </c>
      <c r="I1037" s="18">
        <v>680</v>
      </c>
      <c r="J1037" s="53">
        <v>227.09</v>
      </c>
    </row>
    <row r="1038" spans="1:10" ht="17.25" customHeight="1" x14ac:dyDescent="0.25">
      <c r="A1038" s="4">
        <v>35</v>
      </c>
      <c r="B1038" s="5" t="s">
        <v>1508</v>
      </c>
      <c r="C1038" s="5" t="s">
        <v>1509</v>
      </c>
      <c r="D1038" s="16">
        <v>0.35199999999999987</v>
      </c>
      <c r="E1038" s="16">
        <v>0.23917999999999995</v>
      </c>
      <c r="F1038" s="17">
        <v>0.2903</v>
      </c>
      <c r="G1038" s="18">
        <v>588.15</v>
      </c>
      <c r="H1038" s="18">
        <v>244.6</v>
      </c>
      <c r="I1038" s="18">
        <v>588.15</v>
      </c>
      <c r="J1038" s="53">
        <v>61.04</v>
      </c>
    </row>
    <row r="1039" spans="1:10" ht="17.25" customHeight="1" x14ac:dyDescent="0.25">
      <c r="A1039" s="4">
        <v>401</v>
      </c>
      <c r="B1039" s="5" t="s">
        <v>302</v>
      </c>
      <c r="C1039" s="5" t="s">
        <v>303</v>
      </c>
      <c r="D1039" s="16">
        <v>0.31372</v>
      </c>
      <c r="E1039" s="16">
        <v>0.25431999999999988</v>
      </c>
      <c r="F1039" s="17">
        <v>0.27360000000000007</v>
      </c>
      <c r="G1039" s="18">
        <v>724</v>
      </c>
      <c r="H1039" s="18">
        <v>249.15</v>
      </c>
      <c r="I1039" s="18">
        <v>724</v>
      </c>
      <c r="J1039" s="53">
        <v>99.13</v>
      </c>
    </row>
    <row r="1040" spans="1:10" ht="17.25" customHeight="1" x14ac:dyDescent="0.25">
      <c r="A1040" s="4">
        <v>206</v>
      </c>
      <c r="B1040" s="5" t="s">
        <v>72</v>
      </c>
      <c r="C1040" s="5" t="s">
        <v>74</v>
      </c>
      <c r="D1040" s="16">
        <v>0.27376</v>
      </c>
      <c r="E1040" s="16">
        <v>0.23567999999999989</v>
      </c>
      <c r="F1040" s="17">
        <v>0.27378999999999998</v>
      </c>
      <c r="G1040" s="18">
        <v>718</v>
      </c>
      <c r="H1040" s="18">
        <v>301.14999999999998</v>
      </c>
      <c r="I1040" s="18">
        <v>718</v>
      </c>
      <c r="J1040" s="53">
        <v>73.09</v>
      </c>
    </row>
    <row r="1041" spans="1:10" ht="17.25" customHeight="1" x14ac:dyDescent="0.25">
      <c r="A1041" s="4">
        <v>691</v>
      </c>
      <c r="B1041" s="5" t="s">
        <v>579</v>
      </c>
      <c r="C1041" s="5" t="s">
        <v>582</v>
      </c>
      <c r="D1041" s="16">
        <v>0.28753999999999991</v>
      </c>
      <c r="E1041" s="16">
        <v>0.24324000000000012</v>
      </c>
      <c r="F1041" s="17">
        <v>0.25374000000000008</v>
      </c>
      <c r="G1041" s="18">
        <v>701.55</v>
      </c>
      <c r="H1041" s="18">
        <v>216.15</v>
      </c>
      <c r="I1041" s="18">
        <v>701.55</v>
      </c>
      <c r="J1041" s="53">
        <v>107.15</v>
      </c>
    </row>
    <row r="1042" spans="1:10" ht="17.25" customHeight="1" x14ac:dyDescent="0.25">
      <c r="A1042" s="4">
        <v>741</v>
      </c>
      <c r="B1042" s="5" t="s">
        <v>1722</v>
      </c>
      <c r="C1042" s="5" t="s">
        <v>1723</v>
      </c>
      <c r="D1042" s="16">
        <v>0.2878099999999999</v>
      </c>
      <c r="E1042" s="16">
        <v>0.26541999999999999</v>
      </c>
      <c r="F1042" s="17">
        <v>0.28570000000000007</v>
      </c>
      <c r="G1042" s="18">
        <v>622</v>
      </c>
      <c r="H1042" s="18">
        <v>264.64999999999998</v>
      </c>
      <c r="I1042" s="18">
        <v>622</v>
      </c>
      <c r="J1042" s="53">
        <v>113.2</v>
      </c>
    </row>
    <row r="1043" spans="1:10" ht="17.25" customHeight="1" x14ac:dyDescent="0.25">
      <c r="A1043" s="4">
        <v>124</v>
      </c>
      <c r="B1043" s="5" t="s">
        <v>1644</v>
      </c>
      <c r="C1043" s="5" t="s">
        <v>1646</v>
      </c>
      <c r="D1043" s="16">
        <v>0.27472999999999992</v>
      </c>
      <c r="E1043" s="16">
        <v>0.22426999999999997</v>
      </c>
      <c r="F1043" s="17">
        <v>0.27469999999999994</v>
      </c>
      <c r="G1043" s="18">
        <v>721</v>
      </c>
      <c r="H1043" s="18">
        <v>269.35000000000002</v>
      </c>
      <c r="I1043" s="18">
        <v>721</v>
      </c>
      <c r="J1043" s="53">
        <v>59.07</v>
      </c>
    </row>
    <row r="1044" spans="1:10" ht="17.25" customHeight="1" x14ac:dyDescent="0.25">
      <c r="A1044" s="4">
        <v>372</v>
      </c>
      <c r="B1044" s="5" t="s">
        <v>268</v>
      </c>
      <c r="C1044" s="5" t="s">
        <v>269</v>
      </c>
      <c r="D1044" s="16">
        <v>0.28662999999999994</v>
      </c>
      <c r="E1044" s="16">
        <v>0.23564999999999992</v>
      </c>
      <c r="F1044" s="17">
        <v>0.34379000000000004</v>
      </c>
      <c r="G1044" s="18">
        <v>610</v>
      </c>
      <c r="H1044" s="18">
        <v>216.91</v>
      </c>
      <c r="I1044" s="18">
        <v>610</v>
      </c>
      <c r="J1044" s="53">
        <v>81.12</v>
      </c>
    </row>
    <row r="1045" spans="1:10" ht="17.25" customHeight="1" x14ac:dyDescent="0.25">
      <c r="A1045" s="4">
        <v>435</v>
      </c>
      <c r="B1045" s="5" t="s">
        <v>341</v>
      </c>
      <c r="C1045" s="5" t="s">
        <v>342</v>
      </c>
      <c r="D1045" s="16">
        <v>0.28581999999999996</v>
      </c>
      <c r="E1045" s="16">
        <v>0.27360000000000007</v>
      </c>
      <c r="F1045" s="17">
        <v>0.28600000000000003</v>
      </c>
      <c r="G1045" s="18">
        <v>550</v>
      </c>
      <c r="H1045" s="18">
        <v>183.15</v>
      </c>
      <c r="I1045" s="18">
        <v>550</v>
      </c>
      <c r="J1045" s="53">
        <v>85.15</v>
      </c>
    </row>
    <row r="1046" spans="1:10" ht="17.25" customHeight="1" x14ac:dyDescent="0.25">
      <c r="A1046" s="4">
        <v>1324</v>
      </c>
      <c r="B1046" s="5" t="s">
        <v>1088</v>
      </c>
      <c r="C1046" s="5" t="s">
        <v>2508</v>
      </c>
      <c r="D1046" s="16">
        <v>0.23777000000000004</v>
      </c>
      <c r="E1046" s="16">
        <v>0.2501199999999999</v>
      </c>
      <c r="F1046" s="17">
        <v>0.30649999999999999</v>
      </c>
      <c r="G1046" s="18">
        <v>755.93</v>
      </c>
      <c r="H1046" s="18">
        <v>305.33</v>
      </c>
      <c r="I1046" s="18">
        <v>755.93</v>
      </c>
      <c r="J1046" s="53">
        <v>268.52</v>
      </c>
    </row>
    <row r="1047" spans="1:10" ht="17.25" customHeight="1" x14ac:dyDescent="0.25">
      <c r="A1047" s="4">
        <v>943</v>
      </c>
      <c r="B1047" s="5" t="s">
        <v>664</v>
      </c>
      <c r="C1047" s="5" t="s">
        <v>2509</v>
      </c>
      <c r="D1047" s="16">
        <v>0.23364000000000007</v>
      </c>
      <c r="E1047" s="16">
        <v>0.25556000000000001</v>
      </c>
      <c r="F1047" s="17">
        <v>0.28570999999999991</v>
      </c>
      <c r="G1047" s="18">
        <v>595.65</v>
      </c>
      <c r="H1047" s="18">
        <v>219.63</v>
      </c>
      <c r="I1047" s="18">
        <v>595.65</v>
      </c>
      <c r="J1047" s="53">
        <v>128.25</v>
      </c>
    </row>
    <row r="1048" spans="1:10" ht="17.25" customHeight="1" x14ac:dyDescent="0.25">
      <c r="A1048" s="4">
        <v>913</v>
      </c>
      <c r="B1048" s="5" t="s">
        <v>1817</v>
      </c>
      <c r="C1048" s="5" t="s">
        <v>2510</v>
      </c>
      <c r="D1048" s="16">
        <v>0.28927999999999998</v>
      </c>
      <c r="E1048" s="16">
        <v>0.25818999999999992</v>
      </c>
      <c r="F1048" s="17">
        <v>0.31610000000000005</v>
      </c>
      <c r="G1048" s="18">
        <v>703</v>
      </c>
      <c r="H1048" s="18">
        <v>285.55</v>
      </c>
      <c r="I1048" s="18">
        <v>703</v>
      </c>
      <c r="J1048" s="53">
        <v>158.24</v>
      </c>
    </row>
    <row r="1049" spans="1:10" ht="17.25" customHeight="1" x14ac:dyDescent="0.25">
      <c r="A1049" s="4">
        <v>952</v>
      </c>
      <c r="B1049" s="5" t="s">
        <v>680</v>
      </c>
      <c r="C1049" s="5" t="s">
        <v>2511</v>
      </c>
      <c r="D1049" s="16">
        <v>0.28078000000000003</v>
      </c>
      <c r="E1049" s="16">
        <v>0.27027000000000001</v>
      </c>
      <c r="F1049" s="17">
        <v>0.30570000000000008</v>
      </c>
      <c r="G1049" s="18">
        <v>681</v>
      </c>
      <c r="H1049" s="18">
        <v>253.05</v>
      </c>
      <c r="I1049" s="18">
        <v>681</v>
      </c>
      <c r="J1049" s="53">
        <v>160.32</v>
      </c>
    </row>
    <row r="1050" spans="1:10" ht="17.25" customHeight="1" x14ac:dyDescent="0.25">
      <c r="A1050" s="4">
        <v>957</v>
      </c>
      <c r="B1050" s="5" t="s">
        <v>685</v>
      </c>
      <c r="C1050" s="5" t="s">
        <v>2512</v>
      </c>
      <c r="D1050" s="16">
        <v>0.2480500000000001</v>
      </c>
      <c r="E1050" s="16">
        <v>0.25300000000000011</v>
      </c>
      <c r="F1050" s="17">
        <v>0.28570999999999991</v>
      </c>
      <c r="G1050" s="18">
        <v>648</v>
      </c>
      <c r="H1050" s="18">
        <v>273.14999999999998</v>
      </c>
      <c r="I1050" s="18">
        <v>648</v>
      </c>
      <c r="J1050" s="53">
        <v>143.27000000000001</v>
      </c>
    </row>
    <row r="1051" spans="1:10" ht="17.25" customHeight="1" x14ac:dyDescent="0.25">
      <c r="A1051" s="4">
        <v>1237</v>
      </c>
      <c r="B1051" s="5" t="s">
        <v>984</v>
      </c>
      <c r="C1051" s="5" t="s">
        <v>2513</v>
      </c>
      <c r="D1051" s="16">
        <v>0.2587600000000001</v>
      </c>
      <c r="E1051" s="16">
        <v>0.21485599999999994</v>
      </c>
      <c r="F1051" s="17">
        <v>0.30140000000000011</v>
      </c>
      <c r="G1051" s="18">
        <v>741</v>
      </c>
      <c r="H1051" s="18">
        <v>249</v>
      </c>
      <c r="I1051" s="18">
        <v>741</v>
      </c>
      <c r="J1051" s="53">
        <v>204.35</v>
      </c>
    </row>
    <row r="1052" spans="1:10" ht="17.25" customHeight="1" x14ac:dyDescent="0.25">
      <c r="A1052" s="4" t="s">
        <v>2302</v>
      </c>
      <c r="B1052" s="5" t="s">
        <v>1066</v>
      </c>
      <c r="C1052" s="5" t="s">
        <v>2514</v>
      </c>
      <c r="D1052" s="16">
        <v>0.23836999999999997</v>
      </c>
      <c r="E1052" s="16">
        <v>0.25763000000000003</v>
      </c>
      <c r="F1052" s="17">
        <v>0.27400000000000002</v>
      </c>
      <c r="G1052" s="18">
        <v>745.26</v>
      </c>
      <c r="H1052" s="18">
        <v>301.33</v>
      </c>
      <c r="I1052" s="18">
        <v>745.26</v>
      </c>
      <c r="J1052" s="53">
        <v>254.49</v>
      </c>
    </row>
    <row r="1053" spans="1:10" ht="17.25" customHeight="1" x14ac:dyDescent="0.25">
      <c r="A1053" s="4">
        <v>841</v>
      </c>
      <c r="B1053" s="5" t="s">
        <v>633</v>
      </c>
      <c r="C1053" s="5" t="s">
        <v>2515</v>
      </c>
      <c r="D1053" s="16">
        <v>0.22806999999999999</v>
      </c>
      <c r="E1053" s="16">
        <v>0.2547600000000001</v>
      </c>
      <c r="F1053" s="17">
        <v>0.26940000000000008</v>
      </c>
      <c r="G1053" s="18">
        <v>568.83000000000004</v>
      </c>
      <c r="H1053" s="18">
        <v>216.38</v>
      </c>
      <c r="I1053" s="18">
        <v>568.83000000000004</v>
      </c>
      <c r="J1053" s="53">
        <v>114.23</v>
      </c>
    </row>
    <row r="1054" spans="1:10" ht="17.25" customHeight="1" x14ac:dyDescent="0.25">
      <c r="A1054" s="4">
        <v>827</v>
      </c>
      <c r="B1054" s="5" t="s">
        <v>630</v>
      </c>
      <c r="C1054" s="5" t="s">
        <v>2516</v>
      </c>
      <c r="D1054" s="16">
        <v>0.29231000000000007</v>
      </c>
      <c r="E1054" s="16">
        <v>0.26676000000000011</v>
      </c>
      <c r="F1054" s="17">
        <v>0.2802</v>
      </c>
      <c r="G1054" s="18">
        <v>692</v>
      </c>
      <c r="H1054" s="18">
        <v>289.64999999999998</v>
      </c>
      <c r="I1054" s="18">
        <v>692</v>
      </c>
      <c r="J1054" s="53">
        <v>144.21</v>
      </c>
    </row>
    <row r="1055" spans="1:10" ht="17.25" customHeight="1" x14ac:dyDescent="0.25">
      <c r="A1055" s="4">
        <v>914</v>
      </c>
      <c r="B1055" s="5" t="s">
        <v>1817</v>
      </c>
      <c r="C1055" s="5" t="s">
        <v>2517</v>
      </c>
      <c r="D1055" s="16">
        <v>0.28929000000000005</v>
      </c>
      <c r="E1055" s="16">
        <v>0.26347999999999994</v>
      </c>
      <c r="F1055" s="17">
        <v>0.30888000000000004</v>
      </c>
      <c r="G1055" s="18">
        <v>645</v>
      </c>
      <c r="H1055" s="18">
        <v>234.05</v>
      </c>
      <c r="I1055" s="18">
        <v>645</v>
      </c>
      <c r="J1055" s="53">
        <v>158.24</v>
      </c>
    </row>
    <row r="1056" spans="1:10" ht="17.25" customHeight="1" x14ac:dyDescent="0.25">
      <c r="A1056" s="4">
        <v>859</v>
      </c>
      <c r="B1056" s="5" t="s">
        <v>1764</v>
      </c>
      <c r="C1056" s="5" t="s">
        <v>2518</v>
      </c>
      <c r="D1056" s="16">
        <v>0.28242999999999996</v>
      </c>
      <c r="E1056" s="16">
        <v>0.27171000000000012</v>
      </c>
      <c r="F1056" s="17">
        <v>0.29980000000000007</v>
      </c>
      <c r="G1056" s="18">
        <v>664</v>
      </c>
      <c r="H1056" s="18">
        <v>223.95</v>
      </c>
      <c r="I1056" s="18">
        <v>664</v>
      </c>
      <c r="J1056" s="53">
        <v>146.29</v>
      </c>
    </row>
    <row r="1057" spans="1:10" ht="17.25" customHeight="1" x14ac:dyDescent="0.25">
      <c r="A1057" s="4">
        <v>868</v>
      </c>
      <c r="B1057" s="5" t="s">
        <v>1771</v>
      </c>
      <c r="C1057" s="5" t="s">
        <v>2519</v>
      </c>
      <c r="D1057" s="16">
        <v>0.25035000000000007</v>
      </c>
      <c r="E1057" s="16">
        <v>0.25550000000000006</v>
      </c>
      <c r="F1057" s="17">
        <v>0.28570999999999991</v>
      </c>
      <c r="G1057" s="18">
        <v>627</v>
      </c>
      <c r="H1057" s="18">
        <v>272.75</v>
      </c>
      <c r="I1057" s="18">
        <v>627</v>
      </c>
      <c r="J1057" s="53">
        <v>129.24</v>
      </c>
    </row>
    <row r="1058" spans="1:10" ht="17.25" customHeight="1" x14ac:dyDescent="0.25">
      <c r="A1058" s="4">
        <v>1213</v>
      </c>
      <c r="B1058" s="5" t="s">
        <v>954</v>
      </c>
      <c r="C1058" s="5" t="s">
        <v>2520</v>
      </c>
      <c r="D1058" s="16">
        <v>0.27073999999999998</v>
      </c>
      <c r="E1058" s="16">
        <v>0.25617000000000001</v>
      </c>
      <c r="F1058" s="17">
        <v>0.32630000000000003</v>
      </c>
      <c r="G1058" s="18">
        <v>729</v>
      </c>
      <c r="H1058" s="18">
        <v>237.15</v>
      </c>
      <c r="I1058" s="18">
        <v>729</v>
      </c>
      <c r="J1058" s="53">
        <v>190.32</v>
      </c>
    </row>
    <row r="1059" spans="1:10" ht="17.25" customHeight="1" x14ac:dyDescent="0.25">
      <c r="A1059" s="4">
        <v>1323</v>
      </c>
      <c r="B1059" s="5" t="s">
        <v>1086</v>
      </c>
      <c r="C1059" s="5" t="s">
        <v>1087</v>
      </c>
      <c r="D1059" s="16">
        <v>0.27638000000000007</v>
      </c>
      <c r="E1059" s="16">
        <v>0.26266999999999996</v>
      </c>
      <c r="F1059" s="17">
        <v>0.32160000000000011</v>
      </c>
      <c r="G1059" s="18">
        <v>810</v>
      </c>
      <c r="H1059" s="18">
        <v>341.23</v>
      </c>
      <c r="I1059" s="18">
        <v>810</v>
      </c>
      <c r="J1059" s="53">
        <v>298.5</v>
      </c>
    </row>
    <row r="1060" spans="1:10" ht="17.25" customHeight="1" x14ac:dyDescent="0.25">
      <c r="A1060" s="4">
        <v>1315</v>
      </c>
      <c r="B1060" s="5" t="s">
        <v>1075</v>
      </c>
      <c r="C1060" s="5" t="s">
        <v>1076</v>
      </c>
      <c r="D1060" s="16">
        <v>0.22100000000000009</v>
      </c>
      <c r="E1060" s="16">
        <v>0.20399999999999996</v>
      </c>
      <c r="F1060" s="17">
        <v>0.28570999999999991</v>
      </c>
      <c r="G1060" s="18">
        <v>802.3</v>
      </c>
      <c r="H1060" s="18">
        <v>252.16</v>
      </c>
      <c r="I1060" s="18">
        <v>802.3</v>
      </c>
      <c r="J1060" s="53">
        <v>318.62</v>
      </c>
    </row>
    <row r="1061" spans="1:10" ht="17.25" customHeight="1" x14ac:dyDescent="0.25">
      <c r="A1061" s="4">
        <v>1239</v>
      </c>
      <c r="B1061" s="5" t="s">
        <v>985</v>
      </c>
      <c r="C1061" s="5" t="s">
        <v>986</v>
      </c>
      <c r="D1061" s="16">
        <v>0.29109000000000007</v>
      </c>
      <c r="E1061" s="16">
        <v>0.25459999999999994</v>
      </c>
      <c r="F1061" s="17">
        <v>0.29244000000000003</v>
      </c>
      <c r="G1061" s="18">
        <v>757</v>
      </c>
      <c r="H1061" s="18">
        <v>279.14999999999998</v>
      </c>
      <c r="I1061" s="18">
        <v>757</v>
      </c>
      <c r="J1061" s="53">
        <v>220.35</v>
      </c>
    </row>
    <row r="1062" spans="1:10" ht="17.25" customHeight="1" x14ac:dyDescent="0.25">
      <c r="A1062" s="4">
        <v>1173</v>
      </c>
      <c r="B1062" s="5" t="s">
        <v>897</v>
      </c>
      <c r="C1062" s="5" t="s">
        <v>902</v>
      </c>
      <c r="D1062" s="16">
        <v>0.23280000000000012</v>
      </c>
      <c r="E1062" s="16">
        <v>0.22500000000000009</v>
      </c>
      <c r="F1062" s="17">
        <v>0.28570999999999991</v>
      </c>
      <c r="G1062" s="18">
        <v>733.68</v>
      </c>
      <c r="H1062" s="18">
        <v>259.16000000000003</v>
      </c>
      <c r="I1062" s="18">
        <v>733.68</v>
      </c>
      <c r="J1062" s="53">
        <v>202.4</v>
      </c>
    </row>
    <row r="1063" spans="1:10" ht="17.25" customHeight="1" x14ac:dyDescent="0.25">
      <c r="A1063" s="4">
        <v>1245</v>
      </c>
      <c r="B1063" s="5" t="s">
        <v>995</v>
      </c>
      <c r="C1063" s="5" t="s">
        <v>2521</v>
      </c>
      <c r="D1063" s="16">
        <v>0.24137000000000008</v>
      </c>
      <c r="E1063" s="16">
        <v>0.25374999999999992</v>
      </c>
      <c r="F1063" s="17">
        <v>0.31579000000000002</v>
      </c>
      <c r="G1063" s="18">
        <v>706.8</v>
      </c>
      <c r="H1063" s="18">
        <v>283.11</v>
      </c>
      <c r="I1063" s="18">
        <v>706.8</v>
      </c>
      <c r="J1063" s="53">
        <v>212.41</v>
      </c>
    </row>
    <row r="1064" spans="1:10" ht="17.25" customHeight="1" x14ac:dyDescent="0.25">
      <c r="A1064" s="4">
        <v>440</v>
      </c>
      <c r="B1064" s="5" t="s">
        <v>345</v>
      </c>
      <c r="C1064" s="5" t="s">
        <v>2522</v>
      </c>
      <c r="D1064" s="16">
        <v>0.23143000000000002</v>
      </c>
      <c r="E1064" s="16">
        <v>0.26923000000000008</v>
      </c>
      <c r="F1064" s="17">
        <v>0.28215000000000012</v>
      </c>
      <c r="G1064" s="18">
        <v>469.65</v>
      </c>
      <c r="H1064" s="18">
        <v>143.41999999999999</v>
      </c>
      <c r="I1064" s="18">
        <v>469.65</v>
      </c>
      <c r="J1064" s="53">
        <v>72.150000000000006</v>
      </c>
    </row>
    <row r="1065" spans="1:10" ht="17.25" customHeight="1" x14ac:dyDescent="0.25">
      <c r="A1065" s="4">
        <v>736</v>
      </c>
      <c r="B1065" s="5" t="s">
        <v>1715</v>
      </c>
      <c r="C1065" s="5" t="s">
        <v>2523</v>
      </c>
      <c r="D1065" s="16">
        <v>0.29458999999999991</v>
      </c>
      <c r="E1065" s="16">
        <v>0.26479999999999992</v>
      </c>
      <c r="F1065" s="17">
        <v>0.29320000000000013</v>
      </c>
      <c r="G1065" s="18">
        <v>598</v>
      </c>
      <c r="H1065" s="18">
        <v>202.35</v>
      </c>
      <c r="I1065" s="18">
        <v>598</v>
      </c>
      <c r="J1065" s="53">
        <v>130.18</v>
      </c>
    </row>
    <row r="1066" spans="1:10" ht="17.25" customHeight="1" x14ac:dyDescent="0.25">
      <c r="A1066" s="4">
        <v>577</v>
      </c>
      <c r="B1066" s="5" t="s">
        <v>474</v>
      </c>
      <c r="C1066" s="5" t="s">
        <v>2524</v>
      </c>
      <c r="D1066" s="16">
        <v>0.29848000000000008</v>
      </c>
      <c r="E1066" s="16">
        <v>0.25774999999999992</v>
      </c>
      <c r="F1066" s="17">
        <v>0.30859999999999999</v>
      </c>
      <c r="G1066" s="18">
        <v>576</v>
      </c>
      <c r="H1066" s="18">
        <v>199.65</v>
      </c>
      <c r="I1066" s="18">
        <v>576</v>
      </c>
      <c r="J1066" s="53">
        <v>116.16</v>
      </c>
    </row>
    <row r="1067" spans="1:10" ht="17.25" customHeight="1" x14ac:dyDescent="0.25">
      <c r="A1067" s="4">
        <v>459</v>
      </c>
      <c r="B1067" s="5" t="s">
        <v>366</v>
      </c>
      <c r="C1067" s="5" t="s">
        <v>2525</v>
      </c>
      <c r="D1067" s="16">
        <v>0.2903</v>
      </c>
      <c r="E1067" s="16">
        <v>0.27123000000000008</v>
      </c>
      <c r="F1067" s="17">
        <v>0.30130999999999997</v>
      </c>
      <c r="G1067" s="18">
        <v>598</v>
      </c>
      <c r="H1067" s="18">
        <v>197.45</v>
      </c>
      <c r="I1067" s="18">
        <v>598</v>
      </c>
      <c r="J1067" s="53">
        <v>104.21</v>
      </c>
    </row>
    <row r="1068" spans="1:10" ht="17.25" customHeight="1" x14ac:dyDescent="0.25">
      <c r="A1068" s="4">
        <v>463</v>
      </c>
      <c r="B1068" s="5" t="s">
        <v>370</v>
      </c>
      <c r="C1068" s="5" t="s">
        <v>2526</v>
      </c>
      <c r="D1068" s="16">
        <v>0.23880999999999997</v>
      </c>
      <c r="E1068" s="16">
        <v>0.24876000000000009</v>
      </c>
      <c r="F1068" s="17">
        <v>0.25190000000000001</v>
      </c>
      <c r="G1068" s="18">
        <v>555</v>
      </c>
      <c r="H1068" s="18">
        <v>218.15</v>
      </c>
      <c r="I1068" s="18">
        <v>555</v>
      </c>
      <c r="J1068" s="53">
        <v>87.16</v>
      </c>
    </row>
    <row r="1069" spans="1:10" ht="17.25" customHeight="1" x14ac:dyDescent="0.25">
      <c r="A1069" s="4">
        <v>1108</v>
      </c>
      <c r="B1069" s="5" t="s">
        <v>825</v>
      </c>
      <c r="C1069" s="5" t="s">
        <v>2527</v>
      </c>
      <c r="D1069" s="16">
        <v>0.26967000000000008</v>
      </c>
      <c r="E1069" s="16">
        <v>0.25746000000000002</v>
      </c>
      <c r="F1069" s="17">
        <v>0.28129999999999988</v>
      </c>
      <c r="G1069" s="18">
        <v>679.9</v>
      </c>
      <c r="H1069" s="18">
        <v>198.15</v>
      </c>
      <c r="I1069" s="18">
        <v>679.9</v>
      </c>
      <c r="J1069" s="53">
        <v>148.24</v>
      </c>
    </row>
    <row r="1070" spans="1:10" ht="17.25" customHeight="1" x14ac:dyDescent="0.25">
      <c r="A1070" s="4">
        <v>214</v>
      </c>
      <c r="B1070" s="5" t="s">
        <v>80</v>
      </c>
      <c r="C1070" s="5" t="s">
        <v>2528</v>
      </c>
      <c r="D1070" s="16">
        <v>0.27683999999999997</v>
      </c>
      <c r="E1070" s="16">
        <v>0.27200000000000002</v>
      </c>
      <c r="F1070" s="17">
        <v>0.24940000000000007</v>
      </c>
      <c r="G1070" s="18">
        <v>536.71</v>
      </c>
      <c r="H1070" s="18">
        <v>146.94999999999999</v>
      </c>
      <c r="I1070" s="18">
        <v>536.71</v>
      </c>
      <c r="J1070" s="53">
        <v>60.09</v>
      </c>
    </row>
    <row r="1071" spans="1:10" ht="17.25" customHeight="1" x14ac:dyDescent="0.25">
      <c r="A1071" s="4">
        <v>184</v>
      </c>
      <c r="B1071" s="5" t="s">
        <v>43</v>
      </c>
      <c r="C1071" s="5" t="s">
        <v>2529</v>
      </c>
      <c r="D1071" s="16">
        <v>0.26909000000000005</v>
      </c>
      <c r="E1071" s="16">
        <v>0.24390000000000001</v>
      </c>
      <c r="F1071" s="17">
        <v>0.28600000000000003</v>
      </c>
      <c r="G1071" s="18">
        <v>496</v>
      </c>
      <c r="H1071" s="18">
        <v>193.15</v>
      </c>
      <c r="I1071" s="18">
        <v>496</v>
      </c>
      <c r="J1071" s="53">
        <v>58.08</v>
      </c>
    </row>
    <row r="1072" spans="1:10" ht="17.25" customHeight="1" x14ac:dyDescent="0.25">
      <c r="A1072" s="4">
        <v>420</v>
      </c>
      <c r="B1072" s="5" t="s">
        <v>320</v>
      </c>
      <c r="C1072" s="5" t="s">
        <v>2530</v>
      </c>
      <c r="D1072" s="16">
        <v>0.29498999999999986</v>
      </c>
      <c r="E1072" s="16">
        <v>0.25600000000000001</v>
      </c>
      <c r="F1072" s="17">
        <v>0.27829999999999999</v>
      </c>
      <c r="G1072" s="18">
        <v>549.4</v>
      </c>
      <c r="H1072" s="18">
        <v>178.15</v>
      </c>
      <c r="I1072" s="18">
        <v>549.4</v>
      </c>
      <c r="J1072" s="53">
        <v>102.13</v>
      </c>
    </row>
    <row r="1073" spans="1:10" ht="17.25" customHeight="1" x14ac:dyDescent="0.25">
      <c r="A1073" s="6">
        <v>540</v>
      </c>
      <c r="B1073" s="5" t="s">
        <v>439</v>
      </c>
      <c r="C1073" s="5" t="s">
        <v>2531</v>
      </c>
      <c r="D1073" s="16">
        <v>0.30210999999999988</v>
      </c>
      <c r="E1073" s="16">
        <v>0.25954999999999995</v>
      </c>
      <c r="F1073" s="17">
        <v>0.28570999999999991</v>
      </c>
      <c r="G1073" s="18">
        <v>569</v>
      </c>
      <c r="H1073" s="18">
        <v>273.14999999999998</v>
      </c>
      <c r="I1073" s="18">
        <v>569</v>
      </c>
      <c r="J1073" s="53">
        <v>114.14</v>
      </c>
    </row>
    <row r="1074" spans="1:10" ht="17.25" customHeight="1" x14ac:dyDescent="0.25">
      <c r="A1074" s="4">
        <v>198</v>
      </c>
      <c r="B1074" s="5" t="s">
        <v>2291</v>
      </c>
      <c r="C1074" s="5" t="s">
        <v>2532</v>
      </c>
      <c r="D1074" s="16">
        <v>0.31421999999999994</v>
      </c>
      <c r="E1074" s="16">
        <v>0.27364999999999995</v>
      </c>
      <c r="F1074" s="17">
        <v>0.28570000000000007</v>
      </c>
      <c r="G1074" s="18">
        <v>503.15</v>
      </c>
      <c r="H1074" s="18">
        <v>150.35</v>
      </c>
      <c r="I1074" s="18">
        <v>503.15</v>
      </c>
      <c r="J1074" s="53">
        <v>78.540000000000006</v>
      </c>
    </row>
    <row r="1075" spans="1:10" ht="17.25" customHeight="1" x14ac:dyDescent="0.25">
      <c r="A1075" s="4">
        <v>307</v>
      </c>
      <c r="B1075" s="5" t="s">
        <v>185</v>
      </c>
      <c r="C1075" s="5" t="s">
        <v>2533</v>
      </c>
      <c r="D1075" s="16">
        <v>0.30847999999999987</v>
      </c>
      <c r="E1075" s="16">
        <v>0.26134000000000013</v>
      </c>
      <c r="F1075" s="17">
        <v>0.28000000000000003</v>
      </c>
      <c r="G1075" s="18">
        <v>538</v>
      </c>
      <c r="H1075" s="18">
        <v>180.25</v>
      </c>
      <c r="I1075" s="18">
        <v>538</v>
      </c>
      <c r="J1075" s="53">
        <v>88.1</v>
      </c>
    </row>
    <row r="1076" spans="1:10" ht="17.25" customHeight="1" x14ac:dyDescent="0.25">
      <c r="A1076" s="4">
        <v>202</v>
      </c>
      <c r="B1076" s="5" t="s">
        <v>2292</v>
      </c>
      <c r="C1076" s="5" t="s">
        <v>2534</v>
      </c>
      <c r="D1076" s="16">
        <v>0.58618999999999999</v>
      </c>
      <c r="E1076" s="16">
        <v>0.26129999999999987</v>
      </c>
      <c r="F1076" s="17">
        <v>0.30120999999999998</v>
      </c>
      <c r="G1076" s="18">
        <v>593</v>
      </c>
      <c r="H1076" s="18">
        <v>171.85</v>
      </c>
      <c r="I1076" s="18">
        <v>593</v>
      </c>
      <c r="J1076" s="53">
        <v>169.99</v>
      </c>
    </row>
    <row r="1077" spans="1:10" ht="17.25" customHeight="1" x14ac:dyDescent="0.25">
      <c r="A1077" s="4">
        <v>701</v>
      </c>
      <c r="B1077" s="5" t="s">
        <v>591</v>
      </c>
      <c r="C1077" s="5" t="s">
        <v>2535</v>
      </c>
      <c r="D1077" s="16">
        <v>0.29276999999999997</v>
      </c>
      <c r="E1077" s="16">
        <v>0.25580000000000003</v>
      </c>
      <c r="F1077" s="17">
        <v>0.28570999999999991</v>
      </c>
      <c r="G1077" s="18">
        <v>599</v>
      </c>
      <c r="H1077" s="18">
        <v>223</v>
      </c>
      <c r="I1077" s="18">
        <v>599</v>
      </c>
      <c r="J1077" s="53">
        <v>128.16999999999999</v>
      </c>
    </row>
    <row r="1078" spans="1:10" ht="17.25" customHeight="1" x14ac:dyDescent="0.25">
      <c r="A1078" s="4">
        <v>737</v>
      </c>
      <c r="B1078" s="5" t="s">
        <v>1715</v>
      </c>
      <c r="C1078" s="5" t="s">
        <v>2536</v>
      </c>
      <c r="D1078" s="16">
        <v>0.29457</v>
      </c>
      <c r="E1078" s="16">
        <v>0.26444000000000001</v>
      </c>
      <c r="F1078" s="17">
        <v>0.29790000000000005</v>
      </c>
      <c r="G1078" s="18">
        <v>594</v>
      </c>
      <c r="H1078" s="18">
        <v>177.95</v>
      </c>
      <c r="I1078" s="18">
        <v>594</v>
      </c>
      <c r="J1078" s="53">
        <v>130.18</v>
      </c>
    </row>
    <row r="1079" spans="1:10" ht="17.25" customHeight="1" x14ac:dyDescent="0.25">
      <c r="A1079" s="4">
        <v>584</v>
      </c>
      <c r="B1079" s="5" t="s">
        <v>474</v>
      </c>
      <c r="C1079" s="5" t="s">
        <v>2537</v>
      </c>
      <c r="D1079" s="16">
        <v>0.29859999999999998</v>
      </c>
      <c r="E1079" s="16">
        <v>0.26150000000000007</v>
      </c>
      <c r="F1079" s="17">
        <v>0.30231999999999992</v>
      </c>
      <c r="G1079" s="18">
        <v>578</v>
      </c>
      <c r="H1079" s="18">
        <v>197.25</v>
      </c>
      <c r="I1079" s="18">
        <v>578</v>
      </c>
      <c r="J1079" s="53">
        <v>116.16</v>
      </c>
    </row>
    <row r="1080" spans="1:10" ht="17.25" customHeight="1" x14ac:dyDescent="0.25">
      <c r="A1080" s="4">
        <v>223</v>
      </c>
      <c r="B1080" s="5" t="s">
        <v>93</v>
      </c>
      <c r="C1080" s="5" t="s">
        <v>2538</v>
      </c>
      <c r="D1080" s="16">
        <v>0.22763</v>
      </c>
      <c r="E1080" s="16">
        <v>0.23877999999999999</v>
      </c>
      <c r="F1080" s="17">
        <v>0.24609999999999999</v>
      </c>
      <c r="G1080" s="18">
        <v>496.95</v>
      </c>
      <c r="H1080" s="18">
        <v>190.15</v>
      </c>
      <c r="I1080" s="18">
        <v>496.95</v>
      </c>
      <c r="J1080" s="53">
        <v>59.11</v>
      </c>
    </row>
    <row r="1081" spans="1:10" ht="17.25" customHeight="1" x14ac:dyDescent="0.25">
      <c r="A1081" s="4">
        <v>894</v>
      </c>
      <c r="B1081" s="5" t="s">
        <v>1795</v>
      </c>
      <c r="C1081" s="5" t="s">
        <v>2539</v>
      </c>
      <c r="D1081" s="16">
        <v>0.27349000000000001</v>
      </c>
      <c r="E1081" s="16">
        <v>0.25269999999999992</v>
      </c>
      <c r="F1081" s="17">
        <v>0.29130000000000011</v>
      </c>
      <c r="G1081" s="18">
        <v>638.38</v>
      </c>
      <c r="H1081" s="18">
        <v>173.67</v>
      </c>
      <c r="I1081" s="18">
        <v>638.38</v>
      </c>
      <c r="J1081" s="53">
        <v>120.19</v>
      </c>
    </row>
    <row r="1082" spans="1:10" ht="17.25" customHeight="1" x14ac:dyDescent="0.25">
      <c r="A1082" s="4">
        <v>909</v>
      </c>
      <c r="B1082" s="5" t="s">
        <v>1810</v>
      </c>
      <c r="C1082" s="5" t="s">
        <v>2540</v>
      </c>
      <c r="D1082" s="16">
        <v>0.26468999999999987</v>
      </c>
      <c r="E1082" s="16">
        <v>0.26693999999999996</v>
      </c>
      <c r="F1082" s="17">
        <v>0.30020000000000002</v>
      </c>
      <c r="G1082" s="18">
        <v>639.15</v>
      </c>
      <c r="H1082" s="18">
        <v>178.28</v>
      </c>
      <c r="I1082" s="18">
        <v>639.15</v>
      </c>
      <c r="J1082" s="53">
        <v>126.24</v>
      </c>
    </row>
    <row r="1083" spans="1:10" ht="17.25" customHeight="1" x14ac:dyDescent="0.25">
      <c r="A1083" s="4">
        <v>818</v>
      </c>
      <c r="B1083" s="5" t="s">
        <v>617</v>
      </c>
      <c r="C1083" s="5" t="s">
        <v>2541</v>
      </c>
      <c r="D1083" s="16">
        <v>0.26405999999999996</v>
      </c>
      <c r="E1083" s="16">
        <v>0.27005999999999997</v>
      </c>
      <c r="F1083" s="17">
        <v>0.29031999999999991</v>
      </c>
      <c r="G1083" s="18">
        <v>603</v>
      </c>
      <c r="H1083" s="18">
        <v>155.82</v>
      </c>
      <c r="I1083" s="18">
        <v>603</v>
      </c>
      <c r="J1083" s="53">
        <v>112.21</v>
      </c>
    </row>
    <row r="1084" spans="1:10" ht="17.25" customHeight="1" x14ac:dyDescent="0.25">
      <c r="A1084" s="4">
        <v>220</v>
      </c>
      <c r="B1084" s="5" t="s">
        <v>90</v>
      </c>
      <c r="C1084" s="5" t="s">
        <v>2542</v>
      </c>
      <c r="D1084" s="16">
        <v>0.29987000000000008</v>
      </c>
      <c r="E1084" s="16">
        <v>0.27903000000000011</v>
      </c>
      <c r="F1084" s="17">
        <v>0.26920000000000011</v>
      </c>
      <c r="G1084" s="18">
        <v>536</v>
      </c>
      <c r="H1084" s="18">
        <v>159.94999999999999</v>
      </c>
      <c r="I1084" s="18">
        <v>536</v>
      </c>
      <c r="J1084" s="53">
        <v>76.16</v>
      </c>
    </row>
    <row r="1085" spans="1:10" ht="17.25" customHeight="1" x14ac:dyDescent="0.25">
      <c r="A1085" s="4">
        <v>1222</v>
      </c>
      <c r="B1085" s="5" t="s">
        <v>964</v>
      </c>
      <c r="C1085" s="5" t="s">
        <v>2543</v>
      </c>
      <c r="D1085" s="16">
        <v>0.23555999999999999</v>
      </c>
      <c r="E1085" s="16">
        <v>0.25587999999999989</v>
      </c>
      <c r="F1085" s="17">
        <v>0.27347999999999995</v>
      </c>
      <c r="G1085" s="18">
        <v>692.4</v>
      </c>
      <c r="H1085" s="18">
        <v>279.01</v>
      </c>
      <c r="I1085" s="18">
        <v>692.4</v>
      </c>
      <c r="J1085" s="53">
        <v>198.39</v>
      </c>
    </row>
    <row r="1086" spans="1:10" ht="17.25" customHeight="1" x14ac:dyDescent="0.25">
      <c r="A1086" s="4">
        <v>1221</v>
      </c>
      <c r="B1086" s="5" t="s">
        <v>963</v>
      </c>
      <c r="C1086" s="5" t="s">
        <v>2544</v>
      </c>
      <c r="D1086" s="16">
        <v>0.28169</v>
      </c>
      <c r="E1086" s="16">
        <v>0.26964999999999995</v>
      </c>
      <c r="F1086" s="17">
        <v>0.28360000000000007</v>
      </c>
      <c r="G1086" s="18">
        <v>756</v>
      </c>
      <c r="H1086" s="18">
        <v>327.55</v>
      </c>
      <c r="I1086" s="18">
        <v>756</v>
      </c>
      <c r="J1086" s="53">
        <v>228.37</v>
      </c>
    </row>
    <row r="1087" spans="1:10" ht="17.25" customHeight="1" x14ac:dyDescent="0.25">
      <c r="A1087" s="4">
        <v>1194</v>
      </c>
      <c r="B1087" s="5" t="s">
        <v>930</v>
      </c>
      <c r="C1087" s="5" t="s">
        <v>2545</v>
      </c>
      <c r="D1087" s="16">
        <v>0.23767000000000005</v>
      </c>
      <c r="E1087" s="16">
        <v>0.25039999999999996</v>
      </c>
      <c r="F1087" s="17">
        <v>0.31200000000000006</v>
      </c>
      <c r="G1087" s="18">
        <v>675.8</v>
      </c>
      <c r="H1087" s="18">
        <v>267.76</v>
      </c>
      <c r="I1087" s="18">
        <v>675.8</v>
      </c>
      <c r="J1087" s="53">
        <v>184.36</v>
      </c>
    </row>
    <row r="1088" spans="1:10" ht="17.25" customHeight="1" x14ac:dyDescent="0.25">
      <c r="A1088" s="4">
        <v>1317</v>
      </c>
      <c r="B1088" s="5" t="s">
        <v>1078</v>
      </c>
      <c r="C1088" s="5" t="s">
        <v>2546</v>
      </c>
      <c r="D1088" s="16">
        <v>0.24571000000000009</v>
      </c>
      <c r="E1088" s="16">
        <v>0.23487999999999998</v>
      </c>
      <c r="F1088" s="17">
        <v>0.31980999999999993</v>
      </c>
      <c r="G1088" s="18">
        <v>783</v>
      </c>
      <c r="H1088" s="18">
        <v>283.14999999999998</v>
      </c>
      <c r="I1088" s="18">
        <v>783</v>
      </c>
      <c r="J1088" s="53">
        <v>260.45999999999998</v>
      </c>
    </row>
    <row r="1089" spans="1:10" ht="17.25" customHeight="1" x14ac:dyDescent="0.25">
      <c r="A1089" s="4">
        <v>1116</v>
      </c>
      <c r="B1089" s="5" t="s">
        <v>837</v>
      </c>
      <c r="C1089" s="5" t="s">
        <v>2547</v>
      </c>
      <c r="D1089" s="16">
        <v>0.23143000000000002</v>
      </c>
      <c r="E1089" s="16">
        <v>0.24998999999999993</v>
      </c>
      <c r="F1089" s="17">
        <v>0.28570999999999991</v>
      </c>
      <c r="G1089" s="18">
        <v>638.76</v>
      </c>
      <c r="H1089" s="18">
        <v>247.57</v>
      </c>
      <c r="I1089" s="18">
        <v>638.76</v>
      </c>
      <c r="J1089" s="53">
        <v>156.31</v>
      </c>
    </row>
    <row r="1090" spans="1:10" ht="17.25" customHeight="1" x14ac:dyDescent="0.25">
      <c r="A1090" s="4">
        <v>1274</v>
      </c>
      <c r="B1090" s="5" t="s">
        <v>1025</v>
      </c>
      <c r="C1090" s="5" t="s">
        <v>2548</v>
      </c>
      <c r="D1090" s="16">
        <v>0.25543000000000005</v>
      </c>
      <c r="E1090" s="16">
        <v>0.24601000000000006</v>
      </c>
      <c r="F1090" s="17">
        <v>0.30840000000000001</v>
      </c>
      <c r="G1090" s="18">
        <v>764</v>
      </c>
      <c r="H1090" s="18">
        <v>268</v>
      </c>
      <c r="I1090" s="18">
        <v>764</v>
      </c>
      <c r="J1090" s="53">
        <v>232.4</v>
      </c>
    </row>
    <row r="1091" spans="1:10" ht="17.25" customHeight="1" x14ac:dyDescent="0.25">
      <c r="A1091" s="4">
        <v>495</v>
      </c>
      <c r="B1091" s="5" t="s">
        <v>2294</v>
      </c>
      <c r="C1091" s="5" t="s">
        <v>2549</v>
      </c>
      <c r="D1091" s="16">
        <v>0.35054000000000007</v>
      </c>
      <c r="E1091" s="16">
        <v>0.24214000000000002</v>
      </c>
      <c r="F1091" s="17">
        <v>0.26039999999999996</v>
      </c>
      <c r="G1091" s="18">
        <v>722</v>
      </c>
      <c r="H1091" s="18">
        <v>481.99</v>
      </c>
      <c r="I1091" s="18">
        <v>722</v>
      </c>
      <c r="J1091" s="53">
        <v>127.57</v>
      </c>
    </row>
    <row r="1092" spans="1:10" ht="17.25" customHeight="1" x14ac:dyDescent="0.25">
      <c r="A1092" s="4">
        <v>652</v>
      </c>
      <c r="B1092" s="5" t="s">
        <v>2303</v>
      </c>
      <c r="C1092" s="5" t="s">
        <v>2550</v>
      </c>
      <c r="D1092" s="16">
        <v>0.42130000000000001</v>
      </c>
      <c r="E1092" s="16">
        <v>0.22744000000000009</v>
      </c>
      <c r="F1092" s="17">
        <v>0.28570000000000007</v>
      </c>
      <c r="G1092" s="18">
        <v>792</v>
      </c>
      <c r="H1092" s="18">
        <v>415.15</v>
      </c>
      <c r="I1092" s="18">
        <v>792</v>
      </c>
      <c r="J1092" s="53">
        <v>156.57</v>
      </c>
    </row>
    <row r="1093" spans="1:10" ht="17.25" customHeight="1" x14ac:dyDescent="0.25">
      <c r="A1093" s="6">
        <v>473</v>
      </c>
      <c r="B1093" s="5" t="s">
        <v>2295</v>
      </c>
      <c r="C1093" s="5" t="s">
        <v>2551</v>
      </c>
      <c r="D1093" s="16">
        <v>0.40415000000000001</v>
      </c>
      <c r="E1093" s="16">
        <v>0.24649999999999994</v>
      </c>
      <c r="F1093" s="17">
        <v>0.28570000000000007</v>
      </c>
      <c r="G1093" s="18">
        <v>757</v>
      </c>
      <c r="H1093" s="18">
        <v>306.14999999999998</v>
      </c>
      <c r="I1093" s="18">
        <v>757</v>
      </c>
      <c r="J1093" s="53">
        <v>157.55000000000001</v>
      </c>
    </row>
    <row r="1094" spans="1:10" ht="17.25" customHeight="1" x14ac:dyDescent="0.25">
      <c r="A1094" s="6">
        <v>487</v>
      </c>
      <c r="B1094" s="5" t="s">
        <v>2289</v>
      </c>
      <c r="C1094" s="5" t="s">
        <v>2552</v>
      </c>
      <c r="D1094" s="16">
        <v>0.39563999999999999</v>
      </c>
      <c r="E1094" s="16">
        <v>0.25865000000000005</v>
      </c>
      <c r="F1094" s="17">
        <v>0.27139999999999986</v>
      </c>
      <c r="G1094" s="18">
        <v>675</v>
      </c>
      <c r="H1094" s="18">
        <v>282</v>
      </c>
      <c r="I1094" s="18">
        <v>675</v>
      </c>
      <c r="J1094" s="53">
        <v>128.56</v>
      </c>
    </row>
    <row r="1095" spans="1:10" ht="17.25" customHeight="1" x14ac:dyDescent="0.25">
      <c r="A1095" s="4">
        <v>672</v>
      </c>
      <c r="B1095" s="5" t="s">
        <v>2258</v>
      </c>
      <c r="C1095" s="5" t="s">
        <v>2553</v>
      </c>
      <c r="D1095" s="16">
        <v>0.35762000000000005</v>
      </c>
      <c r="E1095" s="16">
        <v>0.26984999999999992</v>
      </c>
      <c r="F1095" s="17">
        <v>0.28395999999999999</v>
      </c>
      <c r="G1095" s="18">
        <v>656</v>
      </c>
      <c r="H1095" s="18">
        <v>236.65</v>
      </c>
      <c r="I1095" s="18">
        <v>656</v>
      </c>
      <c r="J1095" s="53">
        <v>126.58</v>
      </c>
    </row>
    <row r="1096" spans="1:10" ht="17.25" customHeight="1" x14ac:dyDescent="0.25">
      <c r="A1096" s="4">
        <v>685</v>
      </c>
      <c r="B1096" s="5" t="s">
        <v>574</v>
      </c>
      <c r="C1096" s="5" t="s">
        <v>2554</v>
      </c>
      <c r="D1096" s="16">
        <v>0.38355000000000006</v>
      </c>
      <c r="E1096" s="16">
        <v>0.30518000000000001</v>
      </c>
      <c r="F1096" s="17">
        <v>0.30990000000000006</v>
      </c>
      <c r="G1096" s="18">
        <v>697.55</v>
      </c>
      <c r="H1096" s="18">
        <v>304.19</v>
      </c>
      <c r="I1096" s="18">
        <v>697.55</v>
      </c>
      <c r="J1096" s="53">
        <v>108.14</v>
      </c>
    </row>
    <row r="1097" spans="1:10" ht="17.25" customHeight="1" x14ac:dyDescent="0.25">
      <c r="A1097" s="4">
        <v>234</v>
      </c>
      <c r="B1097" s="5" t="s">
        <v>107</v>
      </c>
      <c r="C1097" s="5" t="s">
        <v>108</v>
      </c>
      <c r="D1097" s="16">
        <v>0.57655999999999996</v>
      </c>
      <c r="E1097" s="16">
        <v>0.25409999999999999</v>
      </c>
      <c r="F1097" s="17">
        <v>0.28126000000000007</v>
      </c>
      <c r="G1097" s="18">
        <v>392</v>
      </c>
      <c r="H1097" s="18">
        <v>138.15</v>
      </c>
      <c r="I1097" s="18">
        <v>392</v>
      </c>
      <c r="J1097" s="53">
        <v>200.03</v>
      </c>
    </row>
    <row r="1098" spans="1:10" ht="17.25" customHeight="1" x14ac:dyDescent="0.25">
      <c r="A1098" s="4">
        <v>235</v>
      </c>
      <c r="B1098" s="5" t="s">
        <v>107</v>
      </c>
      <c r="C1098" s="5" t="s">
        <v>109</v>
      </c>
      <c r="D1098" s="16">
        <v>0.60936000000000012</v>
      </c>
      <c r="E1098" s="16">
        <v>0.26014999999999988</v>
      </c>
      <c r="F1098" s="17">
        <v>0.27770000000000006</v>
      </c>
      <c r="G1098" s="18">
        <v>388.37</v>
      </c>
      <c r="H1098" s="18">
        <v>232.96</v>
      </c>
      <c r="I1098" s="18">
        <v>388.37</v>
      </c>
      <c r="J1098" s="53">
        <v>200.03</v>
      </c>
    </row>
    <row r="1099" spans="1:10" ht="17.25" customHeight="1" x14ac:dyDescent="0.25">
      <c r="A1099" s="4">
        <v>145</v>
      </c>
      <c r="B1099" s="5" t="s">
        <v>1680</v>
      </c>
      <c r="C1099" s="5" t="s">
        <v>1681</v>
      </c>
      <c r="D1099" s="16">
        <v>0.62734999999999985</v>
      </c>
      <c r="E1099" s="16">
        <v>0.27239999999999998</v>
      </c>
      <c r="F1099" s="17">
        <v>0.28170000000000006</v>
      </c>
      <c r="G1099" s="18">
        <v>345.05</v>
      </c>
      <c r="H1099" s="18">
        <v>125.46</v>
      </c>
      <c r="I1099" s="18">
        <v>345.05</v>
      </c>
      <c r="J1099" s="53">
        <v>188.02</v>
      </c>
    </row>
    <row r="1100" spans="1:10" ht="17.25" customHeight="1" x14ac:dyDescent="0.25">
      <c r="A1100" s="4">
        <v>870</v>
      </c>
      <c r="B1100" s="5" t="s">
        <v>2307</v>
      </c>
      <c r="C1100" s="5" t="s">
        <v>1775</v>
      </c>
      <c r="D1100" s="16">
        <v>0.30628000000000011</v>
      </c>
      <c r="E1100" s="16">
        <v>0.25229999999999997</v>
      </c>
      <c r="F1100" s="17">
        <v>0.27689999999999992</v>
      </c>
      <c r="G1100" s="18">
        <v>586.5</v>
      </c>
      <c r="H1100" s="18">
        <v>290.8</v>
      </c>
      <c r="I1100" s="18">
        <v>586.5</v>
      </c>
      <c r="J1100" s="53">
        <v>296.61</v>
      </c>
    </row>
    <row r="1101" spans="1:10" ht="17.25" customHeight="1" x14ac:dyDescent="0.25">
      <c r="A1101" s="4">
        <v>1273</v>
      </c>
      <c r="B1101" s="5" t="s">
        <v>1023</v>
      </c>
      <c r="C1101" s="5" t="s">
        <v>1024</v>
      </c>
      <c r="D1101" s="16">
        <v>0.2339</v>
      </c>
      <c r="E1101" s="16">
        <v>0.21500000000000008</v>
      </c>
      <c r="F1101" s="17">
        <v>0.28570999999999991</v>
      </c>
      <c r="G1101" s="18">
        <v>784.46</v>
      </c>
      <c r="H1101" s="18">
        <v>244.16</v>
      </c>
      <c r="I1101" s="18">
        <v>784.46</v>
      </c>
      <c r="J1101" s="53">
        <v>290.57</v>
      </c>
    </row>
    <row r="1102" spans="1:10" ht="17.25" customHeight="1" x14ac:dyDescent="0.25">
      <c r="A1102" s="4">
        <v>1122</v>
      </c>
      <c r="B1102" s="5" t="s">
        <v>840</v>
      </c>
      <c r="C1102" s="5" t="s">
        <v>845</v>
      </c>
      <c r="D1102" s="16">
        <v>0.24019999999999997</v>
      </c>
      <c r="E1102" s="16">
        <v>0.23199999999999998</v>
      </c>
      <c r="F1102" s="17">
        <v>0.28570999999999991</v>
      </c>
      <c r="G1102" s="18">
        <v>717.91</v>
      </c>
      <c r="H1102" s="18">
        <v>254.66</v>
      </c>
      <c r="I1102" s="18">
        <v>717.91</v>
      </c>
      <c r="J1102" s="53">
        <v>188.37</v>
      </c>
    </row>
    <row r="1103" spans="1:10" ht="17.25" customHeight="1" x14ac:dyDescent="0.25">
      <c r="A1103" s="4">
        <v>1270</v>
      </c>
      <c r="B1103" s="5" t="s">
        <v>1020</v>
      </c>
      <c r="C1103" s="5" t="s">
        <v>2308</v>
      </c>
      <c r="D1103" s="16">
        <v>0.20789999999999997</v>
      </c>
      <c r="E1103" s="16">
        <v>0.20100000000000007</v>
      </c>
      <c r="F1103" s="17">
        <v>0.28570999999999991</v>
      </c>
      <c r="G1103" s="18">
        <v>787.27</v>
      </c>
      <c r="H1103" s="18">
        <v>288.16000000000003</v>
      </c>
      <c r="I1103" s="18">
        <v>787.27</v>
      </c>
      <c r="J1103" s="53">
        <v>258.5</v>
      </c>
    </row>
    <row r="1104" spans="1:10" ht="17.25" customHeight="1" x14ac:dyDescent="0.25">
      <c r="A1104" s="4">
        <v>979</v>
      </c>
      <c r="B1104" s="5" t="s">
        <v>708</v>
      </c>
      <c r="C1104" s="5" t="s">
        <v>2555</v>
      </c>
      <c r="D1104" s="16">
        <v>0.27446999999999999</v>
      </c>
      <c r="E1104" s="16">
        <v>0.25297999999999998</v>
      </c>
      <c r="F1104" s="17">
        <v>0.28800000000000003</v>
      </c>
      <c r="G1104" s="18">
        <v>662</v>
      </c>
      <c r="H1104" s="18">
        <v>201.64</v>
      </c>
      <c r="I1104" s="18">
        <v>662</v>
      </c>
      <c r="J1104" s="53">
        <v>134.22</v>
      </c>
    </row>
    <row r="1105" spans="1:10" ht="17.25" customHeight="1" x14ac:dyDescent="0.25">
      <c r="A1105" s="6">
        <v>476</v>
      </c>
      <c r="B1105" s="5" t="s">
        <v>381</v>
      </c>
      <c r="C1105" s="5" t="s">
        <v>2556</v>
      </c>
      <c r="D1105" s="19">
        <v>0.41887000000000008</v>
      </c>
      <c r="E1105" s="16">
        <v>0.26112000000000002</v>
      </c>
      <c r="F1105" s="17">
        <v>0.30814999999999992</v>
      </c>
      <c r="G1105" s="18">
        <v>705</v>
      </c>
      <c r="H1105" s="18">
        <v>256.14999999999998</v>
      </c>
      <c r="I1105" s="18">
        <v>705</v>
      </c>
      <c r="J1105" s="53">
        <v>147</v>
      </c>
    </row>
    <row r="1106" spans="1:10" ht="17.25" customHeight="1" x14ac:dyDescent="0.25">
      <c r="A1106" s="6">
        <v>982</v>
      </c>
      <c r="B1106" s="5" t="s">
        <v>708</v>
      </c>
      <c r="C1106" s="5" t="s">
        <v>2557</v>
      </c>
      <c r="D1106" s="16">
        <v>0.2746599999999999</v>
      </c>
      <c r="E1106" s="16">
        <v>0.25340000000000007</v>
      </c>
      <c r="F1106" s="17">
        <v>0.28570000000000007</v>
      </c>
      <c r="G1106" s="18">
        <v>668</v>
      </c>
      <c r="H1106" s="18">
        <v>241.93</v>
      </c>
      <c r="I1106" s="18">
        <v>668</v>
      </c>
      <c r="J1106" s="53">
        <v>134.22</v>
      </c>
    </row>
    <row r="1107" spans="1:10" ht="17.25" customHeight="1" x14ac:dyDescent="0.25">
      <c r="A1107" s="6">
        <v>479</v>
      </c>
      <c r="B1107" s="5" t="s">
        <v>382</v>
      </c>
      <c r="C1107" s="5" t="s">
        <v>2558</v>
      </c>
      <c r="D1107" s="16">
        <v>0.3952</v>
      </c>
      <c r="E1107" s="16">
        <v>0.26400000000000001</v>
      </c>
      <c r="F1107" s="17">
        <v>0.28570999999999991</v>
      </c>
      <c r="G1107" s="18">
        <v>554.46</v>
      </c>
      <c r="H1107" s="18">
        <v>239.16</v>
      </c>
      <c r="I1107" s="20">
        <v>554.46</v>
      </c>
      <c r="J1107" s="54">
        <v>114.09</v>
      </c>
    </row>
    <row r="1108" spans="1:10" ht="17.25" customHeight="1" x14ac:dyDescent="0.25">
      <c r="A1108" s="6">
        <v>482</v>
      </c>
      <c r="B1108" s="5" t="s">
        <v>2296</v>
      </c>
      <c r="C1108" s="5" t="s">
        <v>2559</v>
      </c>
      <c r="D1108" s="16">
        <v>0.38708000000000009</v>
      </c>
      <c r="E1108" s="16">
        <v>0.24199999999999999</v>
      </c>
      <c r="F1108" s="17">
        <v>0.28570999999999991</v>
      </c>
      <c r="G1108" s="18">
        <v>831</v>
      </c>
      <c r="H1108" s="18">
        <v>390.08</v>
      </c>
      <c r="I1108" s="18">
        <v>831</v>
      </c>
      <c r="J1108" s="53">
        <v>168.11</v>
      </c>
    </row>
    <row r="1109" spans="1:10" ht="17.25" customHeight="1" x14ac:dyDescent="0.25">
      <c r="A1109" s="4">
        <v>793</v>
      </c>
      <c r="B1109" s="5" t="s">
        <v>604</v>
      </c>
      <c r="C1109" s="5" t="s">
        <v>2560</v>
      </c>
      <c r="D1109" s="16">
        <v>0.30380000000000007</v>
      </c>
      <c r="E1109" s="16">
        <v>0.25485999999999986</v>
      </c>
      <c r="F1109" s="17">
        <v>0.28570000000000007</v>
      </c>
      <c r="G1109" s="18">
        <v>704</v>
      </c>
      <c r="H1109" s="18">
        <v>226.55</v>
      </c>
      <c r="I1109" s="18">
        <v>704</v>
      </c>
      <c r="J1109" s="53">
        <v>121.18</v>
      </c>
    </row>
    <row r="1110" spans="1:10" ht="17.25" customHeight="1" x14ac:dyDescent="0.25">
      <c r="A1110" s="4">
        <v>891</v>
      </c>
      <c r="B1110" s="5" t="s">
        <v>1795</v>
      </c>
      <c r="C1110" s="5" t="s">
        <v>2561</v>
      </c>
      <c r="D1110" s="16">
        <v>0.26129000000000002</v>
      </c>
      <c r="E1110" s="16">
        <v>0.23963000000000001</v>
      </c>
      <c r="F1110" s="17">
        <v>0.27075000000000005</v>
      </c>
      <c r="G1110" s="18">
        <v>651.15</v>
      </c>
      <c r="H1110" s="18">
        <v>192.35</v>
      </c>
      <c r="I1110" s="18">
        <v>651.15</v>
      </c>
      <c r="J1110" s="53">
        <v>120.19</v>
      </c>
    </row>
    <row r="1111" spans="1:10" ht="17.25" customHeight="1" x14ac:dyDescent="0.25">
      <c r="A1111" s="4">
        <v>1299</v>
      </c>
      <c r="B1111" s="5" t="s">
        <v>1056</v>
      </c>
      <c r="C1111" s="5" t="s">
        <v>1057</v>
      </c>
      <c r="D1111" s="16">
        <v>0.28244999999999987</v>
      </c>
      <c r="E1111" s="16">
        <v>0.26812000000000014</v>
      </c>
      <c r="F1111" s="17">
        <v>0.28970000000000007</v>
      </c>
      <c r="G1111" s="18">
        <v>781</v>
      </c>
      <c r="H1111" s="18">
        <v>286.52999999999997</v>
      </c>
      <c r="I1111" s="18">
        <v>781</v>
      </c>
      <c r="J1111" s="53">
        <v>282.45999999999998</v>
      </c>
    </row>
    <row r="1112" spans="1:10" ht="17.25" customHeight="1" x14ac:dyDescent="0.25">
      <c r="A1112" s="4">
        <v>883</v>
      </c>
      <c r="B1112" s="5" t="s">
        <v>1788</v>
      </c>
      <c r="C1112" s="5" t="s">
        <v>2562</v>
      </c>
      <c r="D1112" s="16">
        <v>0.29037000000000002</v>
      </c>
      <c r="E1112" s="16">
        <v>0.25672000000000006</v>
      </c>
      <c r="F1112" s="17">
        <v>0.2930600000000001</v>
      </c>
      <c r="G1112" s="18">
        <v>659</v>
      </c>
      <c r="H1112" s="18">
        <v>204.58</v>
      </c>
      <c r="I1112" s="18">
        <v>659</v>
      </c>
      <c r="J1112" s="53">
        <v>118.18</v>
      </c>
    </row>
    <row r="1113" spans="1:10" ht="17.25" customHeight="1" x14ac:dyDescent="0.25">
      <c r="A1113" s="4">
        <v>501</v>
      </c>
      <c r="B1113" s="5" t="s">
        <v>398</v>
      </c>
      <c r="C1113" s="5" t="s">
        <v>2563</v>
      </c>
      <c r="D1113" s="16">
        <v>0.3405800000000001</v>
      </c>
      <c r="E1113" s="16">
        <v>0.27499999999999991</v>
      </c>
      <c r="F1113" s="17">
        <v>0.28570999999999991</v>
      </c>
      <c r="G1113" s="18">
        <v>784</v>
      </c>
      <c r="H1113" s="18">
        <v>344.65</v>
      </c>
      <c r="I1113" s="18">
        <v>784</v>
      </c>
      <c r="J1113" s="53">
        <v>138.12</v>
      </c>
    </row>
    <row r="1114" spans="1:10" ht="17.25" customHeight="1" x14ac:dyDescent="0.25">
      <c r="A1114" s="4">
        <v>679</v>
      </c>
      <c r="B1114" s="5" t="s">
        <v>570</v>
      </c>
      <c r="C1114" s="5" t="s">
        <v>2564</v>
      </c>
      <c r="D1114" s="16">
        <v>0.36287000000000003</v>
      </c>
      <c r="E1114" s="16">
        <v>0.24286999999999992</v>
      </c>
      <c r="F1114" s="17">
        <v>0.2883</v>
      </c>
      <c r="G1114" s="18">
        <v>782</v>
      </c>
      <c r="H1114" s="18">
        <v>283.60000000000002</v>
      </c>
      <c r="I1114" s="18">
        <v>782</v>
      </c>
      <c r="J1114" s="53">
        <v>153.13999999999999</v>
      </c>
    </row>
    <row r="1115" spans="1:10" ht="17.25" customHeight="1" x14ac:dyDescent="0.25">
      <c r="A1115" s="4">
        <v>677</v>
      </c>
      <c r="B1115" s="5" t="s">
        <v>569</v>
      </c>
      <c r="C1115" s="5" t="s">
        <v>2565</v>
      </c>
      <c r="D1115" s="16">
        <v>0.31098000000000003</v>
      </c>
      <c r="E1115" s="16">
        <v>0.21876999999999991</v>
      </c>
      <c r="F1115" s="17">
        <v>0.27086999999999994</v>
      </c>
      <c r="G1115" s="18">
        <v>720</v>
      </c>
      <c r="H1115" s="18">
        <v>269.98</v>
      </c>
      <c r="I1115" s="18">
        <v>720</v>
      </c>
      <c r="J1115" s="53">
        <v>137.13999999999999</v>
      </c>
    </row>
    <row r="1116" spans="1:10" ht="17.25" customHeight="1" x14ac:dyDescent="0.25">
      <c r="A1116" s="4">
        <v>518</v>
      </c>
      <c r="B1116" s="5" t="s">
        <v>416</v>
      </c>
      <c r="C1116" s="5" t="s">
        <v>2566</v>
      </c>
      <c r="D1116" s="16">
        <v>0.34379000000000004</v>
      </c>
      <c r="E1116" s="16">
        <v>0.25092999999999988</v>
      </c>
      <c r="F1116" s="17">
        <v>0.28570999999999991</v>
      </c>
      <c r="G1116" s="18">
        <v>781</v>
      </c>
      <c r="H1116" s="18">
        <v>376.95</v>
      </c>
      <c r="I1116" s="18">
        <v>781</v>
      </c>
      <c r="J1116" s="53">
        <v>108.14</v>
      </c>
    </row>
    <row r="1117" spans="1:10" ht="17.25" customHeight="1" x14ac:dyDescent="0.25">
      <c r="A1117" s="4">
        <v>1288</v>
      </c>
      <c r="B1117" s="5" t="s">
        <v>1043</v>
      </c>
      <c r="C1117" s="5" t="s">
        <v>2567</v>
      </c>
      <c r="D1117" s="16">
        <v>0.30601000000000012</v>
      </c>
      <c r="E1117" s="16">
        <v>0.24035000000000006</v>
      </c>
      <c r="F1117" s="17">
        <v>0.31719999999999993</v>
      </c>
      <c r="G1117" s="18">
        <v>890.95</v>
      </c>
      <c r="H1117" s="18">
        <v>329.35</v>
      </c>
      <c r="I1117" s="18">
        <v>890.95</v>
      </c>
      <c r="J1117" s="53">
        <v>230.3</v>
      </c>
    </row>
    <row r="1118" spans="1:10" ht="17.25" customHeight="1" x14ac:dyDescent="0.25">
      <c r="A1118" s="4">
        <v>773</v>
      </c>
      <c r="B1118" s="5" t="s">
        <v>1756</v>
      </c>
      <c r="C1118" s="5" t="s">
        <v>2568</v>
      </c>
      <c r="D1118" s="16">
        <v>0.34095999999999993</v>
      </c>
      <c r="E1118" s="16">
        <v>0.24685000000000001</v>
      </c>
      <c r="F1118" s="17">
        <v>0.28570999999999991</v>
      </c>
      <c r="G1118" s="18">
        <v>751</v>
      </c>
      <c r="H1118" s="18">
        <v>376.85</v>
      </c>
      <c r="I1118" s="18">
        <v>751</v>
      </c>
      <c r="J1118" s="53">
        <v>136.15</v>
      </c>
    </row>
    <row r="1119" spans="1:10" ht="17.25" customHeight="1" x14ac:dyDescent="0.25">
      <c r="A1119" s="4">
        <v>693</v>
      </c>
      <c r="B1119" s="5" t="s">
        <v>579</v>
      </c>
      <c r="C1119" s="5" t="s">
        <v>2569</v>
      </c>
      <c r="D1119" s="16">
        <v>0.28729000000000005</v>
      </c>
      <c r="E1119" s="16">
        <v>0.23819999999999997</v>
      </c>
      <c r="F1119" s="17">
        <v>0.25729999999999986</v>
      </c>
      <c r="G1119" s="18">
        <v>694.15</v>
      </c>
      <c r="H1119" s="18">
        <v>249.47</v>
      </c>
      <c r="I1119" s="18">
        <v>694.15</v>
      </c>
      <c r="J1119" s="53">
        <v>107.15</v>
      </c>
    </row>
    <row r="1120" spans="1:10" ht="17.25" customHeight="1" x14ac:dyDescent="0.25">
      <c r="A1120" s="4">
        <v>88</v>
      </c>
      <c r="B1120" s="5" t="s">
        <v>1590</v>
      </c>
      <c r="C1120" s="5" t="s">
        <v>1591</v>
      </c>
      <c r="D1120" s="16">
        <v>0.43975000000000009</v>
      </c>
      <c r="E1120" s="16">
        <v>0.21500000000000008</v>
      </c>
      <c r="F1120" s="17">
        <v>0.28570999999999991</v>
      </c>
      <c r="G1120" s="18">
        <v>804</v>
      </c>
      <c r="H1120" s="18">
        <v>462.65</v>
      </c>
      <c r="I1120" s="18">
        <v>804</v>
      </c>
      <c r="J1120" s="53">
        <v>90.03</v>
      </c>
    </row>
    <row r="1121" spans="1:10" ht="17.25" customHeight="1" x14ac:dyDescent="0.25">
      <c r="A1121" s="4">
        <v>149</v>
      </c>
      <c r="B1121" s="5" t="s">
        <v>1687</v>
      </c>
      <c r="C1121" s="5" t="s">
        <v>1688</v>
      </c>
      <c r="D1121" s="16">
        <v>0.29157000000000011</v>
      </c>
      <c r="E1121" s="16">
        <v>0.32499999999999996</v>
      </c>
      <c r="F1121" s="17">
        <v>0.28570999999999991</v>
      </c>
      <c r="G1121" s="18">
        <v>554</v>
      </c>
      <c r="H1121" s="18">
        <v>189.15</v>
      </c>
      <c r="I1121" s="18">
        <v>554</v>
      </c>
      <c r="J1121" s="53">
        <v>69.06</v>
      </c>
    </row>
    <row r="1122" spans="1:10" ht="17.25" customHeight="1" x14ac:dyDescent="0.25">
      <c r="A1122" s="4">
        <v>780</v>
      </c>
      <c r="B1122" s="5" t="s">
        <v>594</v>
      </c>
      <c r="C1122" s="5" t="s">
        <v>2570</v>
      </c>
      <c r="D1122" s="16">
        <v>0.2838099999999999</v>
      </c>
      <c r="E1122" s="16">
        <v>0.2608299999999999</v>
      </c>
      <c r="F1122" s="17">
        <v>0.27410000000000001</v>
      </c>
      <c r="G1122" s="18">
        <v>630.37</v>
      </c>
      <c r="H1122" s="18">
        <v>247.98</v>
      </c>
      <c r="I1122" s="18">
        <v>630.37</v>
      </c>
      <c r="J1122" s="53">
        <v>106.16</v>
      </c>
    </row>
    <row r="1123" spans="1:10" ht="17.25" customHeight="1" x14ac:dyDescent="0.25">
      <c r="A1123" s="4">
        <v>1130</v>
      </c>
      <c r="B1123" s="5" t="s">
        <v>857</v>
      </c>
      <c r="C1123" s="5" t="s">
        <v>2571</v>
      </c>
      <c r="D1123" s="16">
        <v>0.3071600000000001</v>
      </c>
      <c r="E1123" s="16">
        <v>0.25499999999999989</v>
      </c>
      <c r="F1123" s="17">
        <v>0.28570999999999991</v>
      </c>
      <c r="G1123" s="18">
        <v>877</v>
      </c>
      <c r="H1123" s="18">
        <v>401</v>
      </c>
      <c r="I1123" s="18">
        <v>877</v>
      </c>
      <c r="J1123" s="53">
        <v>197.24</v>
      </c>
    </row>
    <row r="1124" spans="1:10" ht="17.25" customHeight="1" x14ac:dyDescent="0.25">
      <c r="A1124" s="4">
        <v>1128</v>
      </c>
      <c r="B1124" s="5" t="s">
        <v>855</v>
      </c>
      <c r="C1124" s="5" t="s">
        <v>2572</v>
      </c>
      <c r="D1124" s="16">
        <v>0.31403000000000003</v>
      </c>
      <c r="E1124" s="16">
        <v>0.26100000000000012</v>
      </c>
      <c r="F1124" s="17">
        <v>0.28570999999999991</v>
      </c>
      <c r="G1124" s="18">
        <v>817</v>
      </c>
      <c r="H1124" s="18">
        <v>326</v>
      </c>
      <c r="I1124" s="18">
        <v>817</v>
      </c>
      <c r="J1124" s="53">
        <v>169.22</v>
      </c>
    </row>
    <row r="1125" spans="1:10" ht="17.25" customHeight="1" x14ac:dyDescent="0.25">
      <c r="A1125" s="4">
        <v>591</v>
      </c>
      <c r="B1125" s="5" t="s">
        <v>480</v>
      </c>
      <c r="C1125" s="5" t="s">
        <v>483</v>
      </c>
      <c r="D1125" s="16">
        <v>0.36207999999999996</v>
      </c>
      <c r="E1125" s="16">
        <v>0.28486000000000011</v>
      </c>
      <c r="F1125" s="17">
        <v>0.31340999999999997</v>
      </c>
      <c r="G1125" s="18">
        <v>579</v>
      </c>
      <c r="H1125" s="18">
        <v>285.75</v>
      </c>
      <c r="I1125" s="18">
        <v>579</v>
      </c>
      <c r="J1125" s="53">
        <v>132.16</v>
      </c>
    </row>
    <row r="1126" spans="1:10" ht="17.25" customHeight="1" x14ac:dyDescent="0.25">
      <c r="A1126" s="4">
        <v>670</v>
      </c>
      <c r="B1126" s="5" t="s">
        <v>565</v>
      </c>
      <c r="C1126" s="5" t="s">
        <v>2573</v>
      </c>
      <c r="D1126" s="16">
        <v>0.45128000000000013</v>
      </c>
      <c r="E1126" s="16">
        <v>0.26245000000000007</v>
      </c>
      <c r="F1126" s="17">
        <v>0.30081999999999987</v>
      </c>
      <c r="G1126" s="18">
        <v>699</v>
      </c>
      <c r="H1126" s="18">
        <v>299.95</v>
      </c>
      <c r="I1126" s="18">
        <v>699</v>
      </c>
      <c r="J1126" s="53">
        <v>171.03</v>
      </c>
    </row>
    <row r="1127" spans="1:10" ht="17.25" customHeight="1" x14ac:dyDescent="0.25">
      <c r="A1127" s="4">
        <v>496</v>
      </c>
      <c r="B1127" s="5" t="s">
        <v>2294</v>
      </c>
      <c r="C1127" s="5" t="s">
        <v>2574</v>
      </c>
      <c r="D1127" s="16">
        <v>0.35048000000000012</v>
      </c>
      <c r="E1127" s="16">
        <v>0.23738999999999999</v>
      </c>
      <c r="F1127" s="17">
        <v>0.28499999999999992</v>
      </c>
      <c r="G1127" s="18">
        <v>754</v>
      </c>
      <c r="H1127" s="18">
        <v>343.05</v>
      </c>
      <c r="I1127" s="18">
        <v>754</v>
      </c>
      <c r="J1127" s="53">
        <v>127.57</v>
      </c>
    </row>
    <row r="1128" spans="1:10" ht="17.25" customHeight="1" x14ac:dyDescent="0.25">
      <c r="A1128" s="6">
        <v>648</v>
      </c>
      <c r="B1128" s="5" t="s">
        <v>2309</v>
      </c>
      <c r="C1128" s="5" t="s">
        <v>2575</v>
      </c>
      <c r="D1128" s="16">
        <v>0.41090999999999989</v>
      </c>
      <c r="E1128" s="16">
        <v>0.26469999999999994</v>
      </c>
      <c r="F1128" s="17">
        <v>0.28570000000000007</v>
      </c>
      <c r="G1128" s="18">
        <v>601</v>
      </c>
      <c r="H1128" s="18">
        <v>237.15</v>
      </c>
      <c r="I1128" s="18">
        <v>601</v>
      </c>
      <c r="J1128" s="53">
        <v>180.55</v>
      </c>
    </row>
    <row r="1129" spans="1:10" ht="17.25" customHeight="1" x14ac:dyDescent="0.25">
      <c r="A1129" s="6">
        <v>474</v>
      </c>
      <c r="B1129" s="5" t="s">
        <v>2295</v>
      </c>
      <c r="C1129" s="5" t="s">
        <v>2576</v>
      </c>
      <c r="D1129" s="16">
        <v>0.36473</v>
      </c>
      <c r="E1129" s="16">
        <v>0.23022999999999993</v>
      </c>
      <c r="F1129" s="34">
        <v>0.22679999999999989</v>
      </c>
      <c r="G1129" s="18">
        <v>751</v>
      </c>
      <c r="H1129" s="18">
        <v>356.65</v>
      </c>
      <c r="I1129" s="18">
        <v>751</v>
      </c>
      <c r="J1129" s="53">
        <v>157.55000000000001</v>
      </c>
    </row>
    <row r="1130" spans="1:10" ht="17.25" customHeight="1" x14ac:dyDescent="0.25">
      <c r="A1130" s="4">
        <v>673</v>
      </c>
      <c r="B1130" s="5" t="s">
        <v>2258</v>
      </c>
      <c r="C1130" s="5" t="s">
        <v>2577</v>
      </c>
      <c r="D1130" s="16">
        <v>0.35170000000000012</v>
      </c>
      <c r="E1130" s="16">
        <v>0.26859999999999995</v>
      </c>
      <c r="F1130" s="17">
        <v>0.28753999999999991</v>
      </c>
      <c r="G1130" s="18">
        <v>660</v>
      </c>
      <c r="H1130" s="18">
        <v>280.64999999999998</v>
      </c>
      <c r="I1130" s="18">
        <v>660</v>
      </c>
      <c r="J1130" s="53">
        <v>126.58</v>
      </c>
    </row>
    <row r="1131" spans="1:10" ht="17.25" customHeight="1" x14ac:dyDescent="0.25">
      <c r="A1131" s="6">
        <v>980</v>
      </c>
      <c r="B1131" s="5" t="s">
        <v>708</v>
      </c>
      <c r="C1131" s="5" t="s">
        <v>2578</v>
      </c>
      <c r="D1131" s="16">
        <v>0.27295999999999987</v>
      </c>
      <c r="E1131" s="16">
        <v>0.25741999999999998</v>
      </c>
      <c r="F1131" s="17">
        <v>0.28750000000000009</v>
      </c>
      <c r="G1131" s="18">
        <v>653.15</v>
      </c>
      <c r="H1131" s="18">
        <v>205.25</v>
      </c>
      <c r="I1131" s="18">
        <v>653.15</v>
      </c>
      <c r="J1131" s="53">
        <v>134.22</v>
      </c>
    </row>
    <row r="1132" spans="1:10" ht="17.25" customHeight="1" x14ac:dyDescent="0.25">
      <c r="A1132" s="6">
        <v>477</v>
      </c>
      <c r="B1132" s="5" t="s">
        <v>381</v>
      </c>
      <c r="C1132" s="5" t="s">
        <v>2579</v>
      </c>
      <c r="D1132" s="19">
        <v>0.41880000000000006</v>
      </c>
      <c r="E1132" s="16">
        <v>0.2627600000000001</v>
      </c>
      <c r="F1132" s="17">
        <v>0.30787999999999993</v>
      </c>
      <c r="G1132" s="20">
        <v>684.75</v>
      </c>
      <c r="H1132" s="20">
        <v>326.14</v>
      </c>
      <c r="I1132" s="18">
        <v>684.75</v>
      </c>
      <c r="J1132" s="53">
        <v>147</v>
      </c>
    </row>
    <row r="1133" spans="1:10" ht="17.25" customHeight="1" x14ac:dyDescent="0.25">
      <c r="A1133" s="6">
        <v>983</v>
      </c>
      <c r="B1133" s="5" t="s">
        <v>708</v>
      </c>
      <c r="C1133" s="5" t="s">
        <v>2580</v>
      </c>
      <c r="D1133" s="16">
        <v>0.27075000000000005</v>
      </c>
      <c r="E1133" s="16">
        <v>0.25397000000000003</v>
      </c>
      <c r="F1133" s="17">
        <v>0.28570999999999991</v>
      </c>
      <c r="G1133" s="18">
        <v>657.96</v>
      </c>
      <c r="H1133" s="18">
        <v>230.32</v>
      </c>
      <c r="I1133" s="18">
        <v>657.96</v>
      </c>
      <c r="J1133" s="53">
        <v>134.22</v>
      </c>
    </row>
    <row r="1134" spans="1:10" ht="17.25" customHeight="1" x14ac:dyDescent="0.25">
      <c r="A1134" s="6">
        <v>480</v>
      </c>
      <c r="B1134" s="5" t="s">
        <v>382</v>
      </c>
      <c r="C1134" s="5" t="s">
        <v>2581</v>
      </c>
      <c r="D1134" s="16">
        <v>0.4012</v>
      </c>
      <c r="E1134" s="16">
        <v>0.26600000000000001</v>
      </c>
      <c r="F1134" s="17">
        <v>0.28570999999999991</v>
      </c>
      <c r="G1134" s="18">
        <v>556</v>
      </c>
      <c r="H1134" s="18">
        <v>260.16000000000003</v>
      </c>
      <c r="I1134" s="18">
        <v>556</v>
      </c>
      <c r="J1134" s="53">
        <v>114.09</v>
      </c>
    </row>
    <row r="1135" spans="1:10" ht="17.25" customHeight="1" x14ac:dyDescent="0.25">
      <c r="A1135" s="4">
        <v>1149</v>
      </c>
      <c r="B1135" s="5" t="s">
        <v>877</v>
      </c>
      <c r="C1135" s="5" t="s">
        <v>2582</v>
      </c>
      <c r="D1135" s="16">
        <v>0.26927000000000012</v>
      </c>
      <c r="E1135" s="16">
        <v>0.25774000000000008</v>
      </c>
      <c r="F1135" s="17">
        <v>0.28570000000000007</v>
      </c>
      <c r="G1135" s="18">
        <v>689</v>
      </c>
      <c r="H1135" s="18">
        <v>256.08</v>
      </c>
      <c r="I1135" s="18">
        <v>689</v>
      </c>
      <c r="J1135" s="53">
        <v>162.27000000000001</v>
      </c>
    </row>
    <row r="1136" spans="1:10" ht="17.25" customHeight="1" x14ac:dyDescent="0.25">
      <c r="A1136" s="4">
        <v>888</v>
      </c>
      <c r="B1136" s="5" t="s">
        <v>1794</v>
      </c>
      <c r="C1136" s="5" t="s">
        <v>2583</v>
      </c>
      <c r="D1136" s="16">
        <v>0.29322999999999988</v>
      </c>
      <c r="E1136" s="16">
        <v>0.2258</v>
      </c>
      <c r="F1136" s="17">
        <v>0.28570000000000007</v>
      </c>
      <c r="G1136" s="18">
        <v>832</v>
      </c>
      <c r="H1136" s="18">
        <v>348</v>
      </c>
      <c r="I1136" s="18">
        <v>832</v>
      </c>
      <c r="J1136" s="53">
        <v>149.19</v>
      </c>
    </row>
    <row r="1137" spans="1:10" ht="17.25" customHeight="1" x14ac:dyDescent="0.25">
      <c r="A1137" s="4">
        <v>483</v>
      </c>
      <c r="B1137" s="5" t="s">
        <v>2296</v>
      </c>
      <c r="C1137" s="5" t="s">
        <v>2584</v>
      </c>
      <c r="D1137" s="16">
        <v>0.3877600000000001</v>
      </c>
      <c r="E1137" s="16">
        <v>0.25</v>
      </c>
      <c r="F1137" s="17">
        <v>0.28570999999999991</v>
      </c>
      <c r="G1137" s="18">
        <v>803</v>
      </c>
      <c r="H1137" s="18">
        <v>446.6</v>
      </c>
      <c r="I1137" s="18">
        <v>803</v>
      </c>
      <c r="J1137" s="53">
        <v>168.11</v>
      </c>
    </row>
    <row r="1138" spans="1:10" ht="17.25" customHeight="1" x14ac:dyDescent="0.25">
      <c r="A1138" s="6">
        <v>68</v>
      </c>
      <c r="B1138" s="5" t="s">
        <v>1560</v>
      </c>
      <c r="C1138" s="5" t="s">
        <v>1561</v>
      </c>
      <c r="D1138" s="16">
        <v>0.54822000000000015</v>
      </c>
      <c r="E1138" s="16">
        <v>0.26628000000000007</v>
      </c>
      <c r="F1138" s="17">
        <v>0.28491</v>
      </c>
      <c r="G1138" s="18">
        <v>665</v>
      </c>
      <c r="H1138" s="18">
        <v>244.15</v>
      </c>
      <c r="I1138" s="18">
        <v>665</v>
      </c>
      <c r="J1138" s="53">
        <v>202.29</v>
      </c>
    </row>
    <row r="1139" spans="1:10" ht="17.25" customHeight="1" x14ac:dyDescent="0.25">
      <c r="A1139" s="4">
        <v>1244</v>
      </c>
      <c r="B1139" s="5" t="s">
        <v>993</v>
      </c>
      <c r="C1139" s="5" t="s">
        <v>994</v>
      </c>
      <c r="D1139" s="16">
        <v>0.28055999999999992</v>
      </c>
      <c r="E1139" s="16">
        <v>0.25872000000000006</v>
      </c>
      <c r="F1139" s="17">
        <v>0.33431999999999995</v>
      </c>
      <c r="G1139" s="18">
        <v>766</v>
      </c>
      <c r="H1139" s="18">
        <v>325.68</v>
      </c>
      <c r="I1139" s="18">
        <v>766</v>
      </c>
      <c r="J1139" s="53">
        <v>242.4</v>
      </c>
    </row>
    <row r="1140" spans="1:10" ht="17.25" customHeight="1" x14ac:dyDescent="0.25">
      <c r="A1140" s="4">
        <v>1313</v>
      </c>
      <c r="B1140" s="5" t="s">
        <v>1069</v>
      </c>
      <c r="C1140" s="5" t="s">
        <v>1073</v>
      </c>
      <c r="D1140" s="16">
        <v>0.26109999999999989</v>
      </c>
      <c r="E1140" s="16">
        <v>0.18999999999999995</v>
      </c>
      <c r="F1140" s="17">
        <v>0.28570999999999991</v>
      </c>
      <c r="G1140" s="18">
        <v>810.53</v>
      </c>
      <c r="H1140" s="18">
        <v>298.16000000000003</v>
      </c>
      <c r="I1140" s="18">
        <v>810.53</v>
      </c>
      <c r="J1140" s="53">
        <v>286.56</v>
      </c>
    </row>
    <row r="1141" spans="1:10" ht="17.25" customHeight="1" x14ac:dyDescent="0.25">
      <c r="A1141" s="4">
        <v>458</v>
      </c>
      <c r="B1141" s="5" t="s">
        <v>2310</v>
      </c>
      <c r="C1141" s="5" t="s">
        <v>365</v>
      </c>
      <c r="D1141" s="16">
        <v>0.35711000000000004</v>
      </c>
      <c r="E1141" s="16">
        <v>0.28100000000000014</v>
      </c>
      <c r="F1141" s="17">
        <v>0.29000000000000004</v>
      </c>
      <c r="G1141" s="18">
        <v>780</v>
      </c>
      <c r="H1141" s="18">
        <v>534.15</v>
      </c>
      <c r="I1141" s="18">
        <v>780</v>
      </c>
      <c r="J1141" s="53">
        <v>136.15</v>
      </c>
    </row>
    <row r="1142" spans="1:10" ht="17.25" customHeight="1" x14ac:dyDescent="0.25">
      <c r="A1142" s="4">
        <v>387</v>
      </c>
      <c r="B1142" s="5" t="s">
        <v>284</v>
      </c>
      <c r="C1142" s="5" t="s">
        <v>285</v>
      </c>
      <c r="D1142" s="16">
        <v>0.43297000000000008</v>
      </c>
      <c r="E1142" s="16">
        <v>0.29099999999999993</v>
      </c>
      <c r="F1142" s="17">
        <v>0.28570999999999991</v>
      </c>
      <c r="G1142" s="18">
        <v>676</v>
      </c>
      <c r="H1142" s="18">
        <v>413.65</v>
      </c>
      <c r="I1142" s="18">
        <v>676</v>
      </c>
      <c r="J1142" s="53">
        <v>316.14</v>
      </c>
    </row>
    <row r="1143" spans="1:10" ht="17.25" customHeight="1" x14ac:dyDescent="0.25">
      <c r="A1143" s="4">
        <v>1258</v>
      </c>
      <c r="B1143" s="5" t="s">
        <v>1010</v>
      </c>
      <c r="C1143" s="5" t="s">
        <v>1011</v>
      </c>
      <c r="D1143" s="16">
        <v>0.2652000000000001</v>
      </c>
      <c r="E1143" s="16">
        <v>0.22199999999999998</v>
      </c>
      <c r="F1143" s="17">
        <v>0.28570999999999991</v>
      </c>
      <c r="G1143" s="18">
        <v>723.64</v>
      </c>
      <c r="H1143" s="18">
        <v>327.66000000000003</v>
      </c>
      <c r="I1143" s="18">
        <v>723.64</v>
      </c>
      <c r="J1143" s="53">
        <v>218.38</v>
      </c>
    </row>
    <row r="1144" spans="1:10" ht="17.25" customHeight="1" x14ac:dyDescent="0.25">
      <c r="A1144" s="4">
        <v>71</v>
      </c>
      <c r="B1144" s="5" t="s">
        <v>1566</v>
      </c>
      <c r="C1144" s="5" t="s">
        <v>1567</v>
      </c>
      <c r="D1144" s="16">
        <v>0.55632999999999999</v>
      </c>
      <c r="E1144" s="16">
        <v>0.26100000000000012</v>
      </c>
      <c r="F1144" s="17">
        <v>0.28570999999999991</v>
      </c>
      <c r="G1144" s="18">
        <v>342</v>
      </c>
      <c r="H1144" s="18">
        <v>170.15</v>
      </c>
      <c r="I1144" s="18">
        <v>342</v>
      </c>
      <c r="J1144" s="53">
        <v>120.02</v>
      </c>
    </row>
    <row r="1145" spans="1:10" ht="17.25" customHeight="1" x14ac:dyDescent="0.25">
      <c r="A1145" s="4">
        <v>1114</v>
      </c>
      <c r="B1145" s="5" t="s">
        <v>831</v>
      </c>
      <c r="C1145" s="5" t="s">
        <v>834</v>
      </c>
      <c r="D1145" s="16">
        <v>0.24249999999999994</v>
      </c>
      <c r="E1145" s="16">
        <v>0.24399999999999999</v>
      </c>
      <c r="F1145" s="17">
        <v>0.28570999999999991</v>
      </c>
      <c r="G1145" s="18">
        <v>674.01</v>
      </c>
      <c r="H1145" s="18">
        <v>215.66</v>
      </c>
      <c r="I1145" s="18">
        <v>674.01</v>
      </c>
      <c r="J1145" s="53">
        <v>154.29</v>
      </c>
    </row>
    <row r="1146" spans="1:10" ht="17.25" customHeight="1" x14ac:dyDescent="0.25">
      <c r="A1146" s="4">
        <v>1103</v>
      </c>
      <c r="B1146" s="5" t="s">
        <v>818</v>
      </c>
      <c r="C1146" s="5" t="s">
        <v>819</v>
      </c>
      <c r="D1146" s="16">
        <v>0.28160000000000007</v>
      </c>
      <c r="E1146" s="16">
        <v>0.25300000000000011</v>
      </c>
      <c r="F1146" s="17">
        <v>0.28570999999999991</v>
      </c>
      <c r="G1146" s="18">
        <v>726.94</v>
      </c>
      <c r="H1146" s="18">
        <v>214.16</v>
      </c>
      <c r="I1146" s="18">
        <v>726.94</v>
      </c>
      <c r="J1146" s="53">
        <v>206.41</v>
      </c>
    </row>
    <row r="1147" spans="1:10" ht="17.25" customHeight="1" x14ac:dyDescent="0.25">
      <c r="A1147" s="4">
        <v>864</v>
      </c>
      <c r="B1147" s="5" t="s">
        <v>1764</v>
      </c>
      <c r="C1147" s="5" t="s">
        <v>1768</v>
      </c>
      <c r="D1147" s="16">
        <v>0.26290000000000013</v>
      </c>
      <c r="E1147" s="16">
        <v>0.252</v>
      </c>
      <c r="F1147" s="17">
        <v>0.28570999999999991</v>
      </c>
      <c r="G1147" s="18">
        <v>660.72</v>
      </c>
      <c r="H1147" s="18">
        <v>209.86</v>
      </c>
      <c r="I1147" s="18">
        <v>660.72</v>
      </c>
      <c r="J1147" s="53">
        <v>146.29</v>
      </c>
    </row>
    <row r="1148" spans="1:10" ht="17.25" customHeight="1" x14ac:dyDescent="0.25">
      <c r="A1148" s="4">
        <v>1102</v>
      </c>
      <c r="B1148" s="5" t="s">
        <v>812</v>
      </c>
      <c r="C1148" s="5" t="s">
        <v>817</v>
      </c>
      <c r="D1148" s="16">
        <v>0.24780000000000002</v>
      </c>
      <c r="E1148" s="16">
        <v>0.23899999999999988</v>
      </c>
      <c r="F1148" s="17">
        <v>0.28570999999999991</v>
      </c>
      <c r="G1148" s="18">
        <v>701.03</v>
      </c>
      <c r="H1148" s="18">
        <v>238.16</v>
      </c>
      <c r="I1148" s="18">
        <v>701.03</v>
      </c>
      <c r="J1148" s="53">
        <v>174.35</v>
      </c>
    </row>
    <row r="1149" spans="1:10" ht="17.25" customHeight="1" x14ac:dyDescent="0.25">
      <c r="A1149" s="4">
        <v>783</v>
      </c>
      <c r="B1149" s="5" t="s">
        <v>595</v>
      </c>
      <c r="C1149" s="5" t="s">
        <v>2585</v>
      </c>
      <c r="D1149" s="16">
        <v>0.3267199999999999</v>
      </c>
      <c r="E1149" s="16">
        <v>0.26929999999999987</v>
      </c>
      <c r="F1149" s="17">
        <v>0.28570000000000007</v>
      </c>
      <c r="G1149" s="18">
        <v>716.45</v>
      </c>
      <c r="H1149" s="18">
        <v>318.23</v>
      </c>
      <c r="I1149" s="18">
        <v>716.45</v>
      </c>
      <c r="J1149" s="53">
        <v>122.16</v>
      </c>
    </row>
    <row r="1150" spans="1:10" ht="17.25" customHeight="1" x14ac:dyDescent="0.25">
      <c r="A1150" s="4">
        <v>892</v>
      </c>
      <c r="B1150" s="5" t="s">
        <v>1795</v>
      </c>
      <c r="C1150" s="5" t="s">
        <v>2586</v>
      </c>
      <c r="D1150" s="16">
        <v>0.25573000000000001</v>
      </c>
      <c r="E1150" s="16">
        <v>0.23831000000000002</v>
      </c>
      <c r="F1150" s="17">
        <v>0.27195999999999998</v>
      </c>
      <c r="G1150" s="18">
        <v>640.15</v>
      </c>
      <c r="H1150" s="18">
        <v>210.83</v>
      </c>
      <c r="I1150" s="18">
        <v>640.15</v>
      </c>
      <c r="J1150" s="53">
        <v>120.19</v>
      </c>
    </row>
    <row r="1151" spans="1:10" ht="17.25" customHeight="1" x14ac:dyDescent="0.25">
      <c r="A1151" s="4">
        <v>1204</v>
      </c>
      <c r="B1151" s="5" t="s">
        <v>941</v>
      </c>
      <c r="C1151" s="5" t="s">
        <v>943</v>
      </c>
      <c r="D1151" s="16">
        <v>0.32180999999999993</v>
      </c>
      <c r="E1151" s="16">
        <v>0.25228000000000006</v>
      </c>
      <c r="F1151" s="17">
        <v>0.24859999999999993</v>
      </c>
      <c r="G1151" s="18">
        <v>869.25</v>
      </c>
      <c r="H1151" s="18">
        <v>372.38</v>
      </c>
      <c r="I1151" s="18">
        <v>869.25</v>
      </c>
      <c r="J1151" s="53">
        <v>178.23</v>
      </c>
    </row>
    <row r="1152" spans="1:10" ht="17.25" customHeight="1" x14ac:dyDescent="0.25">
      <c r="A1152" s="4">
        <v>784</v>
      </c>
      <c r="B1152" s="5" t="s">
        <v>595</v>
      </c>
      <c r="C1152" s="5" t="s">
        <v>596</v>
      </c>
      <c r="D1152" s="16">
        <v>0.3053300000000001</v>
      </c>
      <c r="E1152" s="16">
        <v>0.25466999999999995</v>
      </c>
      <c r="F1152" s="17">
        <v>0.28570999999999991</v>
      </c>
      <c r="G1152" s="18">
        <v>647.15</v>
      </c>
      <c r="H1152" s="18">
        <v>243.63</v>
      </c>
      <c r="I1152" s="18">
        <v>647.15</v>
      </c>
      <c r="J1152" s="53">
        <v>122.16</v>
      </c>
    </row>
    <row r="1153" spans="1:10" ht="17.25" customHeight="1" x14ac:dyDescent="0.25">
      <c r="A1153" s="4">
        <v>503</v>
      </c>
      <c r="B1153" s="5" t="s">
        <v>399</v>
      </c>
      <c r="C1153" s="5" t="s">
        <v>400</v>
      </c>
      <c r="D1153" s="16">
        <v>0.41476000000000002</v>
      </c>
      <c r="E1153" s="16">
        <v>0.32162000000000002</v>
      </c>
      <c r="F1153" s="17">
        <v>0.32119999999999993</v>
      </c>
      <c r="G1153" s="18">
        <v>694.25</v>
      </c>
      <c r="H1153" s="18">
        <v>314.06</v>
      </c>
      <c r="I1153" s="18">
        <v>694.25</v>
      </c>
      <c r="J1153" s="53">
        <v>94.11</v>
      </c>
    </row>
    <row r="1154" spans="1:10" ht="17.25" customHeight="1" x14ac:dyDescent="0.25">
      <c r="A1154" s="4">
        <v>508</v>
      </c>
      <c r="B1154" s="5" t="s">
        <v>406</v>
      </c>
      <c r="C1154" s="5" t="s">
        <v>407</v>
      </c>
      <c r="D1154" s="16">
        <v>0.34976999999999991</v>
      </c>
      <c r="E1154" s="16">
        <v>0.26326000000000005</v>
      </c>
      <c r="F1154" s="17">
        <v>0.30797999999999992</v>
      </c>
      <c r="G1154" s="18">
        <v>689</v>
      </c>
      <c r="H1154" s="18">
        <v>258.26</v>
      </c>
      <c r="I1154" s="18">
        <v>689</v>
      </c>
      <c r="J1154" s="53">
        <v>110.18</v>
      </c>
    </row>
    <row r="1155" spans="1:10" ht="17.25" customHeight="1" x14ac:dyDescent="0.25">
      <c r="A1155" s="4">
        <v>520</v>
      </c>
      <c r="B1155" s="5" t="s">
        <v>416</v>
      </c>
      <c r="C1155" s="5" t="s">
        <v>419</v>
      </c>
      <c r="D1155" s="16">
        <v>0.25872000000000006</v>
      </c>
      <c r="E1155" s="16">
        <v>0.1968399999999999</v>
      </c>
      <c r="F1155" s="17">
        <v>0.24048000000000003</v>
      </c>
      <c r="G1155" s="18">
        <v>761</v>
      </c>
      <c r="H1155" s="18">
        <v>292.35000000000002</v>
      </c>
      <c r="I1155" s="18">
        <v>761</v>
      </c>
      <c r="J1155" s="53">
        <v>108.14</v>
      </c>
    </row>
    <row r="1156" spans="1:10" ht="17.25" customHeight="1" x14ac:dyDescent="0.25">
      <c r="A1156" s="4">
        <v>8</v>
      </c>
      <c r="B1156" s="5" t="s">
        <v>1464</v>
      </c>
      <c r="C1156" s="5" t="s">
        <v>1465</v>
      </c>
      <c r="D1156" s="16">
        <v>0.51316000000000006</v>
      </c>
      <c r="E1156" s="16">
        <v>0.27119000000000004</v>
      </c>
      <c r="F1156" s="17">
        <v>0.27200999999999986</v>
      </c>
      <c r="G1156" s="18">
        <v>455</v>
      </c>
      <c r="H1156" s="18">
        <v>145.37</v>
      </c>
      <c r="I1156" s="18">
        <v>455</v>
      </c>
      <c r="J1156" s="53">
        <v>98.92</v>
      </c>
    </row>
    <row r="1157" spans="1:10" ht="17.25" customHeight="1" x14ac:dyDescent="0.25">
      <c r="A1157" s="4">
        <v>764</v>
      </c>
      <c r="B1157" s="5" t="s">
        <v>2290</v>
      </c>
      <c r="C1157" s="5" t="s">
        <v>1747</v>
      </c>
      <c r="D1157" s="16">
        <v>0.39149999999999996</v>
      </c>
      <c r="E1157" s="16">
        <v>0.252</v>
      </c>
      <c r="F1157" s="17">
        <v>0.28570999999999991</v>
      </c>
      <c r="G1157" s="18">
        <v>800</v>
      </c>
      <c r="H1157" s="18">
        <v>464.15</v>
      </c>
      <c r="I1157" s="18">
        <v>800</v>
      </c>
      <c r="J1157" s="53">
        <v>166.13</v>
      </c>
    </row>
    <row r="1158" spans="1:10" ht="17.25" customHeight="1" x14ac:dyDescent="0.25">
      <c r="A1158" s="4">
        <v>761</v>
      </c>
      <c r="B1158" s="5" t="s">
        <v>1744</v>
      </c>
      <c r="C1158" s="5" t="s">
        <v>1745</v>
      </c>
      <c r="D1158" s="16">
        <v>0.35183000000000009</v>
      </c>
      <c r="E1158" s="16">
        <v>0.23219999999999996</v>
      </c>
      <c r="F1158" s="17">
        <v>0.23459999999999992</v>
      </c>
      <c r="G1158" s="18">
        <v>791</v>
      </c>
      <c r="H1158" s="18">
        <v>404.26</v>
      </c>
      <c r="I1158" s="18">
        <v>791</v>
      </c>
      <c r="J1158" s="53">
        <v>148.12</v>
      </c>
    </row>
    <row r="1159" spans="1:10" ht="17.25" customHeight="1" x14ac:dyDescent="0.25">
      <c r="A1159" s="4">
        <v>506</v>
      </c>
      <c r="B1159" s="5" t="s">
        <v>401</v>
      </c>
      <c r="C1159" s="5" t="s">
        <v>2587</v>
      </c>
      <c r="D1159" s="16">
        <v>0.36707000000000001</v>
      </c>
      <c r="E1159" s="16">
        <v>0.32699999999999996</v>
      </c>
      <c r="F1159" s="17">
        <v>0.28570999999999991</v>
      </c>
      <c r="G1159" s="18">
        <v>822</v>
      </c>
      <c r="H1159" s="18">
        <v>444.65</v>
      </c>
      <c r="I1159" s="18">
        <v>822</v>
      </c>
      <c r="J1159" s="53">
        <v>110.11</v>
      </c>
    </row>
    <row r="1160" spans="1:10" ht="17.25" customHeight="1" x14ac:dyDescent="0.25">
      <c r="A1160" s="4">
        <v>667</v>
      </c>
      <c r="B1160" s="5" t="s">
        <v>563</v>
      </c>
      <c r="C1160" s="5" t="s">
        <v>2588</v>
      </c>
      <c r="D1160" s="16">
        <v>0.33830000000000005</v>
      </c>
      <c r="E1160" s="16">
        <v>0.24380000000000002</v>
      </c>
      <c r="F1160" s="17">
        <v>0.24234</v>
      </c>
      <c r="G1160" s="18">
        <v>844</v>
      </c>
      <c r="H1160" s="18">
        <v>390.15</v>
      </c>
      <c r="I1160" s="18">
        <v>844</v>
      </c>
      <c r="J1160" s="53">
        <v>122.12</v>
      </c>
    </row>
    <row r="1161" spans="1:10" ht="17.25" customHeight="1" x14ac:dyDescent="0.25">
      <c r="A1161" s="4">
        <v>323</v>
      </c>
      <c r="B1161" s="5" t="s">
        <v>209</v>
      </c>
      <c r="C1161" s="5" t="s">
        <v>210</v>
      </c>
      <c r="D1161" s="16">
        <v>0.27801000000000009</v>
      </c>
      <c r="E1161" s="16">
        <v>0.32299999999999995</v>
      </c>
      <c r="F1161" s="17">
        <v>0.28570999999999991</v>
      </c>
      <c r="G1161" s="18">
        <v>638</v>
      </c>
      <c r="H1161" s="18">
        <v>379.15</v>
      </c>
      <c r="I1161" s="18">
        <v>638</v>
      </c>
      <c r="J1161" s="53">
        <v>86.14</v>
      </c>
    </row>
    <row r="1162" spans="1:10" ht="17.25" customHeight="1" x14ac:dyDescent="0.25">
      <c r="A1162" s="4">
        <v>436</v>
      </c>
      <c r="B1162" s="5" t="s">
        <v>341</v>
      </c>
      <c r="C1162" s="5" t="s">
        <v>343</v>
      </c>
      <c r="D1162" s="16">
        <v>0.27645000000000008</v>
      </c>
      <c r="E1162" s="16">
        <v>0.25459999999999994</v>
      </c>
      <c r="F1162" s="17">
        <v>0.27139999999999986</v>
      </c>
      <c r="G1162" s="18">
        <v>594.04999999999995</v>
      </c>
      <c r="H1162" s="18">
        <v>262.64999999999998</v>
      </c>
      <c r="I1162" s="18">
        <v>594.04999999999995</v>
      </c>
      <c r="J1162" s="53">
        <v>85.15</v>
      </c>
    </row>
    <row r="1163" spans="1:10" ht="17.25" customHeight="1" x14ac:dyDescent="0.25">
      <c r="A1163" s="4">
        <v>688</v>
      </c>
      <c r="B1163" s="5" t="s">
        <v>577</v>
      </c>
      <c r="C1163" s="5" t="s">
        <v>2589</v>
      </c>
      <c r="D1163" s="16">
        <v>0.36301000000000005</v>
      </c>
      <c r="E1163" s="16">
        <v>0.26523000000000008</v>
      </c>
      <c r="F1163" s="17">
        <v>0.28449999999999998</v>
      </c>
      <c r="G1163" s="18">
        <v>758</v>
      </c>
      <c r="H1163" s="18">
        <v>329</v>
      </c>
      <c r="I1163" s="18">
        <v>758</v>
      </c>
      <c r="J1163" s="53">
        <v>124.14</v>
      </c>
    </row>
    <row r="1164" spans="1:10" ht="17.25" customHeight="1" x14ac:dyDescent="0.25">
      <c r="A1164" s="4">
        <v>884</v>
      </c>
      <c r="B1164" s="5" t="s">
        <v>1788</v>
      </c>
      <c r="C1164" s="5" t="s">
        <v>2590</v>
      </c>
      <c r="D1164" s="16">
        <v>0.2742</v>
      </c>
      <c r="E1164" s="16">
        <v>0.22721999999999998</v>
      </c>
      <c r="F1164" s="17">
        <v>0.34660000000000002</v>
      </c>
      <c r="G1164" s="18">
        <v>665</v>
      </c>
      <c r="H1164" s="18">
        <v>239.02</v>
      </c>
      <c r="I1164" s="18">
        <v>665</v>
      </c>
      <c r="J1164" s="53">
        <v>118.18</v>
      </c>
    </row>
    <row r="1165" spans="1:10" ht="17.25" customHeight="1" x14ac:dyDescent="0.25">
      <c r="A1165" s="6">
        <v>502</v>
      </c>
      <c r="B1165" s="5" t="s">
        <v>398</v>
      </c>
      <c r="C1165" s="5" t="s">
        <v>2591</v>
      </c>
      <c r="D1165" s="16">
        <v>0.34240000000000004</v>
      </c>
      <c r="E1165" s="16">
        <v>0.252</v>
      </c>
      <c r="F1165" s="17">
        <v>0.28570999999999991</v>
      </c>
      <c r="G1165" s="18">
        <v>851</v>
      </c>
      <c r="H1165" s="18">
        <v>420.65</v>
      </c>
      <c r="I1165" s="18">
        <v>851</v>
      </c>
      <c r="J1165" s="53">
        <v>138.12</v>
      </c>
    </row>
    <row r="1166" spans="1:10" ht="17.25" customHeight="1" x14ac:dyDescent="0.25">
      <c r="A1166" s="4">
        <v>678</v>
      </c>
      <c r="B1166" s="5" t="s">
        <v>569</v>
      </c>
      <c r="C1166" s="5" t="s">
        <v>2592</v>
      </c>
      <c r="D1166" s="16">
        <v>0.31098000000000003</v>
      </c>
      <c r="E1166" s="16">
        <v>0.22476000000000007</v>
      </c>
      <c r="F1166" s="17">
        <v>0.25628000000000006</v>
      </c>
      <c r="G1166" s="18">
        <v>736</v>
      </c>
      <c r="H1166" s="18">
        <v>324.75</v>
      </c>
      <c r="I1166" s="18">
        <v>736</v>
      </c>
      <c r="J1166" s="53">
        <v>137.13999999999999</v>
      </c>
    </row>
    <row r="1167" spans="1:10" ht="17.25" customHeight="1" x14ac:dyDescent="0.25">
      <c r="A1167" s="4">
        <v>795</v>
      </c>
      <c r="B1167" s="5" t="s">
        <v>607</v>
      </c>
      <c r="C1167" s="5" t="s">
        <v>2593</v>
      </c>
      <c r="D1167" s="16">
        <v>0.31545000000000001</v>
      </c>
      <c r="E1167" s="16">
        <v>0.24764000000000008</v>
      </c>
      <c r="F1167" s="17">
        <v>0.28570000000000007</v>
      </c>
      <c r="G1167" s="18">
        <v>754</v>
      </c>
      <c r="H1167" s="18">
        <v>277</v>
      </c>
      <c r="I1167" s="18">
        <v>754</v>
      </c>
      <c r="J1167" s="53">
        <v>137.18</v>
      </c>
    </row>
    <row r="1168" spans="1:10" ht="17.25" customHeight="1" x14ac:dyDescent="0.25">
      <c r="A1168" s="4">
        <v>519</v>
      </c>
      <c r="B1168" s="5" t="s">
        <v>416</v>
      </c>
      <c r="C1168" s="5" t="s">
        <v>2594</v>
      </c>
      <c r="D1168" s="16">
        <v>0.34133999999999998</v>
      </c>
      <c r="E1168" s="16">
        <v>0.24797000000000002</v>
      </c>
      <c r="F1168" s="17">
        <v>0.28570999999999991</v>
      </c>
      <c r="G1168" s="18">
        <v>796</v>
      </c>
      <c r="H1168" s="18">
        <v>413</v>
      </c>
      <c r="I1168" s="18">
        <v>796</v>
      </c>
      <c r="J1168" s="53">
        <v>108.14</v>
      </c>
    </row>
    <row r="1169" spans="1:10" ht="17.25" customHeight="1" x14ac:dyDescent="0.25">
      <c r="A1169" s="4">
        <v>151</v>
      </c>
      <c r="B1169" s="5" t="s">
        <v>1689</v>
      </c>
      <c r="C1169" s="5" t="s">
        <v>1691</v>
      </c>
      <c r="D1169" s="16">
        <v>0.24730999999999992</v>
      </c>
      <c r="E1169" s="16">
        <v>0.27017000000000002</v>
      </c>
      <c r="F1169" s="17">
        <v>0.30299999999999994</v>
      </c>
      <c r="G1169" s="18">
        <v>393.15</v>
      </c>
      <c r="H1169" s="18">
        <v>136.87</v>
      </c>
      <c r="I1169" s="18">
        <v>393.15</v>
      </c>
      <c r="J1169" s="53">
        <v>40.06</v>
      </c>
    </row>
    <row r="1170" spans="1:10" ht="17.25" customHeight="1" x14ac:dyDescent="0.25">
      <c r="A1170" s="4">
        <v>211</v>
      </c>
      <c r="B1170" s="5" t="s">
        <v>78</v>
      </c>
      <c r="C1170" s="5" t="s">
        <v>79</v>
      </c>
      <c r="D1170" s="16">
        <v>0.2215100000000001</v>
      </c>
      <c r="E1170" s="16">
        <v>0.27743999999999991</v>
      </c>
      <c r="F1170" s="17">
        <v>0.28699999999999992</v>
      </c>
      <c r="G1170" s="18">
        <v>369.82</v>
      </c>
      <c r="H1170" s="18">
        <v>85.46</v>
      </c>
      <c r="I1170" s="18">
        <v>369.82</v>
      </c>
      <c r="J1170" s="53">
        <v>44.1</v>
      </c>
    </row>
    <row r="1171" spans="1:10" ht="17.25" customHeight="1" x14ac:dyDescent="0.25">
      <c r="A1171" s="4">
        <v>147</v>
      </c>
      <c r="B1171" s="5" t="s">
        <v>2311</v>
      </c>
      <c r="C1171" s="5" t="s">
        <v>1684</v>
      </c>
      <c r="D1171" s="16">
        <v>0.35312999999999994</v>
      </c>
      <c r="E1171" s="16">
        <v>0.25458999999999987</v>
      </c>
      <c r="F1171" s="17">
        <v>0.31319999999999992</v>
      </c>
      <c r="G1171" s="18">
        <v>541</v>
      </c>
      <c r="H1171" s="18">
        <v>293</v>
      </c>
      <c r="I1171" s="18">
        <v>541</v>
      </c>
      <c r="J1171" s="53">
        <v>74.510000000000005</v>
      </c>
    </row>
    <row r="1172" spans="1:10" ht="17.25" customHeight="1" x14ac:dyDescent="0.25">
      <c r="A1172" s="4">
        <v>154</v>
      </c>
      <c r="B1172" s="5" t="s">
        <v>1694</v>
      </c>
      <c r="C1172" s="5" t="s">
        <v>1696</v>
      </c>
      <c r="D1172" s="16">
        <v>0.30488000000000004</v>
      </c>
      <c r="E1172" s="16">
        <v>0.24900000000000011</v>
      </c>
      <c r="F1172" s="17">
        <v>0.28570000000000007</v>
      </c>
      <c r="G1172" s="18">
        <v>580</v>
      </c>
      <c r="H1172" s="18">
        <v>221.35</v>
      </c>
      <c r="I1172" s="18">
        <v>580</v>
      </c>
      <c r="J1172" s="53">
        <v>56.06</v>
      </c>
    </row>
    <row r="1173" spans="1:10" ht="17.25" customHeight="1" x14ac:dyDescent="0.25">
      <c r="A1173" s="4">
        <v>189</v>
      </c>
      <c r="B1173" s="5" t="s">
        <v>49</v>
      </c>
      <c r="C1173" s="5" t="s">
        <v>52</v>
      </c>
      <c r="D1173" s="16">
        <v>0.32282999999999995</v>
      </c>
      <c r="E1173" s="16">
        <v>0.25916000000000006</v>
      </c>
      <c r="F1173" s="17">
        <v>0.27644000000000002</v>
      </c>
      <c r="G1173" s="18">
        <v>604</v>
      </c>
      <c r="H1173" s="18">
        <v>252.45</v>
      </c>
      <c r="I1173" s="18">
        <v>604</v>
      </c>
      <c r="J1173" s="53">
        <v>74.08</v>
      </c>
    </row>
    <row r="1174" spans="1:10" ht="17.25" customHeight="1" x14ac:dyDescent="0.25">
      <c r="A1174" s="6">
        <v>542</v>
      </c>
      <c r="B1174" s="5" t="s">
        <v>441</v>
      </c>
      <c r="C1174" s="5" t="s">
        <v>443</v>
      </c>
      <c r="D1174" s="16">
        <v>0.32779999999999987</v>
      </c>
      <c r="E1174" s="16">
        <v>0.25807000000000002</v>
      </c>
      <c r="F1174" s="17">
        <v>0.28570999999999991</v>
      </c>
      <c r="G1174" s="18">
        <v>618</v>
      </c>
      <c r="H1174" s="18">
        <v>228.15</v>
      </c>
      <c r="I1174" s="18">
        <v>618</v>
      </c>
      <c r="J1174" s="53">
        <v>130.13999999999999</v>
      </c>
    </row>
    <row r="1175" spans="1:10" ht="17.25" customHeight="1" x14ac:dyDescent="0.25">
      <c r="A1175" s="4">
        <v>168</v>
      </c>
      <c r="B1175" s="5" t="s">
        <v>24</v>
      </c>
      <c r="C1175" s="5" t="s">
        <v>25</v>
      </c>
      <c r="D1175" s="16">
        <v>0.24012000000000011</v>
      </c>
      <c r="E1175" s="16">
        <v>0.23452000000000006</v>
      </c>
      <c r="F1175" s="17">
        <v>0.28039999999999998</v>
      </c>
      <c r="G1175" s="18">
        <v>564.4</v>
      </c>
      <c r="H1175" s="18">
        <v>180.26</v>
      </c>
      <c r="I1175" s="18">
        <v>564.4</v>
      </c>
      <c r="J1175" s="53">
        <v>55.08</v>
      </c>
    </row>
    <row r="1176" spans="1:10" ht="17.25" customHeight="1" x14ac:dyDescent="0.25">
      <c r="A1176" s="4">
        <v>627</v>
      </c>
      <c r="B1176" s="5" t="s">
        <v>517</v>
      </c>
      <c r="C1176" s="5" t="s">
        <v>518</v>
      </c>
      <c r="D1176" s="16">
        <v>0.32230000000000003</v>
      </c>
      <c r="E1176" s="16">
        <v>0.27700000000000014</v>
      </c>
      <c r="F1176" s="17">
        <v>0.28570999999999991</v>
      </c>
      <c r="G1176" s="18">
        <v>673</v>
      </c>
      <c r="H1176" s="18">
        <v>187.68</v>
      </c>
      <c r="I1176" s="18">
        <v>673</v>
      </c>
      <c r="J1176" s="53">
        <v>150.30000000000001</v>
      </c>
    </row>
    <row r="1177" spans="1:10" ht="17.25" customHeight="1" x14ac:dyDescent="0.25">
      <c r="A1177" s="4">
        <v>174</v>
      </c>
      <c r="B1177" s="5" t="s">
        <v>32</v>
      </c>
      <c r="C1177" s="5" t="s">
        <v>34</v>
      </c>
      <c r="D1177" s="16">
        <v>0.2331399999999999</v>
      </c>
      <c r="E1177" s="16">
        <v>0.27517000000000014</v>
      </c>
      <c r="F1177" s="17">
        <v>0.30245999999999995</v>
      </c>
      <c r="G1177" s="18">
        <v>364.76</v>
      </c>
      <c r="H1177" s="18">
        <v>87.9</v>
      </c>
      <c r="I1177" s="18">
        <v>364.76</v>
      </c>
      <c r="J1177" s="53">
        <v>42.08</v>
      </c>
    </row>
    <row r="1178" spans="1:10" ht="17.25" customHeight="1" x14ac:dyDescent="0.25">
      <c r="A1178" s="4">
        <v>204</v>
      </c>
      <c r="B1178" s="5" t="s">
        <v>69</v>
      </c>
      <c r="C1178" s="5" t="s">
        <v>71</v>
      </c>
      <c r="D1178" s="16">
        <v>0.27418999999999993</v>
      </c>
      <c r="E1178" s="16">
        <v>0.25659999999999994</v>
      </c>
      <c r="F1178" s="17">
        <v>0.28600000000000003</v>
      </c>
      <c r="G1178" s="18">
        <v>529</v>
      </c>
      <c r="H1178" s="18">
        <v>229</v>
      </c>
      <c r="I1178" s="18">
        <v>529</v>
      </c>
      <c r="J1178" s="53">
        <v>57.09</v>
      </c>
    </row>
    <row r="1179" spans="1:10" ht="17.25" customHeight="1" x14ac:dyDescent="0.25">
      <c r="A1179" s="4">
        <v>626</v>
      </c>
      <c r="B1179" s="5" t="s">
        <v>512</v>
      </c>
      <c r="C1179" s="5" t="s">
        <v>516</v>
      </c>
      <c r="D1179" s="16">
        <v>0.27919999999999989</v>
      </c>
      <c r="E1179" s="16">
        <v>0.26600000000000001</v>
      </c>
      <c r="F1179" s="17">
        <v>0.28570999999999991</v>
      </c>
      <c r="G1179" s="18">
        <v>609.73</v>
      </c>
      <c r="H1179" s="18">
        <v>170.45</v>
      </c>
      <c r="I1179" s="18">
        <v>609.73</v>
      </c>
      <c r="J1179" s="53">
        <v>118.24</v>
      </c>
    </row>
    <row r="1180" spans="1:10" ht="17.25" customHeight="1" x14ac:dyDescent="0.25">
      <c r="A1180" s="4">
        <v>1284</v>
      </c>
      <c r="B1180" s="5" t="s">
        <v>1035</v>
      </c>
      <c r="C1180" s="5" t="s">
        <v>1039</v>
      </c>
      <c r="D1180" s="16">
        <v>0.20179999999999998</v>
      </c>
      <c r="E1180" s="16">
        <v>0.19500000000000006</v>
      </c>
      <c r="F1180" s="17">
        <v>0.28570999999999991</v>
      </c>
      <c r="G1180" s="18">
        <v>798.63</v>
      </c>
      <c r="H1180" s="18">
        <v>294.16000000000003</v>
      </c>
      <c r="I1180" s="18">
        <v>798.63</v>
      </c>
      <c r="J1180" s="53">
        <v>272.52999999999997</v>
      </c>
    </row>
    <row r="1181" spans="1:10" ht="17.25" customHeight="1" x14ac:dyDescent="0.25">
      <c r="A1181" s="4">
        <v>1271</v>
      </c>
      <c r="B1181" s="5" t="s">
        <v>1020</v>
      </c>
      <c r="C1181" s="5" t="s">
        <v>1021</v>
      </c>
      <c r="D1181" s="16">
        <v>0.20789999999999997</v>
      </c>
      <c r="E1181" s="16">
        <v>0.20100000000000007</v>
      </c>
      <c r="F1181" s="17">
        <v>0.28570999999999991</v>
      </c>
      <c r="G1181" s="18">
        <v>787.27</v>
      </c>
      <c r="H1181" s="18">
        <v>288.16000000000003</v>
      </c>
      <c r="I1181" s="18">
        <v>787.27</v>
      </c>
      <c r="J1181" s="53">
        <v>258.5</v>
      </c>
    </row>
    <row r="1182" spans="1:10" ht="17.25" customHeight="1" x14ac:dyDescent="0.25">
      <c r="A1182" s="4">
        <v>1228</v>
      </c>
      <c r="B1182" s="5" t="s">
        <v>967</v>
      </c>
      <c r="C1182" s="5" t="s">
        <v>972</v>
      </c>
      <c r="D1182" s="16">
        <v>0.22019999999999995</v>
      </c>
      <c r="E1182" s="16">
        <v>0.21300000000000008</v>
      </c>
      <c r="F1182" s="17">
        <v>0.28570999999999991</v>
      </c>
      <c r="G1182" s="18">
        <v>762.23</v>
      </c>
      <c r="H1182" s="18">
        <v>276.16000000000003</v>
      </c>
      <c r="I1182" s="18">
        <v>762.23</v>
      </c>
      <c r="J1182" s="53">
        <v>230.45</v>
      </c>
    </row>
    <row r="1183" spans="1:10" ht="17.25" customHeight="1" x14ac:dyDescent="0.25">
      <c r="A1183" s="4">
        <v>1289</v>
      </c>
      <c r="B1183" s="5" t="s">
        <v>1043</v>
      </c>
      <c r="C1183" s="5" t="s">
        <v>2595</v>
      </c>
      <c r="D1183" s="16">
        <v>0.30203000000000002</v>
      </c>
      <c r="E1183" s="16">
        <v>0.23660999999999999</v>
      </c>
      <c r="F1183" s="17">
        <v>0.29435000000000011</v>
      </c>
      <c r="G1183" s="18">
        <v>925.95</v>
      </c>
      <c r="H1183" s="18">
        <v>485</v>
      </c>
      <c r="I1183" s="18">
        <v>925.95</v>
      </c>
      <c r="J1183" s="53">
        <v>230.3</v>
      </c>
    </row>
    <row r="1184" spans="1:10" ht="17.25" customHeight="1" x14ac:dyDescent="0.25">
      <c r="A1184" s="4">
        <v>1109</v>
      </c>
      <c r="B1184" s="5" t="s">
        <v>826</v>
      </c>
      <c r="C1184" s="5" t="s">
        <v>2596</v>
      </c>
      <c r="D1184" s="16">
        <v>0.30032999999999999</v>
      </c>
      <c r="E1184" s="16">
        <v>0.26100000000000012</v>
      </c>
      <c r="F1184" s="17">
        <v>0.28570999999999991</v>
      </c>
      <c r="G1184" s="18">
        <v>751</v>
      </c>
      <c r="H1184" s="18">
        <v>366</v>
      </c>
      <c r="I1184" s="18">
        <v>751</v>
      </c>
      <c r="J1184" s="53">
        <v>164.24</v>
      </c>
    </row>
    <row r="1185" spans="1:10" ht="17.25" customHeight="1" x14ac:dyDescent="0.25">
      <c r="A1185" s="4">
        <v>994</v>
      </c>
      <c r="B1185" s="5" t="s">
        <v>713</v>
      </c>
      <c r="C1185" s="5" t="s">
        <v>2597</v>
      </c>
      <c r="D1185" s="16">
        <v>0.35023999999999988</v>
      </c>
      <c r="E1185" s="16">
        <v>0.27729999999999988</v>
      </c>
      <c r="F1185" s="17">
        <v>0.28570000000000007</v>
      </c>
      <c r="G1185" s="18">
        <v>776</v>
      </c>
      <c r="H1185" s="18">
        <v>325</v>
      </c>
      <c r="I1185" s="18">
        <v>776</v>
      </c>
      <c r="J1185" s="53">
        <v>166.22</v>
      </c>
    </row>
    <row r="1186" spans="1:10" ht="17.25" customHeight="1" x14ac:dyDescent="0.25">
      <c r="A1186" s="4">
        <v>1217</v>
      </c>
      <c r="B1186" s="5" t="s">
        <v>958</v>
      </c>
      <c r="C1186" s="5" t="s">
        <v>2598</v>
      </c>
      <c r="D1186" s="16">
        <v>0.29349000000000003</v>
      </c>
      <c r="E1186" s="16">
        <v>0.252</v>
      </c>
      <c r="F1186" s="17">
        <v>0.29000000000000004</v>
      </c>
      <c r="G1186" s="18">
        <v>765</v>
      </c>
      <c r="H1186" s="18">
        <v>358.55</v>
      </c>
      <c r="I1186" s="18">
        <v>765</v>
      </c>
      <c r="J1186" s="53">
        <v>206.32</v>
      </c>
    </row>
    <row r="1187" spans="1:10" ht="17.25" customHeight="1" x14ac:dyDescent="0.25">
      <c r="A1187" s="4">
        <v>771</v>
      </c>
      <c r="B1187" s="5" t="s">
        <v>1755</v>
      </c>
      <c r="C1187" s="5" t="s">
        <v>2599</v>
      </c>
      <c r="D1187" s="16">
        <v>0.30688000000000004</v>
      </c>
      <c r="E1187" s="16">
        <v>0.24760000000000004</v>
      </c>
      <c r="F1187" s="17">
        <v>0.28570000000000007</v>
      </c>
      <c r="G1187" s="18">
        <v>698</v>
      </c>
      <c r="H1187" s="18">
        <v>298.85000000000002</v>
      </c>
      <c r="I1187" s="18">
        <v>698</v>
      </c>
      <c r="J1187" s="53">
        <v>120.15</v>
      </c>
    </row>
    <row r="1188" spans="1:10" ht="17.25" customHeight="1" x14ac:dyDescent="0.25">
      <c r="A1188" s="4">
        <v>774</v>
      </c>
      <c r="B1188" s="5" t="s">
        <v>1756</v>
      </c>
      <c r="C1188" s="5" t="s">
        <v>2600</v>
      </c>
      <c r="D1188" s="16">
        <v>0.34356999999999993</v>
      </c>
      <c r="E1188" s="16">
        <v>0.23799999999999999</v>
      </c>
      <c r="F1188" s="17">
        <v>0.28570999999999991</v>
      </c>
      <c r="G1188" s="18">
        <v>773</v>
      </c>
      <c r="H1188" s="18">
        <v>452.75</v>
      </c>
      <c r="I1188" s="18">
        <v>773</v>
      </c>
      <c r="J1188" s="53">
        <v>136.15</v>
      </c>
    </row>
    <row r="1189" spans="1:10" ht="17.25" customHeight="1" x14ac:dyDescent="0.25">
      <c r="A1189" s="4">
        <v>781</v>
      </c>
      <c r="B1189" s="5" t="s">
        <v>594</v>
      </c>
      <c r="C1189" s="5" t="s">
        <v>2601</v>
      </c>
      <c r="D1189" s="16">
        <v>0.27984000000000009</v>
      </c>
      <c r="E1189" s="16">
        <v>0.26002999999999998</v>
      </c>
      <c r="F1189" s="17">
        <v>0.27899999999999991</v>
      </c>
      <c r="G1189" s="18">
        <v>616.26</v>
      </c>
      <c r="H1189" s="18">
        <v>286.41000000000003</v>
      </c>
      <c r="I1189" s="18">
        <v>616.26</v>
      </c>
      <c r="J1189" s="53">
        <v>106.16</v>
      </c>
    </row>
    <row r="1190" spans="1:10" ht="17.25" customHeight="1" x14ac:dyDescent="0.25">
      <c r="A1190" s="4">
        <v>1253</v>
      </c>
      <c r="B1190" s="5" t="s">
        <v>1004</v>
      </c>
      <c r="C1190" s="5" t="s">
        <v>1005</v>
      </c>
      <c r="D1190" s="16">
        <v>0.31756999999999991</v>
      </c>
      <c r="E1190" s="16">
        <v>0.21360000000000001</v>
      </c>
      <c r="F1190" s="17">
        <v>0.28570999999999991</v>
      </c>
      <c r="G1190" s="18">
        <v>936</v>
      </c>
      <c r="H1190" s="18">
        <v>423.81</v>
      </c>
      <c r="I1190" s="18">
        <v>936</v>
      </c>
      <c r="J1190" s="53">
        <v>202.25</v>
      </c>
    </row>
    <row r="1191" spans="1:10" ht="17.25" customHeight="1" x14ac:dyDescent="0.25">
      <c r="A1191" s="4">
        <v>360</v>
      </c>
      <c r="B1191" s="5" t="s">
        <v>251</v>
      </c>
      <c r="C1191" s="5" t="s">
        <v>252</v>
      </c>
      <c r="D1191" s="16">
        <v>0.30752000000000002</v>
      </c>
      <c r="E1191" s="16">
        <v>0.24333000000000005</v>
      </c>
      <c r="F1191" s="17">
        <v>0.30449999999999999</v>
      </c>
      <c r="G1191" s="18">
        <v>619.95000000000005</v>
      </c>
      <c r="H1191" s="18">
        <v>231.53</v>
      </c>
      <c r="I1191" s="18">
        <v>619.95000000000005</v>
      </c>
      <c r="J1191" s="53">
        <v>79.099999999999994</v>
      </c>
    </row>
    <row r="1192" spans="1:10" ht="17.25" customHeight="1" x14ac:dyDescent="0.25">
      <c r="A1192" s="4">
        <v>959</v>
      </c>
      <c r="B1192" s="5" t="s">
        <v>687</v>
      </c>
      <c r="C1192" s="5" t="s">
        <v>688</v>
      </c>
      <c r="D1192" s="16">
        <v>0.43515999999999999</v>
      </c>
      <c r="E1192" s="16">
        <v>0.24699999999999989</v>
      </c>
      <c r="F1192" s="17">
        <v>0.28570999999999991</v>
      </c>
      <c r="G1192" s="18">
        <v>893</v>
      </c>
      <c r="H1192" s="18">
        <v>554</v>
      </c>
      <c r="I1192" s="18">
        <v>893</v>
      </c>
      <c r="J1192" s="53">
        <v>254.15</v>
      </c>
    </row>
    <row r="1193" spans="1:10" ht="17.25" customHeight="1" x14ac:dyDescent="0.25">
      <c r="A1193" s="4">
        <v>251</v>
      </c>
      <c r="B1193" s="5" t="s">
        <v>131</v>
      </c>
      <c r="C1193" s="5" t="s">
        <v>133</v>
      </c>
      <c r="D1193" s="16">
        <v>0.29167999999999994</v>
      </c>
      <c r="E1193" s="16">
        <v>0.24703000000000008</v>
      </c>
      <c r="F1193" s="17">
        <v>0.24792999999999998</v>
      </c>
      <c r="G1193" s="18">
        <v>639.75</v>
      </c>
      <c r="H1193" s="18">
        <v>249.74</v>
      </c>
      <c r="I1193" s="18">
        <v>639.75</v>
      </c>
      <c r="J1193" s="53">
        <v>67.09</v>
      </c>
    </row>
    <row r="1194" spans="1:10" ht="17.25" customHeight="1" x14ac:dyDescent="0.25">
      <c r="A1194" s="4">
        <v>316</v>
      </c>
      <c r="B1194" s="5" t="s">
        <v>199</v>
      </c>
      <c r="C1194" s="5" t="s">
        <v>200</v>
      </c>
      <c r="D1194" s="16">
        <v>0.28603000000000001</v>
      </c>
      <c r="E1194" s="16">
        <v>0.26232999999999995</v>
      </c>
      <c r="F1194" s="17">
        <v>0.26330000000000009</v>
      </c>
      <c r="G1194" s="18">
        <v>568.54999999999995</v>
      </c>
      <c r="H1194" s="18">
        <v>215.31</v>
      </c>
      <c r="I1194" s="18">
        <v>568.54999999999995</v>
      </c>
      <c r="J1194" s="53">
        <v>71.12</v>
      </c>
    </row>
    <row r="1195" spans="1:10" ht="17.25" customHeight="1" x14ac:dyDescent="0.25">
      <c r="A1195" s="4">
        <v>159</v>
      </c>
      <c r="B1195" s="5" t="s">
        <v>11</v>
      </c>
      <c r="C1195" s="5" t="s">
        <v>13</v>
      </c>
      <c r="D1195" s="16">
        <v>0.36841999999999997</v>
      </c>
      <c r="E1195" s="16">
        <v>0.23910000000000009</v>
      </c>
      <c r="F1195" s="17">
        <v>0.23399999999999999</v>
      </c>
      <c r="G1195" s="18">
        <v>634.52</v>
      </c>
      <c r="H1195" s="18">
        <v>286.75</v>
      </c>
      <c r="I1195" s="18">
        <v>634.52</v>
      </c>
      <c r="J1195" s="53">
        <v>88.06</v>
      </c>
    </row>
    <row r="1196" spans="1:10" ht="17.25" customHeight="1" x14ac:dyDescent="0.25">
      <c r="A1196" s="6">
        <v>964</v>
      </c>
      <c r="B1196" s="5" t="s">
        <v>696</v>
      </c>
      <c r="C1196" s="5" t="s">
        <v>697</v>
      </c>
      <c r="D1196" s="16">
        <v>0.29044000000000003</v>
      </c>
      <c r="E1196" s="16">
        <v>0.22704999999999997</v>
      </c>
      <c r="F1196" s="17">
        <v>0.28570999999999991</v>
      </c>
      <c r="G1196" s="18">
        <v>773</v>
      </c>
      <c r="H1196" s="18">
        <v>272.14999999999998</v>
      </c>
      <c r="I1196" s="18">
        <v>773</v>
      </c>
      <c r="J1196" s="53">
        <v>143.18</v>
      </c>
    </row>
    <row r="1197" spans="1:10" ht="17.25" customHeight="1" x14ac:dyDescent="0.25">
      <c r="A1197" s="6">
        <v>668</v>
      </c>
      <c r="B1197" s="5" t="s">
        <v>563</v>
      </c>
      <c r="C1197" s="5" t="s">
        <v>564</v>
      </c>
      <c r="D1197" s="16">
        <v>0.35732999999999993</v>
      </c>
      <c r="E1197" s="16">
        <v>0.25344999999999995</v>
      </c>
      <c r="F1197" s="17">
        <v>0.26249999999999996</v>
      </c>
      <c r="G1197" s="18">
        <v>680</v>
      </c>
      <c r="H1197" s="18">
        <v>266.14999999999998</v>
      </c>
      <c r="I1197" s="18">
        <v>680</v>
      </c>
      <c r="J1197" s="53">
        <v>122.12</v>
      </c>
    </row>
    <row r="1198" spans="1:10" ht="17.25" customHeight="1" x14ac:dyDescent="0.25">
      <c r="A1198" s="4">
        <v>1010</v>
      </c>
      <c r="B1198" s="5" t="s">
        <v>2238</v>
      </c>
      <c r="C1198" s="5" t="s">
        <v>723</v>
      </c>
      <c r="D1198" s="16">
        <v>0.3071600000000001</v>
      </c>
      <c r="E1198" s="16">
        <v>0.22835000000000005</v>
      </c>
      <c r="F1198" s="17">
        <v>0.28570999999999991</v>
      </c>
      <c r="G1198" s="18">
        <v>815</v>
      </c>
      <c r="H1198" s="18">
        <v>407.65</v>
      </c>
      <c r="I1198" s="18">
        <v>815</v>
      </c>
      <c r="J1198" s="53">
        <v>202.25</v>
      </c>
    </row>
    <row r="1199" spans="1:10" ht="17.25" customHeight="1" x14ac:dyDescent="0.25">
      <c r="A1199" s="4">
        <v>325</v>
      </c>
      <c r="B1199" s="5" t="s">
        <v>211</v>
      </c>
      <c r="C1199" s="5" t="s">
        <v>2602</v>
      </c>
      <c r="D1199" s="26">
        <v>0.27313000000000009</v>
      </c>
      <c r="E1199" s="16">
        <v>0.26350000000000007</v>
      </c>
      <c r="F1199" s="17">
        <v>0.26039999999999996</v>
      </c>
      <c r="G1199" s="18">
        <v>536.01</v>
      </c>
      <c r="H1199" s="18">
        <v>158.44999999999999</v>
      </c>
      <c r="I1199" s="18">
        <v>536.01</v>
      </c>
      <c r="J1199" s="53">
        <v>74.12</v>
      </c>
    </row>
    <row r="1200" spans="1:10" ht="17.25" customHeight="1" x14ac:dyDescent="0.25">
      <c r="A1200" s="4">
        <v>579</v>
      </c>
      <c r="B1200" s="5" t="s">
        <v>474</v>
      </c>
      <c r="C1200" s="5" t="s">
        <v>2603</v>
      </c>
      <c r="D1200" s="16">
        <v>0.29861000000000004</v>
      </c>
      <c r="E1200" s="16">
        <v>0.26088</v>
      </c>
      <c r="F1200" s="17">
        <v>0.30420000000000003</v>
      </c>
      <c r="G1200" s="18">
        <v>561</v>
      </c>
      <c r="H1200" s="18">
        <v>174.15</v>
      </c>
      <c r="I1200" s="18">
        <v>561</v>
      </c>
      <c r="J1200" s="53">
        <v>116.16</v>
      </c>
    </row>
    <row r="1201" spans="1:10" ht="17.25" customHeight="1" x14ac:dyDescent="0.25">
      <c r="A1201" s="4">
        <v>313</v>
      </c>
      <c r="B1201" s="5" t="s">
        <v>2301</v>
      </c>
      <c r="C1201" s="5" t="s">
        <v>2604</v>
      </c>
      <c r="D1201" s="16">
        <v>0.30858999999999992</v>
      </c>
      <c r="E1201" s="16">
        <v>0.26946000000000003</v>
      </c>
      <c r="F1201" s="17">
        <v>0.27912999999999988</v>
      </c>
      <c r="G1201" s="18">
        <v>520.6</v>
      </c>
      <c r="H1201" s="18">
        <v>141.85</v>
      </c>
      <c r="I1201" s="18">
        <v>520.6</v>
      </c>
      <c r="J1201" s="53">
        <v>92.57</v>
      </c>
    </row>
    <row r="1202" spans="1:10" ht="17.25" customHeight="1" x14ac:dyDescent="0.25">
      <c r="A1202" s="4">
        <v>341</v>
      </c>
      <c r="B1202" s="5" t="s">
        <v>226</v>
      </c>
      <c r="C1202" s="5" t="s">
        <v>2605</v>
      </c>
      <c r="D1202" s="16">
        <v>0.29377999999999993</v>
      </c>
      <c r="E1202" s="16">
        <v>0.27024000000000004</v>
      </c>
      <c r="F1202" s="17">
        <v>0.30682000000000009</v>
      </c>
      <c r="G1202" s="18">
        <v>554</v>
      </c>
      <c r="H1202" s="18">
        <v>133.02000000000001</v>
      </c>
      <c r="I1202" s="18">
        <v>554</v>
      </c>
      <c r="J1202" s="53">
        <v>90.19</v>
      </c>
    </row>
    <row r="1203" spans="1:10" ht="17.25" customHeight="1" x14ac:dyDescent="0.25">
      <c r="A1203" s="4">
        <v>349</v>
      </c>
      <c r="B1203" s="5" t="s">
        <v>233</v>
      </c>
      <c r="C1203" s="5" t="s">
        <v>2606</v>
      </c>
      <c r="D1203" s="16">
        <v>0.23592999999999997</v>
      </c>
      <c r="E1203" s="16">
        <v>0.25099999999999989</v>
      </c>
      <c r="F1203" s="17">
        <v>0.24710999999999994</v>
      </c>
      <c r="G1203" s="18">
        <v>514.29999999999995</v>
      </c>
      <c r="H1203" s="18">
        <v>168.65</v>
      </c>
      <c r="I1203" s="18">
        <v>514.29999999999995</v>
      </c>
      <c r="J1203" s="53">
        <v>73.14</v>
      </c>
    </row>
    <row r="1204" spans="1:10" ht="17.25" customHeight="1" x14ac:dyDescent="0.25">
      <c r="A1204" s="4">
        <v>975</v>
      </c>
      <c r="B1204" s="5" t="s">
        <v>708</v>
      </c>
      <c r="C1204" s="5" t="s">
        <v>2607</v>
      </c>
      <c r="D1204" s="16">
        <v>0.27557999999999994</v>
      </c>
      <c r="E1204" s="16">
        <v>0.26012999999999997</v>
      </c>
      <c r="F1204" s="17">
        <v>0.28570000000000007</v>
      </c>
      <c r="G1204" s="20">
        <v>664.54</v>
      </c>
      <c r="H1204" s="18">
        <v>197.72</v>
      </c>
      <c r="I1204" s="20">
        <v>664.54</v>
      </c>
      <c r="J1204" s="53">
        <v>134.22</v>
      </c>
    </row>
    <row r="1205" spans="1:10" ht="17.25" customHeight="1" x14ac:dyDescent="0.25">
      <c r="A1205" s="4">
        <v>621</v>
      </c>
      <c r="B1205" s="5" t="s">
        <v>2312</v>
      </c>
      <c r="C1205" s="5" t="s">
        <v>511</v>
      </c>
      <c r="D1205" s="16">
        <v>0.37718000000000007</v>
      </c>
      <c r="E1205" s="16">
        <v>0.23255000000000003</v>
      </c>
      <c r="F1205" s="17">
        <v>0.21730999999999989</v>
      </c>
      <c r="G1205" s="18">
        <v>959</v>
      </c>
      <c r="H1205" s="18">
        <v>370.85</v>
      </c>
      <c r="I1205" s="18">
        <v>959</v>
      </c>
      <c r="J1205" s="53">
        <v>182.17</v>
      </c>
    </row>
    <row r="1206" spans="1:10" ht="17.25" customHeight="1" x14ac:dyDescent="0.25">
      <c r="A1206" s="4">
        <v>386</v>
      </c>
      <c r="B1206" s="5" t="s">
        <v>272</v>
      </c>
      <c r="C1206" s="5" t="s">
        <v>283</v>
      </c>
      <c r="D1206" s="16">
        <v>0.28800000000000003</v>
      </c>
      <c r="E1206" s="16">
        <v>0.29699999999999993</v>
      </c>
      <c r="F1206" s="17">
        <v>0.28570999999999991</v>
      </c>
      <c r="G1206" s="18">
        <v>499.74</v>
      </c>
      <c r="H1206" s="18">
        <v>166.11</v>
      </c>
      <c r="I1206" s="18">
        <v>499.74</v>
      </c>
      <c r="J1206" s="53">
        <v>68.12</v>
      </c>
    </row>
    <row r="1207" spans="1:10" ht="17.25" customHeight="1" x14ac:dyDescent="0.25">
      <c r="A1207" s="4">
        <v>1305</v>
      </c>
      <c r="B1207" s="5" t="s">
        <v>1064</v>
      </c>
      <c r="C1207" s="5" t="s">
        <v>1065</v>
      </c>
      <c r="D1207" s="16">
        <v>0.27980000000000005</v>
      </c>
      <c r="E1207" s="16">
        <v>0.26862000000000008</v>
      </c>
      <c r="F1207" s="17">
        <v>0.30249999999999999</v>
      </c>
      <c r="G1207" s="18">
        <v>799</v>
      </c>
      <c r="H1207" s="18">
        <v>342.75</v>
      </c>
      <c r="I1207" s="18">
        <v>799</v>
      </c>
      <c r="J1207" s="53">
        <v>252.48</v>
      </c>
    </row>
    <row r="1208" spans="1:10" ht="17.25" customHeight="1" x14ac:dyDescent="0.25">
      <c r="A1208" s="4">
        <v>768</v>
      </c>
      <c r="B1208" s="5" t="s">
        <v>1752</v>
      </c>
      <c r="C1208" s="5" t="s">
        <v>1753</v>
      </c>
      <c r="D1208" s="16">
        <v>0.29383000000000004</v>
      </c>
      <c r="E1208" s="16">
        <v>0.26315</v>
      </c>
      <c r="F1208" s="17">
        <v>0.28570000000000007</v>
      </c>
      <c r="G1208" s="18">
        <v>648</v>
      </c>
      <c r="H1208" s="18">
        <v>242.54</v>
      </c>
      <c r="I1208" s="18">
        <v>648</v>
      </c>
      <c r="J1208" s="53">
        <v>104.15</v>
      </c>
    </row>
    <row r="1209" spans="1:10" ht="17.25" customHeight="1" x14ac:dyDescent="0.25">
      <c r="A1209" s="4">
        <v>275</v>
      </c>
      <c r="B1209" s="5" t="s">
        <v>2313</v>
      </c>
      <c r="C1209" s="5" t="s">
        <v>156</v>
      </c>
      <c r="D1209" s="16">
        <v>0.39352000000000009</v>
      </c>
      <c r="E1209" s="16">
        <v>0.21090999999999993</v>
      </c>
      <c r="F1209" s="17">
        <v>0.28570999999999991</v>
      </c>
      <c r="G1209" s="18">
        <v>806</v>
      </c>
      <c r="H1209" s="18">
        <v>461.15</v>
      </c>
      <c r="I1209" s="18">
        <v>806</v>
      </c>
      <c r="J1209" s="53">
        <v>118.09</v>
      </c>
    </row>
    <row r="1210" spans="1:10" ht="17.25" customHeight="1" x14ac:dyDescent="0.25">
      <c r="A1210" s="4">
        <v>243</v>
      </c>
      <c r="B1210" s="5" t="s">
        <v>124</v>
      </c>
      <c r="C1210" s="5" t="s">
        <v>125</v>
      </c>
      <c r="D1210" s="16">
        <v>0.44789999999999996</v>
      </c>
      <c r="E1210" s="16">
        <v>0.22300000000000009</v>
      </c>
      <c r="F1210" s="17">
        <v>0.28570999999999991</v>
      </c>
      <c r="G1210" s="18">
        <v>811</v>
      </c>
      <c r="H1210" s="18">
        <v>393</v>
      </c>
      <c r="I1210" s="18">
        <v>811</v>
      </c>
      <c r="J1210" s="53">
        <v>104.1</v>
      </c>
    </row>
    <row r="1211" spans="1:10" ht="17.25" customHeight="1" x14ac:dyDescent="0.25">
      <c r="A1211" s="4">
        <v>240</v>
      </c>
      <c r="B1211" s="5" t="s">
        <v>118</v>
      </c>
      <c r="C1211" s="5" t="s">
        <v>119</v>
      </c>
      <c r="D1211" s="16">
        <v>0.26696000000000009</v>
      </c>
      <c r="E1211" s="16">
        <v>0.21792999999999996</v>
      </c>
      <c r="F1211" s="17">
        <v>0.27022999999999997</v>
      </c>
      <c r="G1211" s="18">
        <v>770</v>
      </c>
      <c r="H1211" s="18">
        <v>331.3</v>
      </c>
      <c r="I1211" s="18">
        <v>770</v>
      </c>
      <c r="J1211" s="53">
        <v>80.09</v>
      </c>
    </row>
    <row r="1212" spans="1:10" ht="17.25" customHeight="1" x14ac:dyDescent="0.25">
      <c r="A1212" s="4">
        <v>308</v>
      </c>
      <c r="B1212" s="5" t="s">
        <v>190</v>
      </c>
      <c r="C1212" s="5" t="s">
        <v>191</v>
      </c>
      <c r="D1212" s="16">
        <v>0.40060000000000007</v>
      </c>
      <c r="E1212" s="16">
        <v>0.26983000000000001</v>
      </c>
      <c r="F1212" s="17">
        <v>0.30400000000000005</v>
      </c>
      <c r="G1212" s="18">
        <v>849</v>
      </c>
      <c r="H1212" s="18">
        <v>300.75</v>
      </c>
      <c r="I1212" s="18">
        <v>849</v>
      </c>
      <c r="J1212" s="53">
        <v>120.17</v>
      </c>
    </row>
    <row r="1213" spans="1:10" ht="17.25" customHeight="1" x14ac:dyDescent="0.25">
      <c r="A1213" s="4">
        <v>278</v>
      </c>
      <c r="B1213" s="5" t="s">
        <v>2314</v>
      </c>
      <c r="C1213" s="5" t="s">
        <v>160</v>
      </c>
      <c r="D1213" s="16">
        <v>0.49068000000000001</v>
      </c>
      <c r="E1213" s="16">
        <v>0.22999999999999998</v>
      </c>
      <c r="F1213" s="17">
        <v>0.28570999999999991</v>
      </c>
      <c r="G1213" s="18">
        <v>828</v>
      </c>
      <c r="H1213" s="18">
        <v>479.15</v>
      </c>
      <c r="I1213" s="18">
        <v>828</v>
      </c>
      <c r="J1213" s="53">
        <v>150.09</v>
      </c>
    </row>
    <row r="1214" spans="1:10" ht="17.25" customHeight="1" x14ac:dyDescent="0.25">
      <c r="A1214" s="4">
        <v>580</v>
      </c>
      <c r="B1214" s="5" t="s">
        <v>474</v>
      </c>
      <c r="C1214" s="5" t="s">
        <v>2608</v>
      </c>
      <c r="D1214" s="16">
        <v>0.29861000000000004</v>
      </c>
      <c r="E1214" s="16">
        <v>0.26927000000000012</v>
      </c>
      <c r="F1214" s="17">
        <v>0.26995999999999998</v>
      </c>
      <c r="G1214" s="18">
        <v>545</v>
      </c>
      <c r="H1214" s="18">
        <v>283.14999999999998</v>
      </c>
      <c r="I1214" s="18">
        <v>545</v>
      </c>
      <c r="J1214" s="53">
        <v>116.16</v>
      </c>
    </row>
    <row r="1215" spans="1:10" ht="17.25" customHeight="1" x14ac:dyDescent="0.25">
      <c r="A1215" s="4">
        <v>326</v>
      </c>
      <c r="B1215" s="5" t="s">
        <v>211</v>
      </c>
      <c r="C1215" s="5" t="s">
        <v>2609</v>
      </c>
      <c r="D1215" s="16">
        <v>0.26920999999999995</v>
      </c>
      <c r="E1215" s="16">
        <v>0.25649999999999995</v>
      </c>
      <c r="F1215" s="17">
        <v>0.27370000000000005</v>
      </c>
      <c r="G1215" s="18">
        <v>506.2</v>
      </c>
      <c r="H1215" s="18">
        <v>298.97000000000003</v>
      </c>
      <c r="I1215" s="18">
        <v>506.2</v>
      </c>
      <c r="J1215" s="53">
        <v>74.12</v>
      </c>
    </row>
    <row r="1216" spans="1:10" ht="17.25" customHeight="1" x14ac:dyDescent="0.25">
      <c r="A1216" s="4">
        <v>314</v>
      </c>
      <c r="B1216" s="5" t="s">
        <v>2301</v>
      </c>
      <c r="C1216" s="5" t="s">
        <v>2610</v>
      </c>
      <c r="D1216" s="16">
        <v>0.30888000000000004</v>
      </c>
      <c r="E1216" s="16">
        <v>0.27727000000000013</v>
      </c>
      <c r="F1216" s="17">
        <v>0.28570999999999991</v>
      </c>
      <c r="G1216" s="18">
        <v>507</v>
      </c>
      <c r="H1216" s="18">
        <v>247.75</v>
      </c>
      <c r="I1216" s="18">
        <v>507</v>
      </c>
      <c r="J1216" s="53">
        <v>92.57</v>
      </c>
    </row>
    <row r="1217" spans="1:10" ht="17.25" customHeight="1" x14ac:dyDescent="0.25">
      <c r="A1217" s="4">
        <v>342</v>
      </c>
      <c r="B1217" s="5" t="s">
        <v>226</v>
      </c>
      <c r="C1217" s="5" t="s">
        <v>2611</v>
      </c>
      <c r="D1217" s="16">
        <v>0.29376999999999986</v>
      </c>
      <c r="E1217" s="16">
        <v>0.27350999999999992</v>
      </c>
      <c r="F1217" s="17">
        <v>0.32001999999999997</v>
      </c>
      <c r="G1217" s="18">
        <v>530</v>
      </c>
      <c r="H1217" s="18">
        <v>274.26</v>
      </c>
      <c r="I1217" s="18">
        <v>530</v>
      </c>
      <c r="J1217" s="53">
        <v>90.19</v>
      </c>
    </row>
    <row r="1218" spans="1:10" ht="17.25" customHeight="1" x14ac:dyDescent="0.25">
      <c r="A1218" s="4">
        <v>350</v>
      </c>
      <c r="B1218" s="5" t="s">
        <v>233</v>
      </c>
      <c r="C1218" s="5" t="s">
        <v>2612</v>
      </c>
      <c r="D1218" s="16">
        <v>0.24960000000000004</v>
      </c>
      <c r="E1218" s="16">
        <v>0.27438000000000007</v>
      </c>
      <c r="F1218" s="17">
        <v>0.254</v>
      </c>
      <c r="G1218" s="18">
        <v>483.9</v>
      </c>
      <c r="H1218" s="18">
        <v>206.19</v>
      </c>
      <c r="I1218" s="18">
        <v>483.9</v>
      </c>
      <c r="J1218" s="53">
        <v>73.14</v>
      </c>
    </row>
    <row r="1219" spans="1:10" ht="17.25" customHeight="1" x14ac:dyDescent="0.25">
      <c r="A1219" s="4">
        <v>976</v>
      </c>
      <c r="B1219" s="5" t="s">
        <v>708</v>
      </c>
      <c r="C1219" s="5" t="s">
        <v>2613</v>
      </c>
      <c r="D1219" s="16">
        <v>0.2783199999999999</v>
      </c>
      <c r="E1219" s="16">
        <v>0.26102999999999987</v>
      </c>
      <c r="F1219" s="17">
        <v>0.28570000000000007</v>
      </c>
      <c r="G1219" s="18">
        <v>660</v>
      </c>
      <c r="H1219" s="18">
        <v>215.27</v>
      </c>
      <c r="I1219" s="18">
        <v>660</v>
      </c>
      <c r="J1219" s="53">
        <v>134.22</v>
      </c>
    </row>
    <row r="1220" spans="1:10" ht="17.25" customHeight="1" x14ac:dyDescent="0.25">
      <c r="A1220" s="4">
        <v>437</v>
      </c>
      <c r="B1220" s="5" t="s">
        <v>344</v>
      </c>
      <c r="C1220" s="5" t="s">
        <v>2614</v>
      </c>
      <c r="D1220" s="16">
        <v>0.26401000000000008</v>
      </c>
      <c r="E1220" s="16">
        <v>0.23707000000000011</v>
      </c>
      <c r="F1220" s="17">
        <v>0.28570999999999991</v>
      </c>
      <c r="G1220" s="18">
        <v>692</v>
      </c>
      <c r="H1220" s="18">
        <v>289.14999999999998</v>
      </c>
      <c r="I1220" s="18">
        <v>692</v>
      </c>
      <c r="J1220" s="53">
        <v>101.15</v>
      </c>
    </row>
    <row r="1221" spans="1:10" ht="17.25" customHeight="1" x14ac:dyDescent="0.25">
      <c r="A1221" s="4">
        <v>860</v>
      </c>
      <c r="B1221" s="5" t="s">
        <v>1764</v>
      </c>
      <c r="C1221" s="5" t="s">
        <v>2615</v>
      </c>
      <c r="D1221" s="16">
        <v>0.27675000000000005</v>
      </c>
      <c r="E1221" s="16">
        <v>0.26262999999999992</v>
      </c>
      <c r="F1221" s="17">
        <v>0.28570999999999991</v>
      </c>
      <c r="G1221" s="18">
        <v>627</v>
      </c>
      <c r="H1221" s="18">
        <v>199</v>
      </c>
      <c r="I1221" s="18">
        <v>627</v>
      </c>
      <c r="J1221" s="53">
        <v>146.29</v>
      </c>
    </row>
    <row r="1222" spans="1:10" ht="17.25" customHeight="1" x14ac:dyDescent="0.25">
      <c r="A1222" s="4">
        <v>442</v>
      </c>
      <c r="B1222" s="5" t="s">
        <v>348</v>
      </c>
      <c r="C1222" s="5" t="s">
        <v>2616</v>
      </c>
      <c r="D1222" s="16">
        <v>0.29299999999999993</v>
      </c>
      <c r="E1222" s="16">
        <v>0.28000000000000003</v>
      </c>
      <c r="F1222" s="17">
        <v>0.28570999999999991</v>
      </c>
      <c r="G1222" s="18">
        <v>549</v>
      </c>
      <c r="H1222" s="18">
        <v>327</v>
      </c>
      <c r="I1222" s="18">
        <v>549</v>
      </c>
      <c r="J1222" s="53">
        <v>88.15</v>
      </c>
    </row>
    <row r="1223" spans="1:10" ht="17.25" customHeight="1" x14ac:dyDescent="0.25">
      <c r="A1223" s="4">
        <v>57</v>
      </c>
      <c r="B1223" s="5" t="s">
        <v>1541</v>
      </c>
      <c r="C1223" s="5" t="s">
        <v>1542</v>
      </c>
      <c r="D1223" s="16">
        <v>0.66671000000000014</v>
      </c>
      <c r="E1223" s="16">
        <v>0.32757999999999998</v>
      </c>
      <c r="F1223" s="17">
        <v>0.35630000000000006</v>
      </c>
      <c r="G1223" s="18">
        <v>620</v>
      </c>
      <c r="H1223" s="18">
        <v>250.8</v>
      </c>
      <c r="I1223" s="18">
        <v>620</v>
      </c>
      <c r="J1223" s="53">
        <v>165.83</v>
      </c>
    </row>
    <row r="1224" spans="1:10" ht="17.25" customHeight="1" x14ac:dyDescent="0.25">
      <c r="A1224" s="4">
        <v>232</v>
      </c>
      <c r="B1224" s="5" t="s">
        <v>103</v>
      </c>
      <c r="C1224" s="5" t="s">
        <v>104</v>
      </c>
      <c r="D1224" s="16">
        <v>0.51828999999999992</v>
      </c>
      <c r="E1224" s="16">
        <v>0.25099999999999989</v>
      </c>
      <c r="F1224" s="17">
        <v>0.28570000000000007</v>
      </c>
      <c r="G1224" s="18">
        <v>753</v>
      </c>
      <c r="H1224" s="18">
        <v>301.97000000000003</v>
      </c>
      <c r="I1224" s="18">
        <v>753</v>
      </c>
      <c r="J1224" s="53">
        <v>221.92</v>
      </c>
    </row>
    <row r="1225" spans="1:10" ht="17.25" customHeight="1" x14ac:dyDescent="0.25">
      <c r="A1225" s="4">
        <v>1231</v>
      </c>
      <c r="B1225" s="5" t="s">
        <v>976</v>
      </c>
      <c r="C1225" s="5" t="s">
        <v>977</v>
      </c>
      <c r="D1225" s="16">
        <v>0.24069000000000007</v>
      </c>
      <c r="E1225" s="16">
        <v>0.24507999999999996</v>
      </c>
      <c r="F1225" s="17">
        <v>0.28570999999999991</v>
      </c>
      <c r="G1225" s="18">
        <v>722.3</v>
      </c>
      <c r="H1225" s="18">
        <v>311.33999999999997</v>
      </c>
      <c r="I1225" s="18">
        <v>722.3</v>
      </c>
      <c r="J1225" s="53">
        <v>213.4</v>
      </c>
    </row>
    <row r="1226" spans="1:10" ht="17.25" customHeight="1" x14ac:dyDescent="0.25">
      <c r="A1226" s="4">
        <v>858</v>
      </c>
      <c r="B1226" s="5" t="s">
        <v>662</v>
      </c>
      <c r="C1226" s="5" t="s">
        <v>663</v>
      </c>
      <c r="D1226" s="16">
        <v>0.33834000000000009</v>
      </c>
      <c r="E1226" s="16">
        <v>0.2476799999999999</v>
      </c>
      <c r="F1226" s="17">
        <v>0.28570000000000007</v>
      </c>
      <c r="G1226" s="18">
        <v>722</v>
      </c>
      <c r="H1226" s="18">
        <v>268.14999999999998</v>
      </c>
      <c r="I1226" s="18">
        <v>722</v>
      </c>
      <c r="J1226" s="53">
        <v>194.22</v>
      </c>
    </row>
    <row r="1227" spans="1:10" ht="17.25" customHeight="1" x14ac:dyDescent="0.25">
      <c r="A1227" s="4">
        <v>1096</v>
      </c>
      <c r="B1227" s="5" t="s">
        <v>810</v>
      </c>
      <c r="C1227" s="5" t="s">
        <v>811</v>
      </c>
      <c r="D1227" s="16">
        <v>0.32980000000000009</v>
      </c>
      <c r="E1227" s="16">
        <v>0.25836999999999999</v>
      </c>
      <c r="F1227" s="17">
        <v>0.35270000000000001</v>
      </c>
      <c r="G1227" s="18">
        <v>705</v>
      </c>
      <c r="H1227" s="18">
        <v>243.45</v>
      </c>
      <c r="I1227" s="18">
        <v>705</v>
      </c>
      <c r="J1227" s="53">
        <v>222.28</v>
      </c>
    </row>
    <row r="1228" spans="1:10" ht="17.25" customHeight="1" x14ac:dyDescent="0.25">
      <c r="A1228" s="4">
        <v>869</v>
      </c>
      <c r="B1228" s="5" t="s">
        <v>1773</v>
      </c>
      <c r="C1228" s="5" t="s">
        <v>1774</v>
      </c>
      <c r="D1228" s="16">
        <v>0.2976399999999999</v>
      </c>
      <c r="E1228" s="16">
        <v>0.25004000000000004</v>
      </c>
      <c r="F1228" s="17">
        <v>0.28570999999999991</v>
      </c>
      <c r="G1228" s="18">
        <v>774</v>
      </c>
      <c r="H1228" s="18">
        <v>243</v>
      </c>
      <c r="I1228" s="18">
        <v>774</v>
      </c>
      <c r="J1228" s="53">
        <v>189.3</v>
      </c>
    </row>
    <row r="1229" spans="1:10" ht="17.25" customHeight="1" x14ac:dyDescent="0.25">
      <c r="A1229" s="4">
        <v>61</v>
      </c>
      <c r="B1229" s="5" t="s">
        <v>1549</v>
      </c>
      <c r="C1229" s="5" t="s">
        <v>1550</v>
      </c>
      <c r="D1229" s="16">
        <v>0.5758700000000001</v>
      </c>
      <c r="E1229" s="16">
        <v>0.26879999999999993</v>
      </c>
      <c r="F1229" s="17">
        <v>0.28570999999999991</v>
      </c>
      <c r="G1229" s="18">
        <v>306.45</v>
      </c>
      <c r="H1229" s="18">
        <v>142</v>
      </c>
      <c r="I1229" s="18">
        <v>306.45</v>
      </c>
      <c r="J1229" s="53">
        <v>100.02</v>
      </c>
    </row>
    <row r="1230" spans="1:10" ht="17.25" customHeight="1" x14ac:dyDescent="0.25">
      <c r="A1230" s="4">
        <v>299</v>
      </c>
      <c r="B1230" s="5" t="s">
        <v>179</v>
      </c>
      <c r="C1230" s="5" t="s">
        <v>184</v>
      </c>
      <c r="D1230" s="16">
        <v>0.32204999999999995</v>
      </c>
      <c r="E1230" s="16">
        <v>0.28083999999999998</v>
      </c>
      <c r="F1230" s="17">
        <v>0.2911999999999999</v>
      </c>
      <c r="G1230" s="18">
        <v>540.15</v>
      </c>
      <c r="H1230" s="18">
        <v>164.65</v>
      </c>
      <c r="I1230" s="18">
        <v>540.15</v>
      </c>
      <c r="J1230" s="53">
        <v>72.11</v>
      </c>
    </row>
    <row r="1231" spans="1:10" ht="17.25" customHeight="1" x14ac:dyDescent="0.25">
      <c r="A1231" s="4">
        <v>425</v>
      </c>
      <c r="B1231" s="5" t="s">
        <v>320</v>
      </c>
      <c r="C1231" s="5" t="s">
        <v>327</v>
      </c>
      <c r="D1231" s="16">
        <v>0.35217999999999994</v>
      </c>
      <c r="E1231" s="16">
        <v>0.28281000000000001</v>
      </c>
      <c r="F1231" s="17">
        <v>0.23330000000000006</v>
      </c>
      <c r="G1231" s="18">
        <v>639</v>
      </c>
      <c r="H1231" s="18">
        <v>193</v>
      </c>
      <c r="I1231" s="18">
        <v>639</v>
      </c>
      <c r="J1231" s="53">
        <v>102.13</v>
      </c>
    </row>
    <row r="1232" spans="1:10" ht="17.25" customHeight="1" x14ac:dyDescent="0.25">
      <c r="A1232" s="4">
        <v>309</v>
      </c>
      <c r="B1232" s="5" t="s">
        <v>192</v>
      </c>
      <c r="C1232" s="5" t="s">
        <v>193</v>
      </c>
      <c r="D1232" s="16">
        <v>0.35416000000000003</v>
      </c>
      <c r="E1232" s="16">
        <v>0.29726000000000008</v>
      </c>
      <c r="F1232" s="17">
        <v>0.24882000000000004</v>
      </c>
      <c r="G1232" s="18">
        <v>631.95000000000005</v>
      </c>
      <c r="H1232" s="18">
        <v>176.99</v>
      </c>
      <c r="I1232" s="18">
        <v>631.95000000000005</v>
      </c>
      <c r="J1232" s="53">
        <v>88.17</v>
      </c>
    </row>
    <row r="1233" spans="1:10" ht="17.25" customHeight="1" x14ac:dyDescent="0.25">
      <c r="A1233" s="4">
        <v>356</v>
      </c>
      <c r="B1233" s="5" t="s">
        <v>243</v>
      </c>
      <c r="C1233" s="5" t="s">
        <v>244</v>
      </c>
      <c r="D1233" s="16">
        <v>0.24713000000000007</v>
      </c>
      <c r="E1233" s="16">
        <v>0.26977999999999991</v>
      </c>
      <c r="F1233" s="17">
        <v>0.29380000000000006</v>
      </c>
      <c r="G1233" s="18">
        <v>450.4</v>
      </c>
      <c r="H1233" s="18">
        <v>174.07</v>
      </c>
      <c r="I1233" s="18">
        <v>450.4</v>
      </c>
      <c r="J1233" s="53">
        <v>88.22</v>
      </c>
    </row>
    <row r="1234" spans="1:10" ht="17.25" customHeight="1" x14ac:dyDescent="0.25">
      <c r="A1234" s="4">
        <v>46</v>
      </c>
      <c r="B1234" s="5" t="s">
        <v>1523</v>
      </c>
      <c r="C1234" s="5" t="s">
        <v>1524</v>
      </c>
      <c r="D1234" s="16">
        <v>0.4186700000000001</v>
      </c>
      <c r="E1234" s="16">
        <v>0.18144000000000005</v>
      </c>
      <c r="F1234" s="17">
        <v>0.28570000000000007</v>
      </c>
      <c r="G1234" s="18">
        <v>540</v>
      </c>
      <c r="H1234" s="18">
        <v>287.05</v>
      </c>
      <c r="I1234" s="18">
        <v>540</v>
      </c>
      <c r="J1234" s="53">
        <v>196.03</v>
      </c>
    </row>
    <row r="1235" spans="1:10" ht="17.25" customHeight="1" x14ac:dyDescent="0.25">
      <c r="A1235" s="4">
        <v>1359</v>
      </c>
      <c r="B1235" s="21" t="s">
        <v>1960</v>
      </c>
      <c r="C1235" s="21" t="s">
        <v>1852</v>
      </c>
      <c r="D1235" s="16">
        <v>0.32689000000000012</v>
      </c>
      <c r="E1235" s="16">
        <v>0.20999999999999996</v>
      </c>
      <c r="F1235" s="17">
        <v>0.28570999999999991</v>
      </c>
      <c r="G1235" s="18">
        <v>996</v>
      </c>
      <c r="H1235" s="18">
        <v>496.15</v>
      </c>
      <c r="I1235" s="18">
        <v>996</v>
      </c>
      <c r="J1235" s="53">
        <v>330.29</v>
      </c>
    </row>
    <row r="1236" spans="1:10" ht="17.25" customHeight="1" x14ac:dyDescent="0.25">
      <c r="A1236" s="4">
        <v>194</v>
      </c>
      <c r="B1236" s="5" t="s">
        <v>59</v>
      </c>
      <c r="C1236" s="5" t="s">
        <v>60</v>
      </c>
      <c r="D1236" s="16">
        <v>0.3004</v>
      </c>
      <c r="E1236" s="16">
        <v>0.22799999999999998</v>
      </c>
      <c r="F1236" s="17">
        <v>0.28570999999999991</v>
      </c>
      <c r="G1236" s="18">
        <v>603</v>
      </c>
      <c r="H1236" s="18">
        <v>199.96</v>
      </c>
      <c r="I1236" s="18">
        <v>603</v>
      </c>
      <c r="J1236" s="53">
        <v>74.14</v>
      </c>
    </row>
    <row r="1237" spans="1:10" ht="17.25" customHeight="1" x14ac:dyDescent="0.25">
      <c r="A1237" s="4">
        <v>593</v>
      </c>
      <c r="B1237" s="5" t="s">
        <v>484</v>
      </c>
      <c r="C1237" s="5" t="s">
        <v>485</v>
      </c>
      <c r="D1237" s="16">
        <v>0.29689999999999994</v>
      </c>
      <c r="E1237" s="16">
        <v>0.32200000000000006</v>
      </c>
      <c r="F1237" s="17">
        <v>0.28570999999999991</v>
      </c>
      <c r="G1237" s="18">
        <v>640.07000000000005</v>
      </c>
      <c r="H1237" s="18">
        <v>292.14</v>
      </c>
      <c r="I1237" s="18">
        <v>640.07000000000005</v>
      </c>
      <c r="J1237" s="53">
        <v>116.22</v>
      </c>
    </row>
    <row r="1238" spans="1:10" ht="17.25" customHeight="1" x14ac:dyDescent="0.25">
      <c r="A1238" s="4">
        <v>429</v>
      </c>
      <c r="B1238" s="5" t="s">
        <v>333</v>
      </c>
      <c r="C1238" s="5" t="s">
        <v>334</v>
      </c>
      <c r="D1238" s="16">
        <v>0.30759999999999987</v>
      </c>
      <c r="E1238" s="16">
        <v>0.252</v>
      </c>
      <c r="F1238" s="17">
        <v>0.28570999999999991</v>
      </c>
      <c r="G1238" s="18">
        <v>657.12</v>
      </c>
      <c r="H1238" s="18">
        <v>292.14</v>
      </c>
      <c r="I1238" s="18">
        <v>657.12</v>
      </c>
      <c r="J1238" s="53">
        <v>102.2</v>
      </c>
    </row>
    <row r="1239" spans="1:10" ht="17.25" customHeight="1" x14ac:dyDescent="0.25">
      <c r="A1239" s="4">
        <v>116</v>
      </c>
      <c r="B1239" s="5" t="s">
        <v>1633</v>
      </c>
      <c r="C1239" s="5" t="s">
        <v>1634</v>
      </c>
      <c r="D1239" s="16">
        <v>0.2923</v>
      </c>
      <c r="E1239" s="16">
        <v>0.21399999999999997</v>
      </c>
      <c r="F1239" s="17">
        <v>0.28570999999999991</v>
      </c>
      <c r="G1239" s="18">
        <v>555</v>
      </c>
      <c r="H1239" s="18">
        <v>165.37</v>
      </c>
      <c r="I1239" s="18">
        <v>555</v>
      </c>
      <c r="J1239" s="53">
        <v>60.12</v>
      </c>
    </row>
    <row r="1240" spans="1:10" ht="17.25" customHeight="1" x14ac:dyDescent="0.25">
      <c r="A1240" s="4">
        <v>113</v>
      </c>
      <c r="B1240" s="5" t="s">
        <v>1628</v>
      </c>
      <c r="C1240" s="5" t="s">
        <v>1629</v>
      </c>
      <c r="D1240" s="16">
        <v>0.41630000000000011</v>
      </c>
      <c r="E1240" s="16">
        <v>0.31699999999999995</v>
      </c>
      <c r="F1240" s="17">
        <v>0.28570999999999991</v>
      </c>
      <c r="G1240" s="18">
        <v>577.34</v>
      </c>
      <c r="H1240" s="18">
        <v>150.16</v>
      </c>
      <c r="I1240" s="18">
        <v>577.34</v>
      </c>
      <c r="J1240" s="53">
        <v>76.12</v>
      </c>
    </row>
    <row r="1241" spans="1:10" ht="17.25" customHeight="1" x14ac:dyDescent="0.25">
      <c r="A1241" s="4">
        <v>246</v>
      </c>
      <c r="B1241" s="5" t="s">
        <v>128</v>
      </c>
      <c r="C1241" s="5" t="s">
        <v>129</v>
      </c>
      <c r="D1241" s="16">
        <v>0.38423000000000007</v>
      </c>
      <c r="E1241" s="16">
        <v>0.28194999999999992</v>
      </c>
      <c r="F1241" s="17">
        <v>0.30770000000000008</v>
      </c>
      <c r="G1241" s="18">
        <v>579.35</v>
      </c>
      <c r="H1241" s="18">
        <v>234.94</v>
      </c>
      <c r="I1241" s="18">
        <v>579.35</v>
      </c>
      <c r="J1241" s="53">
        <v>84.14</v>
      </c>
    </row>
    <row r="1242" spans="1:10" ht="17.25" customHeight="1" x14ac:dyDescent="0.25">
      <c r="A1242" s="6">
        <v>680</v>
      </c>
      <c r="B1242" s="5" t="s">
        <v>571</v>
      </c>
      <c r="C1242" s="5" t="s">
        <v>572</v>
      </c>
      <c r="D1242" s="16">
        <v>0.29998999999999998</v>
      </c>
      <c r="E1242" s="16">
        <v>0.27107999999999999</v>
      </c>
      <c r="F1242" s="17">
        <v>0.2988900000000001</v>
      </c>
      <c r="G1242" s="18">
        <v>591.79</v>
      </c>
      <c r="H1242" s="18">
        <v>178.18</v>
      </c>
      <c r="I1242" s="18">
        <v>591.79</v>
      </c>
      <c r="J1242" s="53">
        <v>92.14</v>
      </c>
    </row>
    <row r="1243" spans="1:10" ht="17.25" customHeight="1" x14ac:dyDescent="0.25">
      <c r="A1243" s="4">
        <v>872</v>
      </c>
      <c r="B1243" s="5" t="s">
        <v>1778</v>
      </c>
      <c r="C1243" s="5" t="s">
        <v>1779</v>
      </c>
      <c r="D1243" s="16">
        <v>0.33173000000000008</v>
      </c>
      <c r="E1243" s="16">
        <v>0.24581999999999993</v>
      </c>
      <c r="F1243" s="17">
        <v>0.14389999999999992</v>
      </c>
      <c r="G1243" s="18">
        <v>737</v>
      </c>
      <c r="H1243" s="18">
        <v>287.04000000000002</v>
      </c>
      <c r="I1243" s="18">
        <v>737</v>
      </c>
      <c r="J1243" s="53">
        <v>174.16</v>
      </c>
    </row>
    <row r="1244" spans="1:10" ht="17.25" customHeight="1" x14ac:dyDescent="0.25">
      <c r="A1244" s="4">
        <v>696</v>
      </c>
      <c r="B1244" s="5" t="s">
        <v>585</v>
      </c>
      <c r="C1244" s="5" t="s">
        <v>586</v>
      </c>
      <c r="D1244" s="16">
        <v>0.32454000000000005</v>
      </c>
      <c r="E1244" s="16">
        <v>0.24665000000000004</v>
      </c>
      <c r="F1244" s="17">
        <v>0.28570999999999991</v>
      </c>
      <c r="G1244" s="18">
        <v>804</v>
      </c>
      <c r="H1244" s="18">
        <v>371.25</v>
      </c>
      <c r="I1244" s="18">
        <v>804</v>
      </c>
      <c r="J1244" s="53">
        <v>122.17</v>
      </c>
    </row>
    <row r="1245" spans="1:10" ht="17.25" customHeight="1" x14ac:dyDescent="0.25">
      <c r="A1245" s="4">
        <v>532</v>
      </c>
      <c r="B1245" s="5" t="s">
        <v>426</v>
      </c>
      <c r="C1245" s="5" t="s">
        <v>2617</v>
      </c>
      <c r="D1245" s="16">
        <v>0.24817</v>
      </c>
      <c r="E1245" s="16">
        <v>0.26625999999999994</v>
      </c>
      <c r="F1245" s="17">
        <v>0.28208999999999995</v>
      </c>
      <c r="G1245" s="18">
        <v>535</v>
      </c>
      <c r="H1245" s="18">
        <v>228.25</v>
      </c>
      <c r="I1245" s="18">
        <v>535</v>
      </c>
      <c r="J1245" s="53">
        <v>82.14</v>
      </c>
    </row>
    <row r="1246" spans="1:10" ht="17.25" customHeight="1" x14ac:dyDescent="0.25">
      <c r="A1246" s="4">
        <v>76</v>
      </c>
      <c r="B1246" s="5" t="s">
        <v>1572</v>
      </c>
      <c r="C1246" s="5" t="s">
        <v>2618</v>
      </c>
      <c r="D1246" s="16">
        <v>0.44615999999999989</v>
      </c>
      <c r="E1246" s="16">
        <v>0.2669999999999999</v>
      </c>
      <c r="F1246" s="17">
        <v>0.28570000000000007</v>
      </c>
      <c r="G1246" s="18">
        <v>508</v>
      </c>
      <c r="H1246" s="18">
        <v>223.35</v>
      </c>
      <c r="I1246" s="18">
        <v>508</v>
      </c>
      <c r="J1246" s="53">
        <v>96.94</v>
      </c>
    </row>
    <row r="1247" spans="1:10" ht="17.25" customHeight="1" x14ac:dyDescent="0.25">
      <c r="A1247" s="4">
        <v>85</v>
      </c>
      <c r="B1247" s="5" t="s">
        <v>1584</v>
      </c>
      <c r="C1247" s="5" t="s">
        <v>2619</v>
      </c>
      <c r="D1247" s="16">
        <v>0.39169999999999994</v>
      </c>
      <c r="E1247" s="16">
        <v>0.23799999999999999</v>
      </c>
      <c r="F1247" s="17">
        <v>0.28570999999999991</v>
      </c>
      <c r="G1247" s="18">
        <v>394.67</v>
      </c>
      <c r="H1247" s="18">
        <v>107.9</v>
      </c>
      <c r="I1247" s="18">
        <v>394.67</v>
      </c>
      <c r="J1247" s="53">
        <v>64.03</v>
      </c>
    </row>
    <row r="1248" spans="1:10" ht="17.25" customHeight="1" x14ac:dyDescent="0.25">
      <c r="A1248" s="4">
        <v>806</v>
      </c>
      <c r="B1248" s="5" t="s">
        <v>617</v>
      </c>
      <c r="C1248" s="5" t="s">
        <v>2620</v>
      </c>
      <c r="D1248" s="16">
        <v>0.24394999999999989</v>
      </c>
      <c r="E1248" s="16">
        <v>0.25025999999999993</v>
      </c>
      <c r="F1248" s="17">
        <v>0.26580000000000004</v>
      </c>
      <c r="G1248" s="18">
        <v>596.15</v>
      </c>
      <c r="H1248" s="18">
        <v>184.99</v>
      </c>
      <c r="I1248" s="18">
        <v>596.15</v>
      </c>
      <c r="J1248" s="53">
        <v>112.21</v>
      </c>
    </row>
    <row r="1249" spans="1:10" ht="17.25" customHeight="1" x14ac:dyDescent="0.25">
      <c r="A1249" s="4">
        <v>706</v>
      </c>
      <c r="B1249" s="5" t="s">
        <v>1698</v>
      </c>
      <c r="C1249" s="5" t="s">
        <v>2621</v>
      </c>
      <c r="D1249" s="16">
        <v>0.27273999999999998</v>
      </c>
      <c r="E1249" s="16">
        <v>0.27793000000000001</v>
      </c>
      <c r="F1249" s="17">
        <v>0.30976000000000004</v>
      </c>
      <c r="G1249" s="18">
        <v>553.15</v>
      </c>
      <c r="H1249" s="18">
        <v>155.58000000000001</v>
      </c>
      <c r="I1249" s="18">
        <v>553.15</v>
      </c>
      <c r="J1249" s="53">
        <v>98.19</v>
      </c>
    </row>
    <row r="1250" spans="1:10" ht="17.25" customHeight="1" x14ac:dyDescent="0.25">
      <c r="A1250" s="4">
        <v>808</v>
      </c>
      <c r="B1250" s="5" t="s">
        <v>617</v>
      </c>
      <c r="C1250" s="5" t="s">
        <v>2622</v>
      </c>
      <c r="D1250" s="16">
        <v>0.24394999999999989</v>
      </c>
      <c r="E1250" s="16">
        <v>0.24438000000000004</v>
      </c>
      <c r="F1250" s="17">
        <v>0.27795999999999998</v>
      </c>
      <c r="G1250" s="18">
        <v>598</v>
      </c>
      <c r="H1250" s="18">
        <v>183.07</v>
      </c>
      <c r="I1250" s="18">
        <v>598</v>
      </c>
      <c r="J1250" s="53">
        <v>112.21</v>
      </c>
    </row>
    <row r="1251" spans="1:10" ht="17.25" customHeight="1" x14ac:dyDescent="0.25">
      <c r="A1251" s="4">
        <v>708</v>
      </c>
      <c r="B1251" s="5" t="s">
        <v>1698</v>
      </c>
      <c r="C1251" s="5" t="s">
        <v>2623</v>
      </c>
      <c r="D1251" s="16">
        <v>0.27273999999999998</v>
      </c>
      <c r="E1251" s="16">
        <v>0.28049999999999997</v>
      </c>
      <c r="F1251" s="17">
        <v>0.30465999999999993</v>
      </c>
      <c r="G1251" s="18">
        <v>553</v>
      </c>
      <c r="H1251" s="18">
        <v>139.18</v>
      </c>
      <c r="I1251" s="18">
        <v>553</v>
      </c>
      <c r="J1251" s="53">
        <v>98.19</v>
      </c>
    </row>
    <row r="1252" spans="1:10" ht="17.25" customHeight="1" x14ac:dyDescent="0.25">
      <c r="A1252" s="4">
        <v>380</v>
      </c>
      <c r="B1252" s="5" t="s">
        <v>272</v>
      </c>
      <c r="C1252" s="5" t="s">
        <v>2624</v>
      </c>
      <c r="D1252" s="16">
        <v>0.24680999999999997</v>
      </c>
      <c r="E1252" s="16">
        <v>0.26773000000000002</v>
      </c>
      <c r="F1252" s="17">
        <v>0.30400999999999989</v>
      </c>
      <c r="G1252" s="18">
        <v>500</v>
      </c>
      <c r="H1252" s="18">
        <v>185.71</v>
      </c>
      <c r="I1252" s="18">
        <v>500</v>
      </c>
      <c r="J1252" s="53">
        <v>68.12</v>
      </c>
    </row>
    <row r="1253" spans="1:10" ht="17.25" customHeight="1" x14ac:dyDescent="0.25">
      <c r="A1253" s="4">
        <v>810</v>
      </c>
      <c r="B1253" s="5" t="s">
        <v>617</v>
      </c>
      <c r="C1253" s="5" t="s">
        <v>2625</v>
      </c>
      <c r="D1253" s="16">
        <v>0.24937000000000009</v>
      </c>
      <c r="E1253" s="16">
        <v>0.25855000000000006</v>
      </c>
      <c r="F1253" s="17">
        <v>0.27750000000000008</v>
      </c>
      <c r="G1253" s="18">
        <v>590.15</v>
      </c>
      <c r="H1253" s="18">
        <v>236.21</v>
      </c>
      <c r="I1253" s="18">
        <v>590.15</v>
      </c>
      <c r="J1253" s="53">
        <v>112.21</v>
      </c>
    </row>
    <row r="1254" spans="1:10" ht="17.25" customHeight="1" x14ac:dyDescent="0.25">
      <c r="A1254" s="4">
        <v>815</v>
      </c>
      <c r="B1254" s="5" t="s">
        <v>617</v>
      </c>
      <c r="C1254" s="5" t="s">
        <v>2626</v>
      </c>
      <c r="D1254" s="16">
        <v>0.23618000000000006</v>
      </c>
      <c r="E1254" s="16">
        <v>0.25551999999999997</v>
      </c>
      <c r="F1254" s="17">
        <v>0.28570000000000007</v>
      </c>
      <c r="G1254" s="18">
        <v>577</v>
      </c>
      <c r="H1254" s="18">
        <v>185.45</v>
      </c>
      <c r="I1254" s="18">
        <v>577</v>
      </c>
      <c r="J1254" s="53">
        <v>112.21</v>
      </c>
    </row>
    <row r="1255" spans="1:10" ht="17.25" customHeight="1" x14ac:dyDescent="0.25">
      <c r="A1255" s="4">
        <v>287</v>
      </c>
      <c r="B1255" s="5" t="s">
        <v>168</v>
      </c>
      <c r="C1255" s="5" t="s">
        <v>2627</v>
      </c>
      <c r="D1255" s="16">
        <v>0.23730000000000007</v>
      </c>
      <c r="E1255" s="16">
        <v>0.27217000000000002</v>
      </c>
      <c r="F1255" s="17">
        <v>0.28570999999999991</v>
      </c>
      <c r="G1255" s="18">
        <v>428.63</v>
      </c>
      <c r="H1255" s="18">
        <v>167.62</v>
      </c>
      <c r="I1255" s="18">
        <v>428.63</v>
      </c>
      <c r="J1255" s="53">
        <v>56.11</v>
      </c>
    </row>
    <row r="1256" spans="1:10" ht="17.25" customHeight="1" x14ac:dyDescent="0.25">
      <c r="A1256" s="4">
        <v>301</v>
      </c>
      <c r="B1256" s="5" t="s">
        <v>185</v>
      </c>
      <c r="C1256" s="5" t="s">
        <v>2628</v>
      </c>
      <c r="D1256" s="16">
        <v>0.32674000000000003</v>
      </c>
      <c r="E1256" s="16">
        <v>0.24764999999999993</v>
      </c>
      <c r="F1256" s="17">
        <v>0.28570000000000007</v>
      </c>
      <c r="G1256" s="18">
        <v>681</v>
      </c>
      <c r="H1256" s="18">
        <v>300.45</v>
      </c>
      <c r="I1256" s="18">
        <v>681</v>
      </c>
      <c r="J1256" s="53">
        <v>88.1</v>
      </c>
    </row>
    <row r="1257" spans="1:10" ht="17.25" customHeight="1" x14ac:dyDescent="0.25">
      <c r="A1257" s="4">
        <v>714</v>
      </c>
      <c r="B1257" s="5" t="s">
        <v>1698</v>
      </c>
      <c r="C1257" s="5" t="s">
        <v>2629</v>
      </c>
      <c r="D1257" s="16">
        <v>0.2418499999999999</v>
      </c>
      <c r="E1257" s="16">
        <v>0.26451000000000002</v>
      </c>
      <c r="F1257" s="17">
        <v>0.28671999999999986</v>
      </c>
      <c r="G1257" s="18">
        <v>543</v>
      </c>
      <c r="H1257" s="18">
        <v>163.66999999999999</v>
      </c>
      <c r="I1257" s="18">
        <v>543</v>
      </c>
      <c r="J1257" s="53">
        <v>98.19</v>
      </c>
    </row>
    <row r="1258" spans="1:10" ht="17.25" customHeight="1" x14ac:dyDescent="0.25">
      <c r="A1258" s="4">
        <v>558</v>
      </c>
      <c r="B1258" s="5" t="s">
        <v>452</v>
      </c>
      <c r="C1258" s="5" t="s">
        <v>2630</v>
      </c>
      <c r="D1258" s="16">
        <v>0.23733000000000004</v>
      </c>
      <c r="E1258" s="16">
        <v>0.26272000000000006</v>
      </c>
      <c r="F1258" s="17">
        <v>0.28570999999999991</v>
      </c>
      <c r="G1258" s="18">
        <v>513</v>
      </c>
      <c r="H1258" s="18">
        <v>140.16999999999999</v>
      </c>
      <c r="I1258" s="18">
        <v>513</v>
      </c>
      <c r="J1258" s="53">
        <v>84.16</v>
      </c>
    </row>
    <row r="1259" spans="1:10" ht="17.25" customHeight="1" x14ac:dyDescent="0.25">
      <c r="A1259" s="4">
        <v>727</v>
      </c>
      <c r="B1259" s="5" t="s">
        <v>1710</v>
      </c>
      <c r="C1259" s="5" t="s">
        <v>2631</v>
      </c>
      <c r="D1259" s="16">
        <v>0.27581999999999995</v>
      </c>
      <c r="E1259" s="16">
        <v>0.24655000000000005</v>
      </c>
      <c r="F1259" s="17">
        <v>0.22625000000000006</v>
      </c>
      <c r="G1259" s="18">
        <v>616</v>
      </c>
      <c r="H1259" s="18">
        <v>269.14999999999998</v>
      </c>
      <c r="I1259" s="18">
        <v>616</v>
      </c>
      <c r="J1259" s="53">
        <v>114.18</v>
      </c>
    </row>
    <row r="1260" spans="1:10" ht="17.25" customHeight="1" x14ac:dyDescent="0.25">
      <c r="A1260" s="4">
        <v>409</v>
      </c>
      <c r="B1260" s="5" t="s">
        <v>305</v>
      </c>
      <c r="C1260" s="5" t="s">
        <v>2632</v>
      </c>
      <c r="D1260" s="16">
        <v>0.23215000000000008</v>
      </c>
      <c r="E1260" s="16">
        <v>0.26197999999999988</v>
      </c>
      <c r="F1260" s="17">
        <v>0.27760000000000007</v>
      </c>
      <c r="G1260" s="18">
        <v>475.37</v>
      </c>
      <c r="H1260" s="18">
        <v>132.88999999999999</v>
      </c>
      <c r="I1260" s="18">
        <v>475.37</v>
      </c>
      <c r="J1260" s="53">
        <v>70.13</v>
      </c>
    </row>
    <row r="1261" spans="1:10" ht="17.25" customHeight="1" x14ac:dyDescent="0.25">
      <c r="A1261" s="4">
        <v>816</v>
      </c>
      <c r="B1261" s="5" t="s">
        <v>617</v>
      </c>
      <c r="C1261" s="5" t="s">
        <v>2633</v>
      </c>
      <c r="D1261" s="16">
        <v>0.23614000000000002</v>
      </c>
      <c r="E1261" s="16">
        <v>0.25689999999999991</v>
      </c>
      <c r="F1261" s="17">
        <v>0.28570000000000007</v>
      </c>
      <c r="G1261" s="18">
        <v>574</v>
      </c>
      <c r="H1261" s="18">
        <v>163.15</v>
      </c>
      <c r="I1261" s="18">
        <v>574</v>
      </c>
      <c r="J1261" s="53">
        <v>112.21</v>
      </c>
    </row>
    <row r="1262" spans="1:10" ht="17.25" customHeight="1" x14ac:dyDescent="0.25">
      <c r="A1262" s="4">
        <v>716</v>
      </c>
      <c r="B1262" s="5" t="s">
        <v>1698</v>
      </c>
      <c r="C1262" s="5" t="s">
        <v>2634</v>
      </c>
      <c r="D1262" s="16">
        <v>0.24184000000000005</v>
      </c>
      <c r="E1262" s="16">
        <v>0.26560000000000006</v>
      </c>
      <c r="F1262" s="17">
        <v>0.28570999999999991</v>
      </c>
      <c r="G1262" s="18">
        <v>540</v>
      </c>
      <c r="H1262" s="18">
        <v>136.52000000000001</v>
      </c>
      <c r="I1262" s="18">
        <v>540</v>
      </c>
      <c r="J1262" s="53">
        <v>98.19</v>
      </c>
    </row>
    <row r="1263" spans="1:10" ht="17.25" customHeight="1" x14ac:dyDescent="0.25">
      <c r="A1263" s="4">
        <v>560</v>
      </c>
      <c r="B1263" s="5" t="s">
        <v>452</v>
      </c>
      <c r="C1263" s="5" t="s">
        <v>2635</v>
      </c>
      <c r="D1263" s="16">
        <v>0.2397800000000001</v>
      </c>
      <c r="E1263" s="16">
        <v>0.26234000000000002</v>
      </c>
      <c r="F1263" s="17">
        <v>0.29552</v>
      </c>
      <c r="G1263" s="18">
        <v>509</v>
      </c>
      <c r="H1263" s="18">
        <v>159.72999999999999</v>
      </c>
      <c r="I1263" s="18">
        <v>509</v>
      </c>
      <c r="J1263" s="53">
        <v>84.16</v>
      </c>
    </row>
    <row r="1264" spans="1:10" ht="17.25" customHeight="1" x14ac:dyDescent="0.25">
      <c r="A1264" s="4">
        <v>555</v>
      </c>
      <c r="B1264" s="5" t="s">
        <v>452</v>
      </c>
      <c r="C1264" s="5" t="s">
        <v>2636</v>
      </c>
      <c r="D1264" s="16">
        <v>0.24819999999999998</v>
      </c>
      <c r="E1264" s="16">
        <v>0.27</v>
      </c>
      <c r="F1264" s="17">
        <v>0.28570999999999991</v>
      </c>
      <c r="G1264" s="18">
        <v>521</v>
      </c>
      <c r="H1264" s="18">
        <v>134.69999999999999</v>
      </c>
      <c r="I1264" s="18">
        <v>521</v>
      </c>
      <c r="J1264" s="53">
        <v>84.16</v>
      </c>
    </row>
    <row r="1265" spans="1:10" ht="17.25" customHeight="1" x14ac:dyDescent="0.25">
      <c r="A1265" s="4">
        <v>729</v>
      </c>
      <c r="B1265" s="5" t="s">
        <v>1710</v>
      </c>
      <c r="C1265" s="5" t="s">
        <v>2637</v>
      </c>
      <c r="D1265" s="16">
        <v>0.27581999999999995</v>
      </c>
      <c r="E1265" s="16">
        <v>0.24920999999999993</v>
      </c>
      <c r="F1265" s="17">
        <v>0.21950000000000003</v>
      </c>
      <c r="G1265" s="18">
        <v>617</v>
      </c>
      <c r="H1265" s="18">
        <v>272.64999999999998</v>
      </c>
      <c r="I1265" s="18">
        <v>617</v>
      </c>
      <c r="J1265" s="53">
        <v>114.18</v>
      </c>
    </row>
    <row r="1266" spans="1:10" ht="17.25" customHeight="1" x14ac:dyDescent="0.25">
      <c r="A1266" s="4">
        <v>731</v>
      </c>
      <c r="B1266" s="5" t="s">
        <v>1710</v>
      </c>
      <c r="C1266" s="5" t="s">
        <v>2638</v>
      </c>
      <c r="D1266" s="16">
        <v>0.27580999999999989</v>
      </c>
      <c r="E1266" s="16">
        <v>0.24577999999999989</v>
      </c>
      <c r="F1266" s="17">
        <v>0.25051000000000001</v>
      </c>
      <c r="G1266" s="18">
        <v>622</v>
      </c>
      <c r="H1266" s="18">
        <v>293</v>
      </c>
      <c r="I1266" s="18">
        <v>622</v>
      </c>
      <c r="J1266" s="53">
        <v>114.18</v>
      </c>
    </row>
    <row r="1267" spans="1:10" ht="17.25" customHeight="1" x14ac:dyDescent="0.25">
      <c r="A1267" s="4">
        <v>817</v>
      </c>
      <c r="B1267" s="5" t="s">
        <v>617</v>
      </c>
      <c r="C1267" s="5" t="s">
        <v>2639</v>
      </c>
      <c r="D1267" s="16">
        <v>0.23618000000000006</v>
      </c>
      <c r="E1267" s="16">
        <v>0.25729999999999986</v>
      </c>
      <c r="F1267" s="17">
        <v>0.28570000000000007</v>
      </c>
      <c r="G1267" s="18">
        <v>573</v>
      </c>
      <c r="H1267" s="18">
        <v>179.37</v>
      </c>
      <c r="I1267" s="18">
        <v>573</v>
      </c>
      <c r="J1267" s="53">
        <v>112.21</v>
      </c>
    </row>
    <row r="1268" spans="1:10" ht="17.25" customHeight="1" x14ac:dyDescent="0.25">
      <c r="A1268" s="4">
        <v>263</v>
      </c>
      <c r="B1268" s="5" t="s">
        <v>145</v>
      </c>
      <c r="C1268" s="5" t="s">
        <v>2640</v>
      </c>
      <c r="D1268" s="16">
        <v>0.28035999999999994</v>
      </c>
      <c r="E1268" s="16">
        <v>0.24574999999999991</v>
      </c>
      <c r="F1268" s="17">
        <v>0.32347999999999999</v>
      </c>
      <c r="G1268" s="18">
        <v>571</v>
      </c>
      <c r="H1268" s="18">
        <v>196.65</v>
      </c>
      <c r="I1268" s="18">
        <v>571</v>
      </c>
      <c r="J1268" s="53">
        <v>70.09</v>
      </c>
    </row>
    <row r="1269" spans="1:10" ht="17.25" customHeight="1" x14ac:dyDescent="0.25">
      <c r="A1269" s="4">
        <v>270</v>
      </c>
      <c r="B1269" s="5" t="s">
        <v>149</v>
      </c>
      <c r="C1269" s="5" t="s">
        <v>2641</v>
      </c>
      <c r="D1269" s="16">
        <v>0.30459999999999998</v>
      </c>
      <c r="E1269" s="16">
        <v>0.2399</v>
      </c>
      <c r="F1269" s="17">
        <v>0.28570000000000007</v>
      </c>
      <c r="G1269" s="18">
        <v>666</v>
      </c>
      <c r="H1269" s="18">
        <v>344.55</v>
      </c>
      <c r="I1269" s="18">
        <v>666</v>
      </c>
      <c r="J1269" s="53">
        <v>86.09</v>
      </c>
    </row>
    <row r="1270" spans="1:10" ht="17.25" customHeight="1" x14ac:dyDescent="0.25">
      <c r="A1270" s="4">
        <v>248</v>
      </c>
      <c r="B1270" s="5" t="s">
        <v>131</v>
      </c>
      <c r="C1270" s="5" t="s">
        <v>2642</v>
      </c>
      <c r="D1270" s="16">
        <v>0.23818000000000006</v>
      </c>
      <c r="E1270" s="16">
        <v>0.22429999999999994</v>
      </c>
      <c r="F1270" s="17">
        <v>0.28570000000000007</v>
      </c>
      <c r="G1270" s="18">
        <v>586</v>
      </c>
      <c r="H1270" s="18">
        <v>222</v>
      </c>
      <c r="I1270" s="18">
        <v>586</v>
      </c>
      <c r="J1270" s="53">
        <v>67.09</v>
      </c>
    </row>
    <row r="1271" spans="1:10" ht="17.25" customHeight="1" x14ac:dyDescent="0.25">
      <c r="A1271" s="4">
        <v>1009</v>
      </c>
      <c r="B1271" s="5" t="s">
        <v>721</v>
      </c>
      <c r="C1271" s="5" t="s">
        <v>2643</v>
      </c>
      <c r="D1271" s="16">
        <v>0.28678999999999988</v>
      </c>
      <c r="E1271" s="16">
        <v>0.26990999999999987</v>
      </c>
      <c r="F1271" s="17">
        <v>0.29519999999999991</v>
      </c>
      <c r="G1271" s="18">
        <v>687.05</v>
      </c>
      <c r="H1271" s="18">
        <v>242.79</v>
      </c>
      <c r="I1271" s="18">
        <v>687.05</v>
      </c>
      <c r="J1271" s="53">
        <v>138.25</v>
      </c>
    </row>
    <row r="1272" spans="1:10" ht="17.25" customHeight="1" x14ac:dyDescent="0.25">
      <c r="A1272" s="6">
        <v>498</v>
      </c>
      <c r="B1272" s="5" t="s">
        <v>396</v>
      </c>
      <c r="C1272" s="5" t="s">
        <v>2644</v>
      </c>
      <c r="D1272" s="16">
        <v>0.27055000000000007</v>
      </c>
      <c r="E1272" s="16">
        <v>0.20199999999999996</v>
      </c>
      <c r="F1272" s="17">
        <v>0.28570999999999991</v>
      </c>
      <c r="G1272" s="18">
        <v>689</v>
      </c>
      <c r="H1272" s="18">
        <v>260</v>
      </c>
      <c r="I1272" s="18">
        <v>689</v>
      </c>
      <c r="J1272" s="53">
        <v>106.13</v>
      </c>
    </row>
    <row r="1273" spans="1:10" ht="17.25" customHeight="1" x14ac:dyDescent="0.25">
      <c r="A1273" s="4">
        <v>880</v>
      </c>
      <c r="B1273" s="5" t="s">
        <v>1788</v>
      </c>
      <c r="C1273" s="5" t="s">
        <v>2645</v>
      </c>
      <c r="D1273" s="16">
        <v>0.28770000000000007</v>
      </c>
      <c r="E1273" s="16">
        <v>0.25800000000000001</v>
      </c>
      <c r="F1273" s="17">
        <v>0.28570999999999991</v>
      </c>
      <c r="G1273" s="18">
        <v>664.6</v>
      </c>
      <c r="H1273" s="18">
        <v>243.82</v>
      </c>
      <c r="I1273" s="18">
        <v>664.6</v>
      </c>
      <c r="J1273" s="53">
        <v>118.18</v>
      </c>
    </row>
    <row r="1274" spans="1:10" ht="17.25" customHeight="1" x14ac:dyDescent="0.25">
      <c r="A1274" s="4">
        <v>1206</v>
      </c>
      <c r="B1274" s="5" t="s">
        <v>944</v>
      </c>
      <c r="C1274" s="5" t="s">
        <v>2646</v>
      </c>
      <c r="D1274" s="16">
        <v>0.31224000000000007</v>
      </c>
      <c r="E1274" s="16">
        <v>0.23199999999999998</v>
      </c>
      <c r="F1274" s="17">
        <v>0.28570999999999991</v>
      </c>
      <c r="G1274" s="18">
        <v>820</v>
      </c>
      <c r="H1274" s="18">
        <v>397.35</v>
      </c>
      <c r="I1274" s="18">
        <v>820</v>
      </c>
      <c r="J1274" s="53">
        <v>180.24</v>
      </c>
    </row>
    <row r="1275" spans="1:10" ht="17.25" customHeight="1" x14ac:dyDescent="0.25">
      <c r="A1275" s="4">
        <v>13</v>
      </c>
      <c r="B1275" s="5" t="s">
        <v>1474</v>
      </c>
      <c r="C1275" s="5" t="s">
        <v>1475</v>
      </c>
      <c r="D1275" s="16">
        <v>0.88375000000000004</v>
      </c>
      <c r="E1275" s="16">
        <v>0.24757000000000007</v>
      </c>
      <c r="F1275" s="17">
        <v>0.30059999999999998</v>
      </c>
      <c r="G1275" s="18">
        <v>696</v>
      </c>
      <c r="H1275" s="18">
        <v>281.2</v>
      </c>
      <c r="I1275" s="18">
        <v>696</v>
      </c>
      <c r="J1275" s="53">
        <v>252.73</v>
      </c>
    </row>
    <row r="1276" spans="1:10" ht="17.25" customHeight="1" x14ac:dyDescent="0.25">
      <c r="A1276" s="4">
        <v>67</v>
      </c>
      <c r="B1276" s="5" t="s">
        <v>1557</v>
      </c>
      <c r="C1276" s="5" t="s">
        <v>1559</v>
      </c>
      <c r="D1276" s="16">
        <v>0.5117799999999999</v>
      </c>
      <c r="E1276" s="16">
        <v>0.26595999999999997</v>
      </c>
      <c r="F1276" s="17">
        <v>0.27839999999999998</v>
      </c>
      <c r="G1276" s="18">
        <v>565</v>
      </c>
      <c r="H1276" s="18">
        <v>216</v>
      </c>
      <c r="I1276" s="18">
        <v>565</v>
      </c>
      <c r="J1276" s="53">
        <v>147.38999999999999</v>
      </c>
    </row>
    <row r="1277" spans="1:10" ht="17.25" customHeight="1" x14ac:dyDescent="0.25">
      <c r="A1277" s="4">
        <v>59</v>
      </c>
      <c r="B1277" s="5" t="s">
        <v>1545</v>
      </c>
      <c r="C1277" s="5" t="s">
        <v>1546</v>
      </c>
      <c r="D1277" s="16">
        <v>0.55730000000000013</v>
      </c>
      <c r="E1277" s="16">
        <v>0.27269999999999994</v>
      </c>
      <c r="F1277" s="17">
        <v>0.28570000000000007</v>
      </c>
      <c r="G1277" s="18">
        <v>590</v>
      </c>
      <c r="H1277" s="18">
        <v>273.14999999999998</v>
      </c>
      <c r="I1277" s="18">
        <v>590</v>
      </c>
      <c r="J1277" s="53">
        <v>181.83</v>
      </c>
    </row>
    <row r="1278" spans="1:10" ht="17.25" customHeight="1" x14ac:dyDescent="0.25">
      <c r="A1278" s="4">
        <v>65</v>
      </c>
      <c r="B1278" s="5" t="s">
        <v>1555</v>
      </c>
      <c r="C1278" s="5" t="s">
        <v>1556</v>
      </c>
      <c r="D1278" s="16">
        <v>0.50416000000000016</v>
      </c>
      <c r="E1278" s="16">
        <v>0.26951999999999998</v>
      </c>
      <c r="F1278" s="17">
        <v>0.28570999999999991</v>
      </c>
      <c r="G1278" s="18">
        <v>571</v>
      </c>
      <c r="H1278" s="18">
        <v>188.4</v>
      </c>
      <c r="I1278" s="18">
        <v>571</v>
      </c>
      <c r="J1278" s="53">
        <v>131.38999999999999</v>
      </c>
    </row>
    <row r="1279" spans="1:10" ht="17.25" customHeight="1" x14ac:dyDescent="0.25">
      <c r="A1279" s="4">
        <v>9</v>
      </c>
      <c r="B1279" s="5" t="s">
        <v>1466</v>
      </c>
      <c r="C1279" s="5" t="s">
        <v>1467</v>
      </c>
      <c r="D1279" s="16">
        <v>0.5608200000000001</v>
      </c>
      <c r="E1279" s="16">
        <v>0.27556000000000003</v>
      </c>
      <c r="F1279" s="17">
        <v>0.28570999999999991</v>
      </c>
      <c r="G1279" s="18">
        <v>471.2</v>
      </c>
      <c r="H1279" s="18">
        <v>162.04</v>
      </c>
      <c r="I1279" s="18">
        <v>471.2</v>
      </c>
      <c r="J1279" s="53">
        <v>137.37</v>
      </c>
    </row>
    <row r="1280" spans="1:10" ht="17.25" customHeight="1" x14ac:dyDescent="0.25">
      <c r="A1280" s="4">
        <v>636</v>
      </c>
      <c r="B1280" s="5" t="s">
        <v>526</v>
      </c>
      <c r="C1280" s="5" t="s">
        <v>527</v>
      </c>
      <c r="D1280" s="16">
        <v>0.31607999999999992</v>
      </c>
      <c r="E1280" s="16">
        <v>0.24801000000000006</v>
      </c>
      <c r="F1280" s="17">
        <v>0.20350000000000001</v>
      </c>
      <c r="G1280" s="18">
        <v>787</v>
      </c>
      <c r="H1280" s="18">
        <v>294.35000000000002</v>
      </c>
      <c r="I1280" s="18">
        <v>787</v>
      </c>
      <c r="J1280" s="53">
        <v>149.19</v>
      </c>
    </row>
    <row r="1281" spans="1:10" ht="17.25" customHeight="1" x14ac:dyDescent="0.25">
      <c r="A1281" s="4">
        <v>633</v>
      </c>
      <c r="B1281" s="5" t="s">
        <v>519</v>
      </c>
      <c r="C1281" s="5" t="s">
        <v>521</v>
      </c>
      <c r="D1281" s="16">
        <v>0.2599499999999999</v>
      </c>
      <c r="E1281" s="16">
        <v>0.27385999999999999</v>
      </c>
      <c r="F1281" s="17">
        <v>0.2871999999999999</v>
      </c>
      <c r="G1281" s="18">
        <v>535.15</v>
      </c>
      <c r="H1281" s="18">
        <v>158.44999999999999</v>
      </c>
      <c r="I1281" s="18">
        <v>535.15</v>
      </c>
      <c r="J1281" s="53">
        <v>101.19</v>
      </c>
    </row>
    <row r="1282" spans="1:10" ht="17.25" customHeight="1" x14ac:dyDescent="0.25">
      <c r="A1282" s="4">
        <v>857</v>
      </c>
      <c r="B1282" s="5" t="s">
        <v>2315</v>
      </c>
      <c r="C1282" s="5" t="s">
        <v>661</v>
      </c>
      <c r="D1282" s="16">
        <v>0.32522999999999991</v>
      </c>
      <c r="E1282" s="16">
        <v>0.24622000000000011</v>
      </c>
      <c r="F1282" s="17">
        <v>0.39179999999999993</v>
      </c>
      <c r="G1282" s="18">
        <v>651</v>
      </c>
      <c r="H1282" s="18">
        <v>229.35</v>
      </c>
      <c r="I1282" s="18">
        <v>651</v>
      </c>
      <c r="J1282" s="53">
        <v>178.23</v>
      </c>
    </row>
    <row r="1283" spans="1:10" ht="17.25" customHeight="1" x14ac:dyDescent="0.25">
      <c r="A1283" s="4">
        <v>641</v>
      </c>
      <c r="B1283" s="5" t="s">
        <v>532</v>
      </c>
      <c r="C1283" s="5" t="s">
        <v>533</v>
      </c>
      <c r="D1283" s="16">
        <v>0.30364000000000013</v>
      </c>
      <c r="E1283" s="16">
        <v>0.25574000000000008</v>
      </c>
      <c r="F1283" s="17">
        <v>0.28570999999999991</v>
      </c>
      <c r="G1283" s="18">
        <v>718</v>
      </c>
      <c r="H1283" s="18">
        <v>285.14999999999998</v>
      </c>
      <c r="I1283" s="18">
        <v>718</v>
      </c>
      <c r="J1283" s="53">
        <v>146.22999999999999</v>
      </c>
    </row>
    <row r="1284" spans="1:10" ht="17.25" customHeight="1" x14ac:dyDescent="0.25">
      <c r="A1284" s="4">
        <v>569</v>
      </c>
      <c r="B1284" s="5" t="s">
        <v>464</v>
      </c>
      <c r="C1284" s="5" t="s">
        <v>465</v>
      </c>
      <c r="D1284" s="16">
        <v>0.29394000000000009</v>
      </c>
      <c r="E1284" s="16">
        <v>0.27400000000000002</v>
      </c>
      <c r="F1284" s="17">
        <v>0.28570999999999991</v>
      </c>
      <c r="G1284" s="18">
        <v>655</v>
      </c>
      <c r="H1284" s="18">
        <v>434.25</v>
      </c>
      <c r="I1284" s="18">
        <v>655</v>
      </c>
      <c r="J1284" s="53">
        <v>112.17</v>
      </c>
    </row>
    <row r="1285" spans="1:10" ht="17.25" customHeight="1" x14ac:dyDescent="0.25">
      <c r="A1285" s="4">
        <v>70</v>
      </c>
      <c r="B1285" s="5" t="s">
        <v>1564</v>
      </c>
      <c r="C1285" s="5" t="s">
        <v>1565</v>
      </c>
      <c r="D1285" s="16">
        <v>0.55893999999999999</v>
      </c>
      <c r="E1285" s="16">
        <v>0.27475000000000005</v>
      </c>
      <c r="F1285" s="17">
        <v>0.30289999999999995</v>
      </c>
      <c r="G1285" s="18">
        <v>491.25</v>
      </c>
      <c r="H1285" s="18">
        <v>257.89999999999998</v>
      </c>
      <c r="I1285" s="18">
        <v>491.25</v>
      </c>
      <c r="J1285" s="53">
        <v>114.02</v>
      </c>
    </row>
    <row r="1286" spans="1:10" ht="17.25" customHeight="1" x14ac:dyDescent="0.25">
      <c r="A1286" s="4">
        <v>69</v>
      </c>
      <c r="B1286" s="5" t="s">
        <v>1562</v>
      </c>
      <c r="C1286" s="5" t="s">
        <v>1563</v>
      </c>
      <c r="D1286" s="16">
        <v>0.44950000000000001</v>
      </c>
      <c r="E1286" s="16">
        <v>0.28600000000000003</v>
      </c>
      <c r="F1286" s="17">
        <v>0.28570999999999991</v>
      </c>
      <c r="G1286" s="18">
        <v>347.22</v>
      </c>
      <c r="H1286" s="18">
        <v>94.53</v>
      </c>
      <c r="I1286" s="18">
        <v>347.22</v>
      </c>
      <c r="J1286" s="53">
        <v>82.02</v>
      </c>
    </row>
    <row r="1287" spans="1:10" ht="17.25" customHeight="1" x14ac:dyDescent="0.25">
      <c r="A1287" s="4">
        <v>17</v>
      </c>
      <c r="B1287" s="5" t="s">
        <v>1480</v>
      </c>
      <c r="C1287" s="5" t="s">
        <v>1481</v>
      </c>
      <c r="D1287" s="16">
        <v>0.52435000000000009</v>
      </c>
      <c r="E1287" s="16">
        <v>0.25490000000000013</v>
      </c>
      <c r="F1287" s="17">
        <v>0.28909999999999991</v>
      </c>
      <c r="G1287" s="18">
        <v>298.89</v>
      </c>
      <c r="H1287" s="18">
        <v>117.97</v>
      </c>
      <c r="I1287" s="18">
        <v>298.89</v>
      </c>
      <c r="J1287" s="53">
        <v>70.010000000000005</v>
      </c>
    </row>
    <row r="1288" spans="1:10" ht="17.25" customHeight="1" x14ac:dyDescent="0.25">
      <c r="A1288" s="4">
        <v>18</v>
      </c>
      <c r="B1288" s="5" t="s">
        <v>2316</v>
      </c>
      <c r="C1288" s="5" t="s">
        <v>1482</v>
      </c>
      <c r="D1288" s="16">
        <v>1.1265999999999998</v>
      </c>
      <c r="E1288" s="16">
        <v>0.28100000000000014</v>
      </c>
      <c r="F1288" s="17">
        <v>0.28570999999999991</v>
      </c>
      <c r="G1288" s="18">
        <v>794.55</v>
      </c>
      <c r="H1288" s="18">
        <v>396.16</v>
      </c>
      <c r="I1288" s="18">
        <v>794.55</v>
      </c>
      <c r="J1288" s="53">
        <v>393.73</v>
      </c>
    </row>
    <row r="1289" spans="1:10" ht="17.25" customHeight="1" x14ac:dyDescent="0.25">
      <c r="A1289" s="4">
        <v>871</v>
      </c>
      <c r="B1289" s="5" t="s">
        <v>1776</v>
      </c>
      <c r="C1289" s="5" t="s">
        <v>1777</v>
      </c>
      <c r="D1289" s="16">
        <v>0.41542000000000012</v>
      </c>
      <c r="E1289" s="16">
        <v>0.25499999999999989</v>
      </c>
      <c r="F1289" s="17">
        <v>0.28570999999999991</v>
      </c>
      <c r="G1289" s="18">
        <v>890</v>
      </c>
      <c r="H1289" s="18">
        <v>438.15</v>
      </c>
      <c r="I1289" s="18">
        <v>890</v>
      </c>
      <c r="J1289" s="53">
        <v>192.12</v>
      </c>
    </row>
    <row r="1290" spans="1:10" ht="17.25" customHeight="1" x14ac:dyDescent="0.25">
      <c r="A1290" s="4">
        <v>231</v>
      </c>
      <c r="B1290" s="5" t="s">
        <v>101</v>
      </c>
      <c r="C1290" s="5" t="s">
        <v>102</v>
      </c>
      <c r="D1290" s="16">
        <v>0.23859000000000008</v>
      </c>
      <c r="E1290" s="16">
        <v>0.26428000000000007</v>
      </c>
      <c r="F1290" s="17">
        <v>0.2923</v>
      </c>
      <c r="G1290" s="18">
        <v>432</v>
      </c>
      <c r="H1290" s="18">
        <v>137.26</v>
      </c>
      <c r="I1290" s="18">
        <v>432</v>
      </c>
      <c r="J1290" s="53">
        <v>74.2</v>
      </c>
    </row>
    <row r="1291" spans="1:10" ht="17.25" customHeight="1" x14ac:dyDescent="0.25">
      <c r="A1291" s="4">
        <v>225</v>
      </c>
      <c r="B1291" s="5" t="s">
        <v>93</v>
      </c>
      <c r="C1291" s="5" t="s">
        <v>95</v>
      </c>
      <c r="D1291" s="16">
        <v>0.23283000000000009</v>
      </c>
      <c r="E1291" s="16">
        <v>0.25702999999999987</v>
      </c>
      <c r="F1291" s="17">
        <v>0.26869999999999994</v>
      </c>
      <c r="G1291" s="18">
        <v>433.25</v>
      </c>
      <c r="H1291" s="18">
        <v>156.08000000000001</v>
      </c>
      <c r="I1291" s="18">
        <v>433.25</v>
      </c>
      <c r="J1291" s="53">
        <v>59.11</v>
      </c>
    </row>
    <row r="1292" spans="1:10" ht="17.25" customHeight="1" x14ac:dyDescent="0.25">
      <c r="A1292" s="4">
        <v>619</v>
      </c>
      <c r="B1292" s="5" t="s">
        <v>507</v>
      </c>
      <c r="C1292" s="5" t="s">
        <v>510</v>
      </c>
      <c r="D1292" s="16">
        <v>0.32252999999999998</v>
      </c>
      <c r="E1292" s="16">
        <v>0.25892999999999988</v>
      </c>
      <c r="F1292" s="17">
        <v>0.15755999999999992</v>
      </c>
      <c r="G1292" s="18">
        <v>709</v>
      </c>
      <c r="H1292" s="18">
        <v>331.15</v>
      </c>
      <c r="I1292" s="18">
        <v>709</v>
      </c>
      <c r="J1292" s="53">
        <v>134.16999999999999</v>
      </c>
    </row>
    <row r="1293" spans="1:10" ht="17.25" customHeight="1" x14ac:dyDescent="0.25">
      <c r="A1293" s="4">
        <v>193</v>
      </c>
      <c r="B1293" s="5" t="s">
        <v>55</v>
      </c>
      <c r="C1293" s="5" t="s">
        <v>58</v>
      </c>
      <c r="D1293" s="16">
        <v>0.40372000000000008</v>
      </c>
      <c r="E1293" s="16">
        <v>0.25859999999999994</v>
      </c>
      <c r="F1293" s="17">
        <v>0.28570000000000007</v>
      </c>
      <c r="G1293" s="18">
        <v>604</v>
      </c>
      <c r="H1293" s="18">
        <v>334.65</v>
      </c>
      <c r="I1293" s="18">
        <v>604</v>
      </c>
      <c r="J1293" s="53">
        <v>90.08</v>
      </c>
    </row>
    <row r="1294" spans="1:10" ht="17.25" customHeight="1" x14ac:dyDescent="0.25">
      <c r="A1294" s="4">
        <v>1331</v>
      </c>
      <c r="B1294" s="21" t="s">
        <v>1949</v>
      </c>
      <c r="C1294" s="21" t="s">
        <v>1096</v>
      </c>
      <c r="D1294" s="23">
        <v>0.29835000000000012</v>
      </c>
      <c r="E1294" s="23">
        <v>0.23899999999999988</v>
      </c>
      <c r="F1294" s="24">
        <v>0.28570999999999991</v>
      </c>
      <c r="G1294" s="25">
        <v>908</v>
      </c>
      <c r="H1294" s="27">
        <v>342.15</v>
      </c>
      <c r="I1294" s="27">
        <v>908</v>
      </c>
      <c r="J1294" s="57">
        <v>256.33999999999997</v>
      </c>
    </row>
    <row r="1295" spans="1:10" ht="17.25" customHeight="1" x14ac:dyDescent="0.25">
      <c r="A1295" s="4">
        <v>1290</v>
      </c>
      <c r="B1295" s="5" t="s">
        <v>1044</v>
      </c>
      <c r="C1295" s="5" t="s">
        <v>1045</v>
      </c>
      <c r="D1295" s="16">
        <v>0.47330000000000005</v>
      </c>
      <c r="E1295" s="16">
        <v>0.35319999999999996</v>
      </c>
      <c r="F1295" s="17">
        <v>0.55467999999999984</v>
      </c>
      <c r="G1295" s="18">
        <v>1008</v>
      </c>
      <c r="H1295" s="18">
        <v>354.4</v>
      </c>
      <c r="I1295" s="18">
        <v>1008</v>
      </c>
      <c r="J1295" s="53">
        <v>262.27999999999997</v>
      </c>
    </row>
    <row r="1296" spans="1:10" ht="17.25" customHeight="1" x14ac:dyDescent="0.25">
      <c r="A1296" s="4">
        <v>958</v>
      </c>
      <c r="B1296" s="5" t="s">
        <v>685</v>
      </c>
      <c r="C1296" s="5" t="s">
        <v>686</v>
      </c>
      <c r="D1296" s="16">
        <v>0.24950000000000006</v>
      </c>
      <c r="E1296" s="16">
        <v>0.26668000000000003</v>
      </c>
      <c r="F1296" s="17">
        <v>0.24500000000000011</v>
      </c>
      <c r="G1296" s="18">
        <v>577.5</v>
      </c>
      <c r="H1296" s="18">
        <v>179.65</v>
      </c>
      <c r="I1296" s="18">
        <v>577.5</v>
      </c>
      <c r="J1296" s="53">
        <v>143.27000000000001</v>
      </c>
    </row>
    <row r="1297" spans="1:10" ht="17.25" customHeight="1" x14ac:dyDescent="0.25">
      <c r="A1297" s="4">
        <v>1175</v>
      </c>
      <c r="B1297" s="5" t="s">
        <v>2317</v>
      </c>
      <c r="C1297" s="5" t="s">
        <v>2647</v>
      </c>
      <c r="D1297" s="16">
        <v>0.26659999999999995</v>
      </c>
      <c r="E1297" s="16">
        <v>0.24120999999999992</v>
      </c>
      <c r="F1297" s="17">
        <v>0.39033000000000007</v>
      </c>
      <c r="G1297" s="18">
        <v>743.15</v>
      </c>
      <c r="H1297" s="18">
        <v>203.15</v>
      </c>
      <c r="I1297" s="18">
        <v>743.15</v>
      </c>
      <c r="J1297" s="53">
        <v>230.15</v>
      </c>
    </row>
    <row r="1298" spans="1:10" ht="17.25" customHeight="1" x14ac:dyDescent="0.25">
      <c r="A1298" s="4">
        <v>1177</v>
      </c>
      <c r="B1298" s="5" t="s">
        <v>905</v>
      </c>
      <c r="C1298" s="5" t="s">
        <v>2648</v>
      </c>
      <c r="D1298" s="16">
        <v>0.25305</v>
      </c>
      <c r="E1298" s="16">
        <v>0.26523000000000008</v>
      </c>
      <c r="F1298" s="17">
        <v>0.27429999999999999</v>
      </c>
      <c r="G1298" s="18">
        <v>644</v>
      </c>
      <c r="H1298" s="18">
        <v>203</v>
      </c>
      <c r="I1298" s="18">
        <v>644</v>
      </c>
      <c r="J1298" s="53">
        <v>185.35</v>
      </c>
    </row>
    <row r="1299" spans="1:10" ht="17.25" customHeight="1" x14ac:dyDescent="0.25">
      <c r="A1299" s="4">
        <v>1118</v>
      </c>
      <c r="B1299" s="5" t="s">
        <v>840</v>
      </c>
      <c r="C1299" s="5" t="s">
        <v>841</v>
      </c>
      <c r="D1299" s="16">
        <v>0.27866999999999997</v>
      </c>
      <c r="E1299" s="16">
        <v>0.28062999999999994</v>
      </c>
      <c r="F1299" s="17">
        <v>0.25705</v>
      </c>
      <c r="G1299" s="18">
        <v>710</v>
      </c>
      <c r="H1299" s="18">
        <v>270.14999999999998</v>
      </c>
      <c r="I1299" s="18">
        <v>710</v>
      </c>
      <c r="J1299" s="53">
        <v>188.37</v>
      </c>
    </row>
    <row r="1300" spans="1:10" ht="17.25" customHeight="1" x14ac:dyDescent="0.25">
      <c r="A1300" s="4">
        <v>415</v>
      </c>
      <c r="B1300" s="5" t="s">
        <v>315</v>
      </c>
      <c r="C1300" s="5" t="s">
        <v>319</v>
      </c>
      <c r="D1300" s="16">
        <v>0.27258000000000004</v>
      </c>
      <c r="E1300" s="16">
        <v>0.27024999999999988</v>
      </c>
      <c r="F1300" s="17">
        <v>0.24455999999999989</v>
      </c>
      <c r="G1300" s="18">
        <v>554</v>
      </c>
      <c r="H1300" s="18">
        <v>182</v>
      </c>
      <c r="I1300" s="18">
        <v>554</v>
      </c>
      <c r="J1300" s="53">
        <v>86.13</v>
      </c>
    </row>
    <row r="1301" spans="1:10" ht="17.25" customHeight="1" x14ac:dyDescent="0.25">
      <c r="A1301" s="4">
        <v>424</v>
      </c>
      <c r="B1301" s="5" t="s">
        <v>320</v>
      </c>
      <c r="C1301" s="5" t="s">
        <v>326</v>
      </c>
      <c r="D1301" s="16">
        <v>0.30423</v>
      </c>
      <c r="E1301" s="16">
        <v>0.26363000000000003</v>
      </c>
      <c r="F1301" s="17">
        <v>0.28150999999999993</v>
      </c>
      <c r="G1301" s="18">
        <v>651</v>
      </c>
      <c r="H1301" s="18">
        <v>239.15</v>
      </c>
      <c r="I1301" s="18">
        <v>651</v>
      </c>
      <c r="J1301" s="53">
        <v>102.13</v>
      </c>
    </row>
    <row r="1302" spans="1:10" ht="17.25" customHeight="1" x14ac:dyDescent="0.25">
      <c r="A1302" s="4">
        <v>399</v>
      </c>
      <c r="B1302" s="5" t="s">
        <v>300</v>
      </c>
      <c r="C1302" s="5" t="s">
        <v>301</v>
      </c>
      <c r="D1302" s="16">
        <v>0.25120999999999993</v>
      </c>
      <c r="E1302" s="16">
        <v>0.24825999999999993</v>
      </c>
      <c r="F1302" s="17">
        <v>0.27970000000000006</v>
      </c>
      <c r="G1302" s="18">
        <v>603</v>
      </c>
      <c r="H1302" s="18">
        <v>176.95</v>
      </c>
      <c r="I1302" s="18">
        <v>603</v>
      </c>
      <c r="J1302" s="53">
        <v>83.13</v>
      </c>
    </row>
    <row r="1303" spans="1:10" ht="17.25" customHeight="1" x14ac:dyDescent="0.25">
      <c r="A1303" s="4">
        <v>776</v>
      </c>
      <c r="B1303" s="5" t="s">
        <v>1758</v>
      </c>
      <c r="C1303" s="5" t="s">
        <v>1760</v>
      </c>
      <c r="D1303" s="16">
        <v>0.36604999999999999</v>
      </c>
      <c r="E1303" s="16">
        <v>0.25800000000000001</v>
      </c>
      <c r="F1303" s="17">
        <v>0.28570999999999991</v>
      </c>
      <c r="G1303" s="18">
        <v>777</v>
      </c>
      <c r="H1303" s="18">
        <v>355</v>
      </c>
      <c r="I1303" s="18">
        <v>777</v>
      </c>
      <c r="J1303" s="53">
        <v>152.15</v>
      </c>
    </row>
    <row r="1304" spans="1:10" ht="17.25" customHeight="1" x14ac:dyDescent="0.25">
      <c r="A1304" s="4">
        <v>273</v>
      </c>
      <c r="B1304" s="5" t="s">
        <v>149</v>
      </c>
      <c r="C1304" s="5" t="s">
        <v>153</v>
      </c>
      <c r="D1304" s="16">
        <v>0.31842999999999999</v>
      </c>
      <c r="E1304" s="16">
        <v>0.25802999999999998</v>
      </c>
      <c r="F1304" s="17">
        <v>0.28269999999999995</v>
      </c>
      <c r="G1304" s="18">
        <v>524</v>
      </c>
      <c r="H1304" s="18">
        <v>180.35</v>
      </c>
      <c r="I1304" s="18">
        <v>524</v>
      </c>
      <c r="J1304" s="53">
        <v>86.09</v>
      </c>
    </row>
    <row r="1305" spans="1:10" ht="17.25" customHeight="1" x14ac:dyDescent="0.25">
      <c r="A1305" s="4">
        <v>89</v>
      </c>
      <c r="B1305" s="5" t="s">
        <v>1592</v>
      </c>
      <c r="C1305" s="5" t="s">
        <v>1593</v>
      </c>
      <c r="D1305" s="16">
        <v>0.53515000000000001</v>
      </c>
      <c r="E1305" s="16">
        <v>0.25320999999999994</v>
      </c>
      <c r="F1305" s="17">
        <v>0.28899999999999992</v>
      </c>
      <c r="G1305" s="18">
        <v>473</v>
      </c>
      <c r="H1305" s="18">
        <v>135.35</v>
      </c>
      <c r="I1305" s="18">
        <v>473</v>
      </c>
      <c r="J1305" s="53">
        <v>106.95</v>
      </c>
    </row>
    <row r="1306" spans="1:10" ht="17.25" customHeight="1" x14ac:dyDescent="0.25">
      <c r="A1306" s="4">
        <v>90</v>
      </c>
      <c r="B1306" s="5" t="s">
        <v>2318</v>
      </c>
      <c r="C1306" s="5" t="s">
        <v>1594</v>
      </c>
      <c r="D1306" s="16">
        <v>0.34897</v>
      </c>
      <c r="E1306" s="16">
        <v>0.27069999999999994</v>
      </c>
      <c r="F1306" s="17">
        <v>0.27160000000000006</v>
      </c>
      <c r="G1306" s="18">
        <v>432</v>
      </c>
      <c r="H1306" s="18">
        <v>119.36</v>
      </c>
      <c r="I1306" s="18">
        <v>432</v>
      </c>
      <c r="J1306" s="53">
        <v>62.5</v>
      </c>
    </row>
    <row r="1307" spans="1:10" ht="17.25" customHeight="1" x14ac:dyDescent="0.25">
      <c r="A1307" s="4">
        <v>98</v>
      </c>
      <c r="B1307" s="5" t="s">
        <v>1604</v>
      </c>
      <c r="C1307" s="5" t="s">
        <v>1605</v>
      </c>
      <c r="D1307" s="16">
        <v>0.32311000000000001</v>
      </c>
      <c r="E1307" s="16">
        <v>0.27390000000000003</v>
      </c>
      <c r="F1307" s="17">
        <v>0.28570999999999991</v>
      </c>
      <c r="G1307" s="18">
        <v>327.8</v>
      </c>
      <c r="H1307" s="18">
        <v>112.65</v>
      </c>
      <c r="I1307" s="18">
        <v>327.8</v>
      </c>
      <c r="J1307" s="53">
        <v>46.04</v>
      </c>
    </row>
    <row r="1308" spans="1:10" ht="17.25" customHeight="1" x14ac:dyDescent="0.25">
      <c r="A1308" s="4">
        <v>157</v>
      </c>
      <c r="B1308" s="5" t="s">
        <v>9</v>
      </c>
      <c r="C1308" s="5" t="s">
        <v>10</v>
      </c>
      <c r="D1308" s="16">
        <v>0.33220000000000005</v>
      </c>
      <c r="E1308" s="16">
        <v>0.25151000000000012</v>
      </c>
      <c r="F1308" s="17">
        <v>0.29455000000000009</v>
      </c>
      <c r="G1308" s="18">
        <v>498</v>
      </c>
      <c r="H1308" s="18">
        <v>200</v>
      </c>
      <c r="I1308" s="18">
        <v>498</v>
      </c>
      <c r="J1308" s="53">
        <v>72.06</v>
      </c>
    </row>
    <row r="1309" spans="1:10" ht="17.25" customHeight="1" x14ac:dyDescent="0.25">
      <c r="A1309" s="4">
        <v>394</v>
      </c>
      <c r="B1309" s="5" t="s">
        <v>289</v>
      </c>
      <c r="C1309" s="5" t="s">
        <v>294</v>
      </c>
      <c r="D1309" s="16">
        <v>0.30976000000000004</v>
      </c>
      <c r="E1309" s="16">
        <v>0.26200000000000001</v>
      </c>
      <c r="F1309" s="17">
        <v>0.28570999999999991</v>
      </c>
      <c r="G1309" s="18">
        <v>546</v>
      </c>
      <c r="H1309" s="18">
        <v>364.35</v>
      </c>
      <c r="I1309" s="18">
        <v>546</v>
      </c>
      <c r="J1309" s="53">
        <v>100.12</v>
      </c>
    </row>
    <row r="1310" spans="1:10" ht="17.25" customHeight="1" x14ac:dyDescent="0.25">
      <c r="A1310" s="4">
        <v>252</v>
      </c>
      <c r="B1310" s="5" t="s">
        <v>131</v>
      </c>
      <c r="C1310" s="5" t="s">
        <v>134</v>
      </c>
      <c r="D1310" s="16">
        <v>0.25903999999999994</v>
      </c>
      <c r="E1310" s="16">
        <v>0.23914999999999997</v>
      </c>
      <c r="F1310" s="17">
        <v>0.28990999999999989</v>
      </c>
      <c r="G1310" s="18">
        <v>584</v>
      </c>
      <c r="H1310" s="18">
        <v>186.15</v>
      </c>
      <c r="I1310" s="18">
        <v>584</v>
      </c>
      <c r="J1310" s="53">
        <v>67.09</v>
      </c>
    </row>
    <row r="1311" spans="1:10" ht="17.25" customHeight="1" x14ac:dyDescent="0.25">
      <c r="A1311" s="4">
        <v>239</v>
      </c>
      <c r="B1311" s="5" t="s">
        <v>116</v>
      </c>
      <c r="C1311" s="5" t="s">
        <v>117</v>
      </c>
      <c r="D1311" s="16">
        <v>0.25446999999999997</v>
      </c>
      <c r="E1311" s="16">
        <v>0.26347999999999994</v>
      </c>
      <c r="F1311" s="17">
        <v>0.28570999999999991</v>
      </c>
      <c r="G1311" s="18">
        <v>454</v>
      </c>
      <c r="H1311" s="18">
        <v>179.95</v>
      </c>
      <c r="I1311" s="18">
        <v>454</v>
      </c>
      <c r="J1311" s="53">
        <v>52.07</v>
      </c>
    </row>
    <row r="1312" spans="1:10" ht="17.25" customHeight="1" x14ac:dyDescent="0.25">
      <c r="A1312" s="4">
        <v>797</v>
      </c>
      <c r="B1312" s="5" t="s">
        <v>608</v>
      </c>
      <c r="C1312" s="5" t="s">
        <v>610</v>
      </c>
      <c r="D1312" s="16">
        <v>0.27917999999999998</v>
      </c>
      <c r="E1312" s="16">
        <v>0.26686999999999994</v>
      </c>
      <c r="F1312" s="17">
        <v>0.28570000000000007</v>
      </c>
      <c r="G1312" s="18">
        <v>599</v>
      </c>
      <c r="H1312" s="18">
        <v>164</v>
      </c>
      <c r="I1312" s="18">
        <v>599</v>
      </c>
      <c r="J1312" s="53">
        <v>108.18</v>
      </c>
    </row>
    <row r="1313" spans="1:10" ht="17.25" customHeight="1" x14ac:dyDescent="0.25">
      <c r="A1313" s="8" t="s">
        <v>1967</v>
      </c>
      <c r="B1313" s="9" t="s">
        <v>1857</v>
      </c>
      <c r="C1313" s="9" t="s">
        <v>1858</v>
      </c>
      <c r="D1313" s="10">
        <v>0.20121999999999995</v>
      </c>
      <c r="E1313" s="10">
        <v>7.6449999999999907E-2</v>
      </c>
      <c r="F1313" s="11">
        <v>0.28570999999999991</v>
      </c>
      <c r="G1313" s="12">
        <v>7151</v>
      </c>
      <c r="H1313" s="12">
        <v>933</v>
      </c>
      <c r="I1313" s="12">
        <v>1373.15</v>
      </c>
      <c r="J1313" s="58">
        <v>26.98</v>
      </c>
    </row>
    <row r="1314" spans="1:10" ht="17.25" customHeight="1" x14ac:dyDescent="0.25">
      <c r="A1314" s="8" t="s">
        <v>1968</v>
      </c>
      <c r="B1314" s="9" t="s">
        <v>2319</v>
      </c>
      <c r="C1314" s="9" t="s">
        <v>1860</v>
      </c>
      <c r="D1314" s="10">
        <v>0.50983000000000001</v>
      </c>
      <c r="E1314" s="10">
        <v>0.24348999999999998</v>
      </c>
      <c r="F1314" s="11">
        <v>0.31244000000000005</v>
      </c>
      <c r="G1314" s="12">
        <v>629</v>
      </c>
      <c r="H1314" s="12">
        <v>465.75</v>
      </c>
      <c r="I1314" s="12">
        <v>629</v>
      </c>
      <c r="J1314" s="58">
        <v>133.34</v>
      </c>
    </row>
    <row r="1315" spans="1:10" ht="17.25" customHeight="1" x14ac:dyDescent="0.25">
      <c r="A1315" s="8" t="s">
        <v>1969</v>
      </c>
      <c r="B1315" s="9" t="s">
        <v>2320</v>
      </c>
      <c r="C1315" s="9" t="s">
        <v>1861</v>
      </c>
      <c r="D1315" s="10">
        <v>1.1726200000000002</v>
      </c>
      <c r="E1315" s="10">
        <v>0.30000000000000004</v>
      </c>
      <c r="F1315" s="11">
        <v>0.28570999999999991</v>
      </c>
      <c r="G1315" s="12">
        <v>983</v>
      </c>
      <c r="H1315" s="12">
        <v>464.15</v>
      </c>
      <c r="I1315" s="12">
        <v>561.4</v>
      </c>
      <c r="J1315" s="58">
        <v>407.7</v>
      </c>
    </row>
    <row r="1316" spans="1:10" ht="17.25" customHeight="1" x14ac:dyDescent="0.25">
      <c r="A1316" s="8" t="s">
        <v>1970</v>
      </c>
      <c r="B1316" s="9" t="s">
        <v>1862</v>
      </c>
      <c r="C1316" s="9" t="s">
        <v>1863</v>
      </c>
      <c r="D1316" s="10">
        <v>1.2635700000000001</v>
      </c>
      <c r="E1316" s="10">
        <v>0.30000000000000004</v>
      </c>
      <c r="F1316" s="11">
        <v>0.28570999999999991</v>
      </c>
      <c r="G1316" s="12">
        <v>5335</v>
      </c>
      <c r="H1316" s="12">
        <v>2325</v>
      </c>
      <c r="I1316" s="12">
        <v>2525</v>
      </c>
      <c r="J1316" s="58">
        <v>101.96</v>
      </c>
    </row>
    <row r="1317" spans="1:10" ht="17.25" customHeight="1" x14ac:dyDescent="0.25">
      <c r="A1317" s="8" t="s">
        <v>1971</v>
      </c>
      <c r="B1317" s="9" t="s">
        <v>2321</v>
      </c>
      <c r="C1317" s="9" t="s">
        <v>1859</v>
      </c>
      <c r="D1317" s="10">
        <v>0.47443999999999997</v>
      </c>
      <c r="E1317" s="10">
        <v>0.14122999999999997</v>
      </c>
      <c r="F1317" s="11">
        <v>0.28570999999999991</v>
      </c>
      <c r="G1317" s="12">
        <v>763</v>
      </c>
      <c r="H1317" s="12">
        <v>390.15</v>
      </c>
      <c r="I1317" s="12">
        <v>459.8</v>
      </c>
      <c r="J1317" s="58">
        <v>266.69</v>
      </c>
    </row>
    <row r="1318" spans="1:10" ht="17.25" customHeight="1" x14ac:dyDescent="0.25">
      <c r="A1318" s="8" t="s">
        <v>1972</v>
      </c>
      <c r="B1318" s="9" t="s">
        <v>1254</v>
      </c>
      <c r="C1318" s="9" t="s">
        <v>1255</v>
      </c>
      <c r="D1318" s="10">
        <v>0.23689000000000004</v>
      </c>
      <c r="E1318" s="10">
        <v>0.25470999999999999</v>
      </c>
      <c r="F1318" s="11">
        <v>0.28869999999999996</v>
      </c>
      <c r="G1318" s="12">
        <v>405.65</v>
      </c>
      <c r="H1318" s="12">
        <v>195.41</v>
      </c>
      <c r="I1318" s="12">
        <v>405.65</v>
      </c>
      <c r="J1318" s="58">
        <v>17.03</v>
      </c>
    </row>
    <row r="1319" spans="1:10" ht="17.25" customHeight="1" x14ac:dyDescent="0.25">
      <c r="A1319" s="8" t="s">
        <v>1973</v>
      </c>
      <c r="B1319" s="9" t="s">
        <v>1258</v>
      </c>
      <c r="C1319" s="9" t="s">
        <v>1964</v>
      </c>
      <c r="D1319" s="10">
        <v>0.98286000000000007</v>
      </c>
      <c r="E1319" s="10">
        <v>0.30000000000000004</v>
      </c>
      <c r="F1319" s="11">
        <v>0.28570999999999991</v>
      </c>
      <c r="G1319" s="12">
        <v>1089.82</v>
      </c>
      <c r="H1319" s="12">
        <v>800</v>
      </c>
      <c r="I1319" s="12">
        <v>1000</v>
      </c>
      <c r="J1319" s="58">
        <v>97.94</v>
      </c>
    </row>
    <row r="1320" spans="1:10" ht="17.25" customHeight="1" x14ac:dyDescent="0.25">
      <c r="A1320" s="8" t="s">
        <v>1974</v>
      </c>
      <c r="B1320" s="9" t="s">
        <v>2322</v>
      </c>
      <c r="C1320" s="9" t="s">
        <v>1965</v>
      </c>
      <c r="D1320" s="10">
        <v>0.75456000000000012</v>
      </c>
      <c r="E1320" s="10">
        <v>0.30000000000000004</v>
      </c>
      <c r="F1320" s="11">
        <v>0.28570999999999991</v>
      </c>
      <c r="G1320" s="12">
        <v>882</v>
      </c>
      <c r="H1320" s="12">
        <v>793.2</v>
      </c>
      <c r="I1320" s="12">
        <v>883.2</v>
      </c>
      <c r="J1320" s="58">
        <v>53.49</v>
      </c>
    </row>
    <row r="1321" spans="1:10" ht="17.25" customHeight="1" x14ac:dyDescent="0.25">
      <c r="A1321" s="8" t="s">
        <v>1975</v>
      </c>
      <c r="B1321" s="9" t="s">
        <v>1260</v>
      </c>
      <c r="C1321" s="9" t="s">
        <v>1261</v>
      </c>
      <c r="D1321" s="10">
        <v>0.49634</v>
      </c>
      <c r="E1321" s="10">
        <v>0.30000000000000004</v>
      </c>
      <c r="F1321" s="11">
        <v>0.28570999999999991</v>
      </c>
      <c r="G1321" s="12">
        <v>499.1</v>
      </c>
      <c r="H1321" s="12">
        <v>391.15</v>
      </c>
      <c r="I1321" s="12">
        <v>455.37</v>
      </c>
      <c r="J1321" s="58">
        <v>51.11</v>
      </c>
    </row>
    <row r="1322" spans="1:10" ht="17.25" customHeight="1" x14ac:dyDescent="0.25">
      <c r="A1322" s="8" t="s">
        <v>1976</v>
      </c>
      <c r="B1322" s="9" t="s">
        <v>1259</v>
      </c>
      <c r="C1322" s="9" t="s">
        <v>1966</v>
      </c>
      <c r="D1322" s="10">
        <v>1.0087099999999998</v>
      </c>
      <c r="E1322" s="10">
        <v>0.30000000000000004</v>
      </c>
      <c r="F1322" s="11">
        <v>0.28570999999999991</v>
      </c>
      <c r="G1322" s="12">
        <v>1104.32</v>
      </c>
      <c r="H1322" s="12">
        <v>800</v>
      </c>
      <c r="I1322" s="12">
        <v>1000</v>
      </c>
      <c r="J1322" s="58">
        <v>144.94</v>
      </c>
    </row>
    <row r="1323" spans="1:10" ht="17.25" customHeight="1" x14ac:dyDescent="0.25">
      <c r="A1323" s="8" t="s">
        <v>1977</v>
      </c>
      <c r="B1323" s="9" t="s">
        <v>1373</v>
      </c>
      <c r="C1323" s="9" t="s">
        <v>1374</v>
      </c>
      <c r="D1323" s="10">
        <v>1.6992700000000003</v>
      </c>
      <c r="E1323" s="10">
        <v>0.24231000000000003</v>
      </c>
      <c r="F1323" s="11">
        <v>0.28570999999999991</v>
      </c>
      <c r="G1323" s="12">
        <v>5070</v>
      </c>
      <c r="H1323" s="12">
        <v>903.78</v>
      </c>
      <c r="I1323" s="12">
        <v>1243.1500000000001</v>
      </c>
      <c r="J1323" s="58">
        <v>121.76</v>
      </c>
    </row>
    <row r="1324" spans="1:10" ht="17.25" customHeight="1" x14ac:dyDescent="0.25">
      <c r="A1324" s="8" t="s">
        <v>1978</v>
      </c>
      <c r="B1324" s="9" t="s">
        <v>1377</v>
      </c>
      <c r="C1324" s="9" t="s">
        <v>1378</v>
      </c>
      <c r="D1324" s="10">
        <v>0.78102000000000005</v>
      </c>
      <c r="E1324" s="10">
        <v>0.27400000000000002</v>
      </c>
      <c r="F1324" s="11">
        <v>0.28570999999999991</v>
      </c>
      <c r="G1324" s="12">
        <v>662.54</v>
      </c>
      <c r="H1324" s="12">
        <v>275.95</v>
      </c>
      <c r="I1324" s="12">
        <v>662.54</v>
      </c>
      <c r="J1324" s="58">
        <v>299.02999999999997</v>
      </c>
    </row>
    <row r="1325" spans="1:10" ht="17.25" customHeight="1" x14ac:dyDescent="0.25">
      <c r="A1325" s="8" t="s">
        <v>1979</v>
      </c>
      <c r="B1325" s="9" t="s">
        <v>1375</v>
      </c>
      <c r="C1325" s="9" t="s">
        <v>1376</v>
      </c>
      <c r="D1325" s="10">
        <v>0.77034000000000002</v>
      </c>
      <c r="E1325" s="10">
        <v>0.21619999999999995</v>
      </c>
      <c r="F1325" s="11">
        <v>0.28570000000000007</v>
      </c>
      <c r="G1325" s="12">
        <v>794</v>
      </c>
      <c r="H1325" s="12">
        <v>346.55</v>
      </c>
      <c r="I1325" s="12">
        <v>794</v>
      </c>
      <c r="J1325" s="58">
        <v>228.12</v>
      </c>
    </row>
    <row r="1326" spans="1:10" ht="17.25" customHeight="1" x14ac:dyDescent="0.25">
      <c r="A1326" s="8" t="s">
        <v>1980</v>
      </c>
      <c r="B1326" s="9" t="s">
        <v>1381</v>
      </c>
      <c r="C1326" s="9" t="s">
        <v>1382</v>
      </c>
      <c r="D1326" s="10">
        <v>1.7263599999999997</v>
      </c>
      <c r="E1326" s="10">
        <v>0.30000000000000004</v>
      </c>
      <c r="F1326" s="11">
        <v>0.28570999999999991</v>
      </c>
      <c r="G1326" s="12">
        <v>2765.72</v>
      </c>
      <c r="H1326" s="12">
        <v>929.15</v>
      </c>
      <c r="I1326" s="12">
        <v>1129.1500000000001</v>
      </c>
      <c r="J1326" s="58">
        <v>291.52</v>
      </c>
    </row>
    <row r="1327" spans="1:10" ht="17.25" customHeight="1" x14ac:dyDescent="0.25">
      <c r="A1327" s="8" t="s">
        <v>1981</v>
      </c>
      <c r="B1327" s="9" t="s">
        <v>1864</v>
      </c>
      <c r="C1327" s="9" t="s">
        <v>1865</v>
      </c>
      <c r="D1327" s="10">
        <v>0.53120000000000012</v>
      </c>
      <c r="E1327" s="10">
        <v>0.28600000000000003</v>
      </c>
      <c r="F1327" s="11">
        <v>0.2984</v>
      </c>
      <c r="G1327" s="12">
        <v>150.86000000000001</v>
      </c>
      <c r="H1327" s="12">
        <v>83.78</v>
      </c>
      <c r="I1327" s="12">
        <v>150.86000000000001</v>
      </c>
      <c r="J1327" s="58">
        <v>39.950000000000003</v>
      </c>
    </row>
    <row r="1328" spans="1:10" ht="17.25" customHeight="1" x14ac:dyDescent="0.25">
      <c r="A1328" s="8" t="s">
        <v>1982</v>
      </c>
      <c r="B1328" s="13" t="s">
        <v>1866</v>
      </c>
      <c r="C1328" s="9" t="s">
        <v>1867</v>
      </c>
      <c r="D1328" s="10">
        <v>0.62605</v>
      </c>
      <c r="E1328" s="10">
        <v>5.5949999999999944E-2</v>
      </c>
      <c r="F1328" s="11">
        <v>0.28570999999999991</v>
      </c>
      <c r="G1328" s="12">
        <v>1673.15</v>
      </c>
      <c r="H1328" s="12">
        <v>1090.1500000000001</v>
      </c>
      <c r="I1328" s="12">
        <v>1290.1500000000001</v>
      </c>
      <c r="J1328" s="58">
        <v>74.92</v>
      </c>
    </row>
    <row r="1329" spans="1:10" ht="17.25" customHeight="1" x14ac:dyDescent="0.25">
      <c r="A1329" s="8" t="s">
        <v>1983</v>
      </c>
      <c r="B1329" s="13" t="s">
        <v>1874</v>
      </c>
      <c r="C1329" s="9" t="s">
        <v>1875</v>
      </c>
      <c r="D1329" s="10">
        <v>0.87020000000000008</v>
      </c>
      <c r="E1329" s="10">
        <v>0.27400000000000002</v>
      </c>
      <c r="F1329" s="11">
        <v>0.28570999999999991</v>
      </c>
      <c r="G1329" s="12">
        <v>357.73</v>
      </c>
      <c r="H1329" s="12">
        <v>193.35</v>
      </c>
      <c r="I1329" s="12">
        <v>357.73</v>
      </c>
      <c r="J1329" s="58">
        <v>169.91</v>
      </c>
    </row>
    <row r="1330" spans="1:10" ht="17.25" customHeight="1" x14ac:dyDescent="0.25">
      <c r="A1330" s="8" t="s">
        <v>1984</v>
      </c>
      <c r="B1330" s="9" t="s">
        <v>1868</v>
      </c>
      <c r="C1330" s="9" t="s">
        <v>1869</v>
      </c>
      <c r="D1330" s="10">
        <v>1.0606100000000001</v>
      </c>
      <c r="E1330" s="10">
        <v>0.27400000000000002</v>
      </c>
      <c r="F1330" s="11">
        <v>0.28570999999999991</v>
      </c>
      <c r="G1330" s="12">
        <v>789.01</v>
      </c>
      <c r="H1330" s="12">
        <v>306.14999999999998</v>
      </c>
      <c r="I1330" s="12">
        <v>399.65</v>
      </c>
      <c r="J1330" s="58">
        <v>314.63</v>
      </c>
    </row>
    <row r="1331" spans="1:10" ht="17.25" customHeight="1" x14ac:dyDescent="0.25">
      <c r="A1331" s="8" t="s">
        <v>1985</v>
      </c>
      <c r="B1331" s="9" t="s">
        <v>1870</v>
      </c>
      <c r="C1331" s="9" t="s">
        <v>1871</v>
      </c>
      <c r="D1331" s="10">
        <v>0.72432000000000007</v>
      </c>
      <c r="E1331" s="10">
        <v>0.27400000000000002</v>
      </c>
      <c r="F1331" s="11">
        <v>0.28570999999999991</v>
      </c>
      <c r="G1331" s="12">
        <v>654</v>
      </c>
      <c r="H1331" s="12">
        <v>255.14999999999998</v>
      </c>
      <c r="I1331" s="12">
        <v>654</v>
      </c>
      <c r="J1331" s="58">
        <v>181.28</v>
      </c>
    </row>
    <row r="1332" spans="1:10" ht="17.25" customHeight="1" x14ac:dyDescent="0.25">
      <c r="A1332" s="8" t="s">
        <v>1986</v>
      </c>
      <c r="B1332" s="9" t="s">
        <v>1872</v>
      </c>
      <c r="C1332" s="9" t="s">
        <v>1873</v>
      </c>
      <c r="D1332" s="10">
        <v>0.95307999999999993</v>
      </c>
      <c r="E1332" s="10">
        <v>0.27400000000000002</v>
      </c>
      <c r="F1332" s="11">
        <v>0.28570999999999991</v>
      </c>
      <c r="G1332" s="12">
        <v>530.21</v>
      </c>
      <c r="H1332" s="12">
        <v>267.25</v>
      </c>
      <c r="I1332" s="12">
        <v>530.21</v>
      </c>
      <c r="J1332" s="58">
        <v>131.91999999999999</v>
      </c>
    </row>
    <row r="1333" spans="1:10" ht="17.25" customHeight="1" x14ac:dyDescent="0.25">
      <c r="A1333" s="8" t="s">
        <v>1987</v>
      </c>
      <c r="B1333" s="9" t="s">
        <v>1878</v>
      </c>
      <c r="C1333" s="9" t="s">
        <v>1879</v>
      </c>
      <c r="D1333" s="10">
        <v>1.2796799999999999</v>
      </c>
      <c r="E1333" s="10">
        <v>0.30000000000000004</v>
      </c>
      <c r="F1333" s="11">
        <v>0.28570999999999991</v>
      </c>
      <c r="G1333" s="12">
        <v>1189.5</v>
      </c>
      <c r="H1333" s="12">
        <v>585.95000000000005</v>
      </c>
      <c r="I1333" s="12">
        <v>658.15</v>
      </c>
      <c r="J1333" s="58">
        <v>197.84</v>
      </c>
    </row>
    <row r="1334" spans="1:10" ht="17.25" customHeight="1" x14ac:dyDescent="0.25">
      <c r="A1334" s="8" t="s">
        <v>1988</v>
      </c>
      <c r="B1334" s="9" t="s">
        <v>1876</v>
      </c>
      <c r="C1334" s="9" t="s">
        <v>1877</v>
      </c>
      <c r="D1334" s="10">
        <v>0.79658000000000007</v>
      </c>
      <c r="E1334" s="10">
        <v>0.35949999999999993</v>
      </c>
      <c r="F1334" s="11">
        <v>0.43880000000000008</v>
      </c>
      <c r="G1334" s="12">
        <v>373</v>
      </c>
      <c r="H1334" s="12">
        <v>156.22999999999999</v>
      </c>
      <c r="I1334" s="12">
        <v>373</v>
      </c>
      <c r="J1334" s="58">
        <v>77.95</v>
      </c>
    </row>
    <row r="1335" spans="1:10" ht="17.25" customHeight="1" x14ac:dyDescent="0.25">
      <c r="A1335" s="8" t="s">
        <v>1989</v>
      </c>
      <c r="B1335" s="9" t="s">
        <v>1901</v>
      </c>
      <c r="C1335" s="9" t="s">
        <v>1902</v>
      </c>
      <c r="D1335" s="10">
        <v>1.1109999999999998</v>
      </c>
      <c r="E1335" s="10">
        <v>0.30000000000000004</v>
      </c>
      <c r="F1335" s="11">
        <v>0.28570999999999991</v>
      </c>
      <c r="G1335" s="12">
        <v>3572.13</v>
      </c>
      <c r="H1335" s="12">
        <v>1000.15</v>
      </c>
      <c r="I1335" s="12">
        <v>1200.1500000000001</v>
      </c>
      <c r="J1335" s="58">
        <v>137.33000000000001</v>
      </c>
    </row>
    <row r="1336" spans="1:10" ht="17.25" customHeight="1" x14ac:dyDescent="0.25">
      <c r="A1336" s="8" t="s">
        <v>1990</v>
      </c>
      <c r="B1336" s="14" t="s">
        <v>1903</v>
      </c>
      <c r="C1336" s="9" t="s">
        <v>1904</v>
      </c>
      <c r="D1336" s="10">
        <v>0.57566000000000006</v>
      </c>
      <c r="E1336" s="10">
        <v>0.30000000000000004</v>
      </c>
      <c r="F1336" s="11">
        <v>0.28570999999999991</v>
      </c>
      <c r="G1336" s="12">
        <v>5199.8</v>
      </c>
      <c r="H1336" s="12">
        <v>1560.15</v>
      </c>
      <c r="I1336" s="12">
        <v>1760.15</v>
      </c>
      <c r="J1336" s="58">
        <v>9.01</v>
      </c>
    </row>
    <row r="1337" spans="1:10" ht="17.25" customHeight="1" x14ac:dyDescent="0.25">
      <c r="A1337" s="8" t="s">
        <v>1991</v>
      </c>
      <c r="B1337" s="9" t="s">
        <v>1905</v>
      </c>
      <c r="C1337" s="9" t="s">
        <v>1906</v>
      </c>
      <c r="D1337" s="10">
        <v>1.2896200000000002</v>
      </c>
      <c r="E1337" s="10">
        <v>0.30000000000000004</v>
      </c>
      <c r="F1337" s="11">
        <v>0.28570999999999991</v>
      </c>
      <c r="G1337" s="12">
        <v>1216.8599999999999</v>
      </c>
      <c r="H1337" s="12">
        <v>763.15</v>
      </c>
      <c r="I1337" s="12">
        <v>919.72</v>
      </c>
      <c r="J1337" s="58">
        <v>168.82</v>
      </c>
    </row>
    <row r="1338" spans="1:10" ht="17.25" customHeight="1" x14ac:dyDescent="0.25">
      <c r="A1338" s="8" t="s">
        <v>1992</v>
      </c>
      <c r="B1338" s="9" t="s">
        <v>1907</v>
      </c>
      <c r="C1338" s="9" t="s">
        <v>1908</v>
      </c>
      <c r="D1338" s="10">
        <v>0.57918000000000003</v>
      </c>
      <c r="E1338" s="10">
        <v>0.30000000000000004</v>
      </c>
      <c r="F1338" s="11">
        <v>0.28570999999999991</v>
      </c>
      <c r="G1338" s="12">
        <v>1238.03</v>
      </c>
      <c r="H1338" s="12">
        <v>678.15</v>
      </c>
      <c r="I1338" s="12">
        <v>800</v>
      </c>
      <c r="J1338" s="58">
        <v>79.92</v>
      </c>
    </row>
    <row r="1339" spans="1:10" ht="17.25" customHeight="1" x14ac:dyDescent="0.25">
      <c r="A1339" s="8" t="s">
        <v>1993</v>
      </c>
      <c r="B1339" s="9" t="s">
        <v>2323</v>
      </c>
      <c r="C1339" s="9" t="s">
        <v>1909</v>
      </c>
      <c r="D1339" s="10">
        <v>1.5960999999999999</v>
      </c>
      <c r="E1339" s="10">
        <v>0.30000000000000004</v>
      </c>
      <c r="F1339" s="11">
        <v>0.28570999999999991</v>
      </c>
      <c r="G1339" s="12">
        <v>1238.03</v>
      </c>
      <c r="H1339" s="12">
        <v>761.15</v>
      </c>
      <c r="I1339" s="12">
        <v>920.44</v>
      </c>
      <c r="J1339" s="58">
        <v>262.82</v>
      </c>
    </row>
    <row r="1340" spans="1:10" ht="17.25" customHeight="1" x14ac:dyDescent="0.25">
      <c r="A1340" s="15" t="s">
        <v>1994</v>
      </c>
      <c r="B1340" s="9" t="s">
        <v>1910</v>
      </c>
      <c r="C1340" s="9" t="s">
        <v>1911</v>
      </c>
      <c r="D1340" s="10">
        <v>1.75617</v>
      </c>
      <c r="E1340" s="10">
        <v>0.16368000000000005</v>
      </c>
      <c r="F1340" s="11">
        <v>0.28570999999999991</v>
      </c>
      <c r="G1340" s="12">
        <v>4620</v>
      </c>
      <c r="H1340" s="12">
        <v>544.15</v>
      </c>
      <c r="I1340" s="12">
        <v>1235.1500000000001</v>
      </c>
      <c r="J1340" s="58">
        <v>208.98</v>
      </c>
    </row>
    <row r="1341" spans="1:10" ht="17.25" customHeight="1" x14ac:dyDescent="0.25">
      <c r="A1341" s="8" t="s">
        <v>1995</v>
      </c>
      <c r="B1341" s="9" t="s">
        <v>1912</v>
      </c>
      <c r="C1341" s="9" t="s">
        <v>1913</v>
      </c>
      <c r="D1341" s="10">
        <v>1.6123599999999998</v>
      </c>
      <c r="E1341" s="10">
        <v>0.30000000000000004</v>
      </c>
      <c r="F1341" s="11">
        <v>0.28570999999999991</v>
      </c>
      <c r="G1341" s="12">
        <v>1220</v>
      </c>
      <c r="H1341" s="12">
        <v>491.15</v>
      </c>
      <c r="I1341" s="12">
        <v>1100</v>
      </c>
      <c r="J1341" s="58">
        <v>448.69</v>
      </c>
    </row>
    <row r="1342" spans="1:10" ht="17.25" customHeight="1" x14ac:dyDescent="0.25">
      <c r="A1342" s="8" t="s">
        <v>1996</v>
      </c>
      <c r="B1342" s="9" t="s">
        <v>1914</v>
      </c>
      <c r="C1342" s="9" t="s">
        <v>1915</v>
      </c>
      <c r="D1342" s="10">
        <v>1.3885899999999998</v>
      </c>
      <c r="E1342" s="10">
        <v>0.30000000000000004</v>
      </c>
      <c r="F1342" s="11">
        <v>0.28570999999999991</v>
      </c>
      <c r="G1342" s="12">
        <v>1178</v>
      </c>
      <c r="H1342" s="12">
        <v>503.15</v>
      </c>
      <c r="I1342" s="12">
        <v>1100</v>
      </c>
      <c r="J1342" s="58">
        <v>315.33999999999997</v>
      </c>
    </row>
    <row r="1343" spans="1:10" ht="17.25" customHeight="1" x14ac:dyDescent="0.25">
      <c r="A1343" s="8" t="s">
        <v>1997</v>
      </c>
      <c r="B1343" s="9" t="s">
        <v>1891</v>
      </c>
      <c r="C1343" s="9" t="s">
        <v>1892</v>
      </c>
      <c r="D1343" s="10">
        <v>0.32655999999999996</v>
      </c>
      <c r="E1343" s="10">
        <v>0.27400000000000002</v>
      </c>
      <c r="F1343" s="11">
        <v>0.28570999999999991</v>
      </c>
      <c r="G1343" s="12">
        <v>521.20000000000005</v>
      </c>
      <c r="H1343" s="12">
        <v>214.95</v>
      </c>
      <c r="I1343" s="12">
        <v>521.20000000000005</v>
      </c>
      <c r="J1343" s="58">
        <v>80.5</v>
      </c>
    </row>
    <row r="1344" spans="1:10" ht="17.25" customHeight="1" x14ac:dyDescent="0.25">
      <c r="A1344" s="8" t="s">
        <v>1998</v>
      </c>
      <c r="B1344" s="9" t="s">
        <v>4</v>
      </c>
      <c r="C1344" s="9" t="s">
        <v>1882</v>
      </c>
      <c r="D1344" s="10">
        <v>0.72679999999999989</v>
      </c>
      <c r="E1344" s="10">
        <v>0.30000000000000004</v>
      </c>
      <c r="F1344" s="11">
        <v>0.28570999999999991</v>
      </c>
      <c r="G1344" s="12">
        <v>7934.59</v>
      </c>
      <c r="H1344" s="12">
        <v>2348.15</v>
      </c>
      <c r="I1344" s="12">
        <v>2548.15</v>
      </c>
      <c r="J1344" s="58">
        <v>10.81</v>
      </c>
    </row>
    <row r="1345" spans="1:10" ht="17.25" customHeight="1" x14ac:dyDescent="0.25">
      <c r="A1345" s="8" t="s">
        <v>1999</v>
      </c>
      <c r="B1345" s="9" t="s">
        <v>1883</v>
      </c>
      <c r="C1345" s="9" t="s">
        <v>1884</v>
      </c>
      <c r="D1345" s="10">
        <v>0.91487000000000007</v>
      </c>
      <c r="E1345" s="10">
        <v>0.27400000000000002</v>
      </c>
      <c r="F1345" s="11">
        <v>0.28570999999999991</v>
      </c>
      <c r="G1345" s="12">
        <v>581</v>
      </c>
      <c r="H1345" s="12">
        <v>228.15</v>
      </c>
      <c r="I1345" s="12">
        <v>581</v>
      </c>
      <c r="J1345" s="58">
        <v>250.52</v>
      </c>
    </row>
    <row r="1346" spans="1:10" ht="17.25" customHeight="1" x14ac:dyDescent="0.25">
      <c r="A1346" s="8" t="s">
        <v>2000</v>
      </c>
      <c r="B1346" s="9" t="s">
        <v>1885</v>
      </c>
      <c r="C1346" s="9" t="s">
        <v>1886</v>
      </c>
      <c r="D1346" s="10">
        <v>0.78990000000000005</v>
      </c>
      <c r="E1346" s="10">
        <v>0.41144999999999987</v>
      </c>
      <c r="F1346" s="11">
        <v>0.51112000000000002</v>
      </c>
      <c r="G1346" s="12">
        <v>451.95</v>
      </c>
      <c r="H1346" s="12">
        <v>166.15</v>
      </c>
      <c r="I1346" s="12">
        <v>451.95</v>
      </c>
      <c r="J1346" s="58">
        <v>117.17</v>
      </c>
    </row>
    <row r="1347" spans="1:10" ht="17.25" customHeight="1" x14ac:dyDescent="0.25">
      <c r="A1347" s="8" t="s">
        <v>2001</v>
      </c>
      <c r="B1347" s="9" t="s">
        <v>1887</v>
      </c>
      <c r="C1347" s="9" t="s">
        <v>1888</v>
      </c>
      <c r="D1347" s="10">
        <v>0.54855000000000009</v>
      </c>
      <c r="E1347" s="10">
        <v>0.26188999999999996</v>
      </c>
      <c r="F1347" s="11">
        <v>0.22100000000000009</v>
      </c>
      <c r="G1347" s="12">
        <v>260.89999999999998</v>
      </c>
      <c r="H1347" s="12">
        <v>146.05000000000001</v>
      </c>
      <c r="I1347" s="12">
        <v>260.89999999999998</v>
      </c>
      <c r="J1347" s="58">
        <v>67.81</v>
      </c>
    </row>
    <row r="1348" spans="1:10" ht="17.25" customHeight="1" x14ac:dyDescent="0.25">
      <c r="A1348" s="8" t="s">
        <v>2002</v>
      </c>
      <c r="B1348" s="9" t="s">
        <v>1918</v>
      </c>
      <c r="C1348" s="9" t="s">
        <v>1919</v>
      </c>
      <c r="D1348" s="10">
        <v>1.18377</v>
      </c>
      <c r="E1348" s="10">
        <v>0.29526999999999992</v>
      </c>
      <c r="F1348" s="11">
        <v>0.3294999999999999</v>
      </c>
      <c r="G1348" s="12">
        <v>584.15</v>
      </c>
      <c r="H1348" s="12">
        <v>265.85000000000002</v>
      </c>
      <c r="I1348" s="12">
        <v>584.15</v>
      </c>
      <c r="J1348" s="58">
        <v>159.81</v>
      </c>
    </row>
    <row r="1349" spans="1:10" ht="17.25" customHeight="1" x14ac:dyDescent="0.25">
      <c r="A1349" s="8" t="s">
        <v>2003</v>
      </c>
      <c r="B1349" s="9" t="s">
        <v>1916</v>
      </c>
      <c r="C1349" s="9" t="s">
        <v>1917</v>
      </c>
      <c r="D1349" s="10">
        <v>0.93371000000000004</v>
      </c>
      <c r="E1349" s="10">
        <v>0.27400000000000002</v>
      </c>
      <c r="F1349" s="11">
        <v>0.28570999999999991</v>
      </c>
      <c r="G1349" s="12">
        <v>470</v>
      </c>
      <c r="H1349" s="12">
        <v>211.75</v>
      </c>
      <c r="I1349" s="12">
        <v>470</v>
      </c>
      <c r="J1349" s="58">
        <v>174.9</v>
      </c>
    </row>
    <row r="1350" spans="1:10" ht="17.25" customHeight="1" x14ac:dyDescent="0.25">
      <c r="A1350" s="8" t="s">
        <v>2004</v>
      </c>
      <c r="B1350" s="9" t="s">
        <v>1395</v>
      </c>
      <c r="C1350" s="9" t="s">
        <v>1396</v>
      </c>
      <c r="D1350" s="10">
        <v>0.66871999999999998</v>
      </c>
      <c r="E1350" s="10">
        <v>0.27400000000000002</v>
      </c>
      <c r="F1350" s="11">
        <v>0.28570999999999991</v>
      </c>
      <c r="G1350" s="12">
        <v>497.17</v>
      </c>
      <c r="H1350" s="12">
        <v>160.85</v>
      </c>
      <c r="I1350" s="12">
        <v>497.17</v>
      </c>
      <c r="J1350" s="58">
        <v>197.89</v>
      </c>
    </row>
    <row r="1351" spans="1:10" ht="17.25" customHeight="1" x14ac:dyDescent="0.25">
      <c r="A1351" s="8" t="s">
        <v>2005</v>
      </c>
      <c r="B1351" s="9" t="s">
        <v>1937</v>
      </c>
      <c r="C1351" s="9" t="s">
        <v>1938</v>
      </c>
      <c r="D1351" s="10">
        <v>3.72607</v>
      </c>
      <c r="E1351" s="10">
        <v>0.4339599999999999</v>
      </c>
      <c r="F1351" s="11">
        <v>0.28570999999999991</v>
      </c>
      <c r="G1351" s="12">
        <v>2291</v>
      </c>
      <c r="H1351" s="12">
        <v>594.04999999999995</v>
      </c>
      <c r="I1351" s="12">
        <v>873.15</v>
      </c>
      <c r="J1351" s="58">
        <v>112.41</v>
      </c>
    </row>
    <row r="1352" spans="1:10" ht="17.25" customHeight="1" x14ac:dyDescent="0.25">
      <c r="A1352" s="8" t="s">
        <v>2006</v>
      </c>
      <c r="B1352" s="9" t="s">
        <v>1939</v>
      </c>
      <c r="C1352" s="9" t="s">
        <v>1940</v>
      </c>
      <c r="D1352" s="10">
        <v>1.2084200000000003</v>
      </c>
      <c r="E1352" s="10">
        <v>0.30000000000000004</v>
      </c>
      <c r="F1352" s="11">
        <v>0.28570999999999991</v>
      </c>
      <c r="G1352" s="12">
        <v>2019.79</v>
      </c>
      <c r="H1352" s="12">
        <v>841.15</v>
      </c>
      <c r="I1352" s="12">
        <v>1200</v>
      </c>
      <c r="J1352" s="58">
        <v>183.32</v>
      </c>
    </row>
    <row r="1353" spans="1:10" ht="17.25" customHeight="1" x14ac:dyDescent="0.25">
      <c r="A1353" s="8" t="s">
        <v>2007</v>
      </c>
      <c r="B1353" s="9" t="s">
        <v>2324</v>
      </c>
      <c r="C1353" s="9" t="s">
        <v>1941</v>
      </c>
      <c r="D1353" s="10">
        <v>1.5436899999999998</v>
      </c>
      <c r="E1353" s="10">
        <v>0.30000000000000004</v>
      </c>
      <c r="F1353" s="11">
        <v>0.28570999999999991</v>
      </c>
      <c r="G1353" s="12">
        <v>1741.29</v>
      </c>
      <c r="H1353" s="12">
        <v>658.15</v>
      </c>
      <c r="I1353" s="12">
        <v>1100</v>
      </c>
      <c r="J1353" s="58">
        <v>366.22</v>
      </c>
    </row>
    <row r="1354" spans="1:10" ht="17.25" customHeight="1" x14ac:dyDescent="0.25">
      <c r="A1354" s="8" t="s">
        <v>2008</v>
      </c>
      <c r="B1354" s="9" t="s">
        <v>1942</v>
      </c>
      <c r="C1354" s="9" t="s">
        <v>1943</v>
      </c>
      <c r="D1354" s="10">
        <v>2.2004800000000002</v>
      </c>
      <c r="E1354" s="10">
        <v>0.30000000000000004</v>
      </c>
      <c r="F1354" s="11">
        <v>0.28570999999999991</v>
      </c>
      <c r="G1354" s="12">
        <v>2983.96</v>
      </c>
      <c r="H1354" s="12">
        <v>1000</v>
      </c>
      <c r="I1354" s="12">
        <v>1200</v>
      </c>
      <c r="J1354" s="58">
        <v>128.41</v>
      </c>
    </row>
    <row r="1355" spans="1:10" ht="17.25" customHeight="1" x14ac:dyDescent="0.25">
      <c r="A1355" s="8" t="s">
        <v>2009</v>
      </c>
      <c r="B1355" s="9" t="s">
        <v>1933</v>
      </c>
      <c r="C1355" s="9" t="s">
        <v>1934</v>
      </c>
      <c r="D1355" s="10">
        <v>0.46831</v>
      </c>
      <c r="E1355" s="10">
        <v>0.30000000000000004</v>
      </c>
      <c r="F1355" s="11">
        <v>0.28570999999999991</v>
      </c>
      <c r="G1355" s="12">
        <v>3292.23</v>
      </c>
      <c r="H1355" s="12">
        <v>1115.1500000000001</v>
      </c>
      <c r="I1355" s="12">
        <v>1315.15</v>
      </c>
      <c r="J1355" s="58">
        <v>40.08</v>
      </c>
    </row>
    <row r="1356" spans="1:10" ht="17.25" customHeight="1" x14ac:dyDescent="0.25">
      <c r="A1356" s="8" t="s">
        <v>2010</v>
      </c>
      <c r="B1356" s="9" t="s">
        <v>1935</v>
      </c>
      <c r="C1356" s="9" t="s">
        <v>1936</v>
      </c>
      <c r="D1356" s="10">
        <v>0.33726999999999996</v>
      </c>
      <c r="E1356" s="10">
        <v>0.10000000000000009</v>
      </c>
      <c r="F1356" s="11">
        <v>0.28570999999999991</v>
      </c>
      <c r="G1356" s="12">
        <v>4570.8500000000004</v>
      </c>
      <c r="H1356" s="12">
        <v>1691</v>
      </c>
      <c r="I1356" s="12">
        <v>3000</v>
      </c>
      <c r="J1356" s="58">
        <v>78.069999999999993</v>
      </c>
    </row>
    <row r="1357" spans="1:10" ht="17.25" customHeight="1" x14ac:dyDescent="0.25">
      <c r="A1357" s="8" t="s">
        <v>2011</v>
      </c>
      <c r="B1357" s="9" t="s">
        <v>1920</v>
      </c>
      <c r="C1357" s="9" t="s">
        <v>1921</v>
      </c>
      <c r="D1357" s="10">
        <v>0.31475000000000009</v>
      </c>
      <c r="E1357" s="10">
        <v>0.10000000000000009</v>
      </c>
      <c r="F1357" s="11">
        <v>0.28570999999999991</v>
      </c>
      <c r="G1357" s="12">
        <v>6810</v>
      </c>
      <c r="H1357" s="12">
        <v>4765</v>
      </c>
      <c r="I1357" s="12">
        <v>4965</v>
      </c>
      <c r="J1357" s="58">
        <v>12.01</v>
      </c>
    </row>
    <row r="1358" spans="1:10" ht="17.25" customHeight="1" x14ac:dyDescent="0.25">
      <c r="A1358" s="8" t="s">
        <v>2012</v>
      </c>
      <c r="B1358" s="9" t="s">
        <v>1527</v>
      </c>
      <c r="C1358" s="9" t="s">
        <v>1528</v>
      </c>
      <c r="D1358" s="10">
        <v>0.46382000000000012</v>
      </c>
      <c r="E1358" s="10">
        <v>0.26160000000000005</v>
      </c>
      <c r="F1358" s="11">
        <v>0.2903</v>
      </c>
      <c r="G1358" s="12">
        <v>304.19</v>
      </c>
      <c r="H1358" s="12">
        <v>216.58</v>
      </c>
      <c r="I1358" s="12">
        <v>304.19</v>
      </c>
      <c r="J1358" s="58">
        <v>44.01</v>
      </c>
    </row>
    <row r="1359" spans="1:10" ht="17.25" customHeight="1" x14ac:dyDescent="0.25">
      <c r="A1359" s="8" t="s">
        <v>2013</v>
      </c>
      <c r="B1359" s="9" t="s">
        <v>1529</v>
      </c>
      <c r="C1359" s="9" t="s">
        <v>1530</v>
      </c>
      <c r="D1359" s="10">
        <v>0.47588999999999992</v>
      </c>
      <c r="E1359" s="10">
        <v>0.28749000000000002</v>
      </c>
      <c r="F1359" s="11">
        <v>0.3226</v>
      </c>
      <c r="G1359" s="12">
        <v>552</v>
      </c>
      <c r="H1359" s="12">
        <v>161.11000000000001</v>
      </c>
      <c r="I1359" s="12">
        <v>552</v>
      </c>
      <c r="J1359" s="58">
        <v>76.14</v>
      </c>
    </row>
    <row r="1360" spans="1:10" ht="17.25" customHeight="1" x14ac:dyDescent="0.25">
      <c r="A1360" s="8" t="s">
        <v>2014</v>
      </c>
      <c r="B1360" s="9" t="s">
        <v>2261</v>
      </c>
      <c r="C1360" s="9" t="s">
        <v>1525</v>
      </c>
      <c r="D1360" s="10">
        <v>0.29817999999999989</v>
      </c>
      <c r="E1360" s="10">
        <v>0.27655000000000007</v>
      </c>
      <c r="F1360" s="11">
        <v>0.29052999999999995</v>
      </c>
      <c r="G1360" s="12">
        <v>132.91999999999999</v>
      </c>
      <c r="H1360" s="12">
        <v>68.150000000000006</v>
      </c>
      <c r="I1360" s="12">
        <v>132.91999999999999</v>
      </c>
      <c r="J1360" s="58">
        <v>28.01</v>
      </c>
    </row>
    <row r="1361" spans="1:10" ht="17.25" customHeight="1" x14ac:dyDescent="0.25">
      <c r="A1361" s="8" t="s">
        <v>2015</v>
      </c>
      <c r="B1361" s="9" t="s">
        <v>2325</v>
      </c>
      <c r="C1361" s="9" t="s">
        <v>1930</v>
      </c>
      <c r="D1361" s="10">
        <v>0.71257999999999999</v>
      </c>
      <c r="E1361" s="10">
        <v>0.27400000000000002</v>
      </c>
      <c r="F1361" s="11">
        <v>0.28570999999999991</v>
      </c>
      <c r="G1361" s="12">
        <v>406.58</v>
      </c>
      <c r="H1361" s="12">
        <v>200</v>
      </c>
      <c r="I1361" s="12">
        <v>406.58</v>
      </c>
      <c r="J1361" s="58">
        <v>106.97</v>
      </c>
    </row>
    <row r="1362" spans="1:10" ht="17.25" customHeight="1" x14ac:dyDescent="0.25">
      <c r="A1362" s="8" t="s">
        <v>2016</v>
      </c>
      <c r="B1362" s="9" t="s">
        <v>1931</v>
      </c>
      <c r="C1362" s="9" t="s">
        <v>1932</v>
      </c>
      <c r="D1362" s="10">
        <v>0.69071000000000016</v>
      </c>
      <c r="E1362" s="10">
        <v>0.27400000000000002</v>
      </c>
      <c r="F1362" s="11">
        <v>0.28570999999999991</v>
      </c>
      <c r="G1362" s="12">
        <v>576.53</v>
      </c>
      <c r="H1362" s="12">
        <v>197.95</v>
      </c>
      <c r="I1362" s="12">
        <v>576.53</v>
      </c>
      <c r="J1362" s="58">
        <v>123.04</v>
      </c>
    </row>
    <row r="1363" spans="1:10" ht="17.25" customHeight="1" x14ac:dyDescent="0.25">
      <c r="A1363" s="8" t="s">
        <v>2017</v>
      </c>
      <c r="B1363" s="9" t="s">
        <v>1470</v>
      </c>
      <c r="C1363" s="9" t="s">
        <v>1471</v>
      </c>
      <c r="D1363" s="10">
        <v>0.46779999999999999</v>
      </c>
      <c r="E1363" s="10">
        <v>0.32912999999999992</v>
      </c>
      <c r="F1363" s="11">
        <v>0.28570000000000007</v>
      </c>
      <c r="G1363" s="12">
        <v>297</v>
      </c>
      <c r="H1363" s="12">
        <v>161.88999999999999</v>
      </c>
      <c r="I1363" s="12">
        <v>297</v>
      </c>
      <c r="J1363" s="58">
        <v>66.010000000000005</v>
      </c>
    </row>
    <row r="1364" spans="1:10" ht="17.25" customHeight="1" x14ac:dyDescent="0.25">
      <c r="A1364" s="8" t="s">
        <v>2018</v>
      </c>
      <c r="B1364" s="9" t="s">
        <v>2262</v>
      </c>
      <c r="C1364" s="9" t="s">
        <v>1526</v>
      </c>
      <c r="D1364" s="10">
        <v>0.44481999999999999</v>
      </c>
      <c r="E1364" s="10">
        <v>0.28943000000000008</v>
      </c>
      <c r="F1364" s="11">
        <v>0.27139999999999986</v>
      </c>
      <c r="G1364" s="12">
        <v>378.8</v>
      </c>
      <c r="H1364" s="12">
        <v>134.30000000000001</v>
      </c>
      <c r="I1364" s="12">
        <v>378.8</v>
      </c>
      <c r="J1364" s="58">
        <v>60.08</v>
      </c>
    </row>
    <row r="1365" spans="1:10" ht="17.25" customHeight="1" x14ac:dyDescent="0.25">
      <c r="A1365" s="8" t="s">
        <v>2019</v>
      </c>
      <c r="B1365" s="9" t="s">
        <v>1128</v>
      </c>
      <c r="C1365" s="9" t="s">
        <v>1129</v>
      </c>
      <c r="D1365" s="10">
        <v>0.28360999999999992</v>
      </c>
      <c r="E1365" s="10">
        <v>0.14023999999999992</v>
      </c>
      <c r="F1365" s="11">
        <v>0.28570999999999991</v>
      </c>
      <c r="G1365" s="12">
        <v>2048.1</v>
      </c>
      <c r="H1365" s="12">
        <v>301.64999999999998</v>
      </c>
      <c r="I1365" s="12">
        <v>2030</v>
      </c>
      <c r="J1365" s="58">
        <v>132.91</v>
      </c>
    </row>
    <row r="1366" spans="1:10" ht="17.25" customHeight="1" x14ac:dyDescent="0.25">
      <c r="A1366" s="8" t="s">
        <v>2020</v>
      </c>
      <c r="B1366" s="9" t="s">
        <v>1130</v>
      </c>
      <c r="C1366" s="9" t="s">
        <v>1131</v>
      </c>
      <c r="D1366" s="10">
        <v>1.0578099999999999</v>
      </c>
      <c r="E1366" s="10">
        <v>0.30000000000000004</v>
      </c>
      <c r="F1366" s="11">
        <v>0.28570999999999991</v>
      </c>
      <c r="G1366" s="12">
        <v>2562.13</v>
      </c>
      <c r="H1366" s="12">
        <v>909.15</v>
      </c>
      <c r="I1366" s="12">
        <v>1500</v>
      </c>
      <c r="J1366" s="58">
        <v>212.81</v>
      </c>
    </row>
    <row r="1367" spans="1:10" ht="17.25" customHeight="1" x14ac:dyDescent="0.25">
      <c r="A1367" s="8" t="s">
        <v>2021</v>
      </c>
      <c r="B1367" s="9" t="s">
        <v>2326</v>
      </c>
      <c r="C1367" s="9" t="s">
        <v>1132</v>
      </c>
      <c r="D1367" s="10">
        <v>0.93727000000000005</v>
      </c>
      <c r="E1367" s="10">
        <v>0.30000000000000004</v>
      </c>
      <c r="F1367" s="11">
        <v>0.28570999999999991</v>
      </c>
      <c r="G1367" s="12">
        <v>2562.13</v>
      </c>
      <c r="H1367" s="12">
        <v>919.15</v>
      </c>
      <c r="I1367" s="12">
        <v>1500</v>
      </c>
      <c r="J1367" s="58">
        <v>168.36</v>
      </c>
    </row>
    <row r="1368" spans="1:10" ht="17.25" customHeight="1" x14ac:dyDescent="0.25">
      <c r="A1368" s="8" t="s">
        <v>2022</v>
      </c>
      <c r="B1368" s="9" t="s">
        <v>1133</v>
      </c>
      <c r="C1368" s="9" t="s">
        <v>1134</v>
      </c>
      <c r="D1368" s="10">
        <v>1.2602500000000001</v>
      </c>
      <c r="E1368" s="10">
        <v>0.30000000000000004</v>
      </c>
      <c r="F1368" s="11">
        <v>0.28570999999999991</v>
      </c>
      <c r="G1368" s="12">
        <v>2482.33</v>
      </c>
      <c r="H1368" s="12">
        <v>976</v>
      </c>
      <c r="I1368" s="12">
        <v>1500</v>
      </c>
      <c r="J1368" s="58">
        <v>151.9</v>
      </c>
    </row>
    <row r="1369" spans="1:10" ht="17.25" customHeight="1" x14ac:dyDescent="0.25">
      <c r="A1369" s="8" t="s">
        <v>2023</v>
      </c>
      <c r="B1369" s="9" t="s">
        <v>2327</v>
      </c>
      <c r="C1369" s="9" t="s">
        <v>1135</v>
      </c>
      <c r="D1369" s="10">
        <v>1.0735600000000001</v>
      </c>
      <c r="E1369" s="10">
        <v>0.30000000000000004</v>
      </c>
      <c r="F1369" s="11">
        <v>0.28570999999999991</v>
      </c>
      <c r="G1369" s="12">
        <v>2529.56</v>
      </c>
      <c r="H1369" s="12">
        <v>894.15</v>
      </c>
      <c r="I1369" s="12">
        <v>1500</v>
      </c>
      <c r="J1369" s="58">
        <v>259.81</v>
      </c>
    </row>
    <row r="1370" spans="1:10" ht="17.25" customHeight="1" x14ac:dyDescent="0.25">
      <c r="A1370" s="8" t="s">
        <v>2024</v>
      </c>
      <c r="B1370" s="9" t="s">
        <v>1114</v>
      </c>
      <c r="C1370" s="9" t="s">
        <v>1115</v>
      </c>
      <c r="D1370" s="10">
        <v>0.56599999999999984</v>
      </c>
      <c r="E1370" s="10">
        <v>0.27315</v>
      </c>
      <c r="F1370" s="11">
        <v>0.2883</v>
      </c>
      <c r="G1370" s="12">
        <v>417.15</v>
      </c>
      <c r="H1370" s="12">
        <v>172.12</v>
      </c>
      <c r="I1370" s="12">
        <v>417.15</v>
      </c>
      <c r="J1370" s="58">
        <v>70.91</v>
      </c>
    </row>
    <row r="1371" spans="1:10" ht="17.25" customHeight="1" x14ac:dyDescent="0.25">
      <c r="A1371" s="8" t="s">
        <v>2025</v>
      </c>
      <c r="B1371" s="9" t="s">
        <v>1112</v>
      </c>
      <c r="C1371" s="9" t="s">
        <v>1113</v>
      </c>
      <c r="D1371" s="10">
        <v>0.60087000000000002</v>
      </c>
      <c r="E1371" s="10">
        <v>0.27400000000000002</v>
      </c>
      <c r="F1371" s="11">
        <v>0.28570999999999991</v>
      </c>
      <c r="G1371" s="12">
        <v>465</v>
      </c>
      <c r="H1371" s="12">
        <v>213.55</v>
      </c>
      <c r="I1371" s="12">
        <v>465</v>
      </c>
      <c r="J1371" s="58">
        <v>67.45</v>
      </c>
    </row>
    <row r="1372" spans="1:10" ht="17.25" customHeight="1" x14ac:dyDescent="0.25">
      <c r="A1372" s="8" t="s">
        <v>2026</v>
      </c>
      <c r="B1372" s="9" t="s">
        <v>1118</v>
      </c>
      <c r="C1372" s="9" t="s">
        <v>1119</v>
      </c>
      <c r="D1372" s="10">
        <v>0.65031000000000017</v>
      </c>
      <c r="E1372" s="10">
        <v>0.27400000000000002</v>
      </c>
      <c r="F1372" s="11">
        <v>0.28570999999999991</v>
      </c>
      <c r="G1372" s="12">
        <v>565.78</v>
      </c>
      <c r="H1372" s="12">
        <v>182.15</v>
      </c>
      <c r="I1372" s="12">
        <v>565.78</v>
      </c>
      <c r="J1372" s="58">
        <v>182.9</v>
      </c>
    </row>
    <row r="1373" spans="1:10" ht="17.25" customHeight="1" x14ac:dyDescent="0.25">
      <c r="A1373" s="8" t="s">
        <v>2027</v>
      </c>
      <c r="B1373" s="9" t="s">
        <v>2328</v>
      </c>
      <c r="C1373" s="9" t="s">
        <v>1944</v>
      </c>
      <c r="D1373" s="10">
        <v>0.60386000000000006</v>
      </c>
      <c r="E1373" s="10">
        <v>0.27400000000000002</v>
      </c>
      <c r="F1373" s="11">
        <v>0.28570999999999991</v>
      </c>
      <c r="G1373" s="12">
        <v>282.32</v>
      </c>
      <c r="H1373" s="12">
        <v>128.15</v>
      </c>
      <c r="I1373" s="12">
        <v>282.32</v>
      </c>
      <c r="J1373" s="58">
        <v>54.45</v>
      </c>
    </row>
    <row r="1374" spans="1:10" ht="17.25" customHeight="1" x14ac:dyDescent="0.25">
      <c r="A1374" s="8" t="s">
        <v>2028</v>
      </c>
      <c r="B1374" s="9" t="s">
        <v>1116</v>
      </c>
      <c r="C1374" s="9" t="s">
        <v>1117</v>
      </c>
      <c r="D1374" s="10">
        <v>0.60355999999999987</v>
      </c>
      <c r="E1374" s="10">
        <v>0.27400000000000002</v>
      </c>
      <c r="F1374" s="11">
        <v>0.28570999999999991</v>
      </c>
      <c r="G1374" s="12">
        <v>444.68</v>
      </c>
      <c r="H1374" s="12">
        <v>157.15</v>
      </c>
      <c r="I1374" s="12">
        <v>444.68</v>
      </c>
      <c r="J1374" s="58">
        <v>86.91</v>
      </c>
    </row>
    <row r="1375" spans="1:10" ht="17.25" customHeight="1" x14ac:dyDescent="0.25">
      <c r="A1375" s="8" t="s">
        <v>2029</v>
      </c>
      <c r="B1375" s="9" t="s">
        <v>2329</v>
      </c>
      <c r="C1375" s="9" t="s">
        <v>1947</v>
      </c>
      <c r="D1375" s="10">
        <v>0.85421000000000014</v>
      </c>
      <c r="E1375" s="10">
        <v>0.35050000000000003</v>
      </c>
      <c r="F1375" s="11">
        <v>0.28570999999999991</v>
      </c>
      <c r="G1375" s="12">
        <v>415.9</v>
      </c>
      <c r="H1375" s="12">
        <v>190</v>
      </c>
      <c r="I1375" s="12">
        <v>415.9</v>
      </c>
      <c r="J1375" s="58">
        <v>130.44999999999999</v>
      </c>
    </row>
    <row r="1376" spans="1:10" ht="17.25" customHeight="1" x14ac:dyDescent="0.25">
      <c r="A1376" s="8" t="s">
        <v>2030</v>
      </c>
      <c r="B1376" s="9" t="s">
        <v>2330</v>
      </c>
      <c r="C1376" s="9" t="s">
        <v>1946</v>
      </c>
      <c r="D1376" s="10">
        <v>0.68342999999999998</v>
      </c>
      <c r="E1376" s="10">
        <v>0.27400000000000002</v>
      </c>
      <c r="F1376" s="11">
        <v>0.28570999999999991</v>
      </c>
      <c r="G1376" s="12">
        <v>459.39</v>
      </c>
      <c r="H1376" s="12">
        <v>190.15</v>
      </c>
      <c r="I1376" s="12">
        <v>459.39</v>
      </c>
      <c r="J1376" s="58">
        <v>92.45</v>
      </c>
    </row>
    <row r="1377" spans="1:10" ht="17.25" customHeight="1" x14ac:dyDescent="0.25">
      <c r="A1377" s="8" t="s">
        <v>2031</v>
      </c>
      <c r="B1377" s="9" t="s">
        <v>2331</v>
      </c>
      <c r="C1377" s="9" t="s">
        <v>1948</v>
      </c>
      <c r="D1377" s="10">
        <v>0.59671999999999992</v>
      </c>
      <c r="E1377" s="10">
        <v>0.28520000000000012</v>
      </c>
      <c r="F1377" s="11">
        <v>0.28570999999999991</v>
      </c>
      <c r="G1377" s="12">
        <v>700</v>
      </c>
      <c r="H1377" s="12">
        <v>193.15</v>
      </c>
      <c r="I1377" s="12">
        <v>700</v>
      </c>
      <c r="J1377" s="58">
        <v>116.52</v>
      </c>
    </row>
    <row r="1378" spans="1:10" ht="17.25" customHeight="1" x14ac:dyDescent="0.25">
      <c r="A1378" s="8" t="s">
        <v>2032</v>
      </c>
      <c r="B1378" s="9" t="s">
        <v>1124</v>
      </c>
      <c r="C1378" s="9" t="s">
        <v>1125</v>
      </c>
      <c r="D1378" s="10">
        <v>2.1353599999999999</v>
      </c>
      <c r="E1378" s="10">
        <v>0.30000000000000004</v>
      </c>
      <c r="F1378" s="11">
        <v>0.28570999999999991</v>
      </c>
      <c r="G1378" s="12">
        <v>8560.93</v>
      </c>
      <c r="H1378" s="12">
        <v>2180.15</v>
      </c>
      <c r="I1378" s="12">
        <v>2380.15</v>
      </c>
      <c r="J1378" s="58">
        <v>52</v>
      </c>
    </row>
    <row r="1379" spans="1:10" ht="17.25" customHeight="1" x14ac:dyDescent="0.25">
      <c r="A1379" s="8" t="s">
        <v>2033</v>
      </c>
      <c r="B1379" s="9" t="s">
        <v>2332</v>
      </c>
      <c r="C1379" s="9" t="s">
        <v>1126</v>
      </c>
      <c r="D1379" s="10">
        <v>0.63518000000000008</v>
      </c>
      <c r="E1379" s="10">
        <v>0.30000000000000004</v>
      </c>
      <c r="F1379" s="11">
        <v>0.28570999999999991</v>
      </c>
      <c r="G1379" s="12">
        <v>690.8</v>
      </c>
      <c r="H1379" s="12">
        <v>423.65</v>
      </c>
      <c r="I1379" s="12">
        <v>690.8</v>
      </c>
      <c r="J1379" s="58">
        <v>220.06</v>
      </c>
    </row>
    <row r="1380" spans="1:10" ht="17.25" customHeight="1" x14ac:dyDescent="0.25">
      <c r="A1380" s="8" t="s">
        <v>2034</v>
      </c>
      <c r="B1380" s="9" t="s">
        <v>2333</v>
      </c>
      <c r="C1380" s="9" t="s">
        <v>1127</v>
      </c>
      <c r="D1380" s="10">
        <v>0.64832000000000001</v>
      </c>
      <c r="E1380" s="10">
        <v>0.27400000000000002</v>
      </c>
      <c r="F1380" s="11">
        <v>0.28570999999999991</v>
      </c>
      <c r="G1380" s="12">
        <v>626.33000000000004</v>
      </c>
      <c r="H1380" s="12">
        <v>176.65</v>
      </c>
      <c r="I1380" s="12">
        <v>626.33000000000004</v>
      </c>
      <c r="J1380" s="58">
        <v>154.9</v>
      </c>
    </row>
    <row r="1381" spans="1:10" ht="17.25" customHeight="1" x14ac:dyDescent="0.25">
      <c r="A1381" s="8" t="s">
        <v>2035</v>
      </c>
      <c r="B1381" s="9" t="s">
        <v>1120</v>
      </c>
      <c r="C1381" s="9" t="s">
        <v>1121</v>
      </c>
      <c r="D1381" s="10">
        <v>2.51864</v>
      </c>
      <c r="E1381" s="10">
        <v>0.30000000000000004</v>
      </c>
      <c r="F1381" s="11">
        <v>0.28570999999999991</v>
      </c>
      <c r="G1381" s="12">
        <v>7398.48</v>
      </c>
      <c r="H1381" s="12">
        <v>1768.15</v>
      </c>
      <c r="I1381" s="12">
        <v>1968.15</v>
      </c>
      <c r="J1381" s="58">
        <v>58.93</v>
      </c>
    </row>
    <row r="1382" spans="1:10" ht="17.25" customHeight="1" x14ac:dyDescent="0.25">
      <c r="A1382" s="8" t="s">
        <v>2036</v>
      </c>
      <c r="B1382" s="9" t="s">
        <v>1122</v>
      </c>
      <c r="C1382" s="9" t="s">
        <v>1123</v>
      </c>
      <c r="D1382" s="10">
        <v>1.05823</v>
      </c>
      <c r="E1382" s="10">
        <v>0.30000000000000004</v>
      </c>
      <c r="F1382" s="11">
        <v>0.28570999999999991</v>
      </c>
      <c r="G1382" s="12">
        <v>2154.9699999999998</v>
      </c>
      <c r="H1382" s="12">
        <v>1008.15</v>
      </c>
      <c r="I1382" s="12">
        <v>1208.1500000000001</v>
      </c>
      <c r="J1382" s="58">
        <v>129.84</v>
      </c>
    </row>
    <row r="1383" spans="1:10" ht="17.25" customHeight="1" x14ac:dyDescent="0.25">
      <c r="A1383" s="8" t="s">
        <v>2037</v>
      </c>
      <c r="B1383" s="9" t="s">
        <v>1136</v>
      </c>
      <c r="C1383" s="9" t="s">
        <v>1137</v>
      </c>
      <c r="D1383" s="10">
        <v>2.6362100000000002</v>
      </c>
      <c r="E1383" s="10">
        <v>0.30000000000000004</v>
      </c>
      <c r="F1383" s="11">
        <v>0.28570999999999991</v>
      </c>
      <c r="G1383" s="12">
        <v>5123</v>
      </c>
      <c r="H1383" s="12">
        <v>1357.77</v>
      </c>
      <c r="I1383" s="12">
        <v>1557.77</v>
      </c>
      <c r="J1383" s="58">
        <v>63.55</v>
      </c>
    </row>
    <row r="1384" spans="1:10" ht="17.25" customHeight="1" x14ac:dyDescent="0.25">
      <c r="A1384" s="8" t="s">
        <v>2038</v>
      </c>
      <c r="B1384" s="9" t="s">
        <v>2334</v>
      </c>
      <c r="C1384" s="9" t="s">
        <v>1143</v>
      </c>
      <c r="D1384" s="10">
        <v>1.7057500000000001</v>
      </c>
      <c r="E1384" s="10">
        <v>0.30000000000000004</v>
      </c>
      <c r="F1384" s="11">
        <v>0.28570999999999991</v>
      </c>
      <c r="G1384" s="12">
        <v>2620.77</v>
      </c>
      <c r="H1384" s="12">
        <v>878.15</v>
      </c>
      <c r="I1384" s="12">
        <v>1078.1500000000001</v>
      </c>
      <c r="J1384" s="58">
        <v>190.45</v>
      </c>
    </row>
    <row r="1385" spans="1:10" ht="17.25" customHeight="1" x14ac:dyDescent="0.25">
      <c r="A1385" s="8" t="s">
        <v>2039</v>
      </c>
      <c r="B1385" s="9" t="s">
        <v>1141</v>
      </c>
      <c r="C1385" s="9" t="s">
        <v>1142</v>
      </c>
      <c r="D1385" s="10">
        <v>1.0879500000000002</v>
      </c>
      <c r="E1385" s="10">
        <v>0.30000000000000004</v>
      </c>
      <c r="F1385" s="11">
        <v>0.28570999999999991</v>
      </c>
      <c r="G1385" s="12">
        <v>2010</v>
      </c>
      <c r="H1385" s="12">
        <v>906.15</v>
      </c>
      <c r="I1385" s="12">
        <v>1106.1500000000001</v>
      </c>
      <c r="J1385" s="58">
        <v>134.44999999999999</v>
      </c>
    </row>
    <row r="1386" spans="1:10" ht="17.25" customHeight="1" x14ac:dyDescent="0.25">
      <c r="A1386" s="8" t="s">
        <v>2040</v>
      </c>
      <c r="B1386" s="9" t="s">
        <v>1138</v>
      </c>
      <c r="C1386" s="9" t="s">
        <v>1139</v>
      </c>
      <c r="D1386" s="10">
        <v>1.4831799999999999</v>
      </c>
      <c r="E1386" s="10">
        <v>0.30000000000000004</v>
      </c>
      <c r="F1386" s="11">
        <v>0.28570999999999991</v>
      </c>
      <c r="G1386" s="12">
        <v>2651.71</v>
      </c>
      <c r="H1386" s="12">
        <v>777.15</v>
      </c>
      <c r="I1386" s="12">
        <v>977.15</v>
      </c>
      <c r="J1386" s="58">
        <v>143.44999999999999</v>
      </c>
    </row>
    <row r="1387" spans="1:10" ht="17.25" customHeight="1" x14ac:dyDescent="0.25">
      <c r="A1387" s="8" t="s">
        <v>2041</v>
      </c>
      <c r="B1387" s="9" t="s">
        <v>2335</v>
      </c>
      <c r="C1387" s="9" t="s">
        <v>1140</v>
      </c>
      <c r="D1387" s="10">
        <v>1.9454500000000001</v>
      </c>
      <c r="E1387" s="10">
        <v>0.45137000000000005</v>
      </c>
      <c r="F1387" s="11">
        <v>0.56811999999999996</v>
      </c>
      <c r="G1387" s="12">
        <v>2435</v>
      </c>
      <c r="H1387" s="12">
        <v>703</v>
      </c>
      <c r="I1387" s="12">
        <v>1763.1</v>
      </c>
      <c r="J1387" s="58">
        <v>99</v>
      </c>
    </row>
    <row r="1388" spans="1:10" ht="17.25" customHeight="1" x14ac:dyDescent="0.25">
      <c r="A1388" s="8" t="s">
        <v>2042</v>
      </c>
      <c r="B1388" s="9" t="s">
        <v>1674</v>
      </c>
      <c r="C1388" s="9" t="s">
        <v>1675</v>
      </c>
      <c r="D1388" s="10">
        <v>0.36145000000000005</v>
      </c>
      <c r="E1388" s="10">
        <v>0.27400000000000002</v>
      </c>
      <c r="F1388" s="11">
        <v>0.28570999999999991</v>
      </c>
      <c r="G1388" s="12">
        <v>399.9</v>
      </c>
      <c r="H1388" s="12">
        <v>238.75</v>
      </c>
      <c r="I1388" s="12">
        <v>399.9</v>
      </c>
      <c r="J1388" s="58">
        <v>52.03</v>
      </c>
    </row>
    <row r="1389" spans="1:10" ht="17.25" customHeight="1" x14ac:dyDescent="0.25">
      <c r="A1389" s="15" t="s">
        <v>2043</v>
      </c>
      <c r="B1389" s="9" t="s">
        <v>1926</v>
      </c>
      <c r="C1389" s="9" t="s">
        <v>1927</v>
      </c>
      <c r="D1389" s="10">
        <v>0.73999000000000015</v>
      </c>
      <c r="E1389" s="10">
        <v>0.30000000000000004</v>
      </c>
      <c r="F1389" s="11">
        <v>0.28570999999999991</v>
      </c>
      <c r="G1389" s="12">
        <v>545.03</v>
      </c>
      <c r="H1389" s="12">
        <v>331.15</v>
      </c>
      <c r="I1389" s="12">
        <v>332.9</v>
      </c>
      <c r="J1389" s="58">
        <v>105.92</v>
      </c>
    </row>
    <row r="1390" spans="1:10" ht="17.25" customHeight="1" x14ac:dyDescent="0.25">
      <c r="A1390" s="8" t="s">
        <v>2044</v>
      </c>
      <c r="B1390" s="9" t="s">
        <v>2336</v>
      </c>
      <c r="C1390" s="9" t="s">
        <v>1461</v>
      </c>
      <c r="D1390" s="10">
        <v>0.37712999999999997</v>
      </c>
      <c r="E1390" s="10">
        <v>0.22974000000000006</v>
      </c>
      <c r="F1390" s="11">
        <v>0.23859999999999992</v>
      </c>
      <c r="G1390" s="12">
        <v>449</v>
      </c>
      <c r="H1390" s="12">
        <v>266.64999999999998</v>
      </c>
      <c r="I1390" s="12">
        <v>449</v>
      </c>
      <c r="J1390" s="58">
        <v>61.47</v>
      </c>
    </row>
    <row r="1391" spans="1:10" ht="17.25" customHeight="1" x14ac:dyDescent="0.25">
      <c r="A1391" s="8" t="s">
        <v>2045</v>
      </c>
      <c r="B1391" s="9" t="s">
        <v>1928</v>
      </c>
      <c r="C1391" s="9" t="s">
        <v>1929</v>
      </c>
      <c r="D1391" s="10">
        <v>0.51072000000000006</v>
      </c>
      <c r="E1391" s="10">
        <v>0.27400000000000002</v>
      </c>
      <c r="F1391" s="11">
        <v>0.28570999999999991</v>
      </c>
      <c r="G1391" s="12">
        <v>368.51</v>
      </c>
      <c r="H1391" s="12">
        <v>200</v>
      </c>
      <c r="I1391" s="12">
        <v>368.51</v>
      </c>
      <c r="J1391" s="58">
        <v>45.02</v>
      </c>
    </row>
    <row r="1392" spans="1:10" ht="17.25" customHeight="1" x14ac:dyDescent="0.25">
      <c r="A1392" s="8" t="s">
        <v>2046</v>
      </c>
      <c r="B1392" s="9" t="s">
        <v>1899</v>
      </c>
      <c r="C1392" s="9" t="s">
        <v>1900</v>
      </c>
      <c r="D1392" s="10">
        <v>0.31796000000000002</v>
      </c>
      <c r="E1392" s="10">
        <v>0.30000000000000004</v>
      </c>
      <c r="F1392" s="11">
        <v>0.28570999999999991</v>
      </c>
      <c r="G1392" s="12">
        <v>791.78</v>
      </c>
      <c r="H1392" s="12">
        <v>372.75</v>
      </c>
      <c r="I1392" s="12">
        <v>429.45</v>
      </c>
      <c r="J1392" s="58">
        <v>122.22</v>
      </c>
    </row>
    <row r="1393" spans="1:10" ht="17.25" customHeight="1" x14ac:dyDescent="0.25">
      <c r="A1393" s="8" t="s">
        <v>2047</v>
      </c>
      <c r="B1393" s="9" t="s">
        <v>2337</v>
      </c>
      <c r="C1393" s="9" t="s">
        <v>1144</v>
      </c>
      <c r="D1393" s="10">
        <v>6.6710000000000047E-2</v>
      </c>
      <c r="E1393" s="10">
        <v>0.31499999999999995</v>
      </c>
      <c r="F1393" s="11">
        <v>0.28570999999999991</v>
      </c>
      <c r="G1393" s="12">
        <v>38.35</v>
      </c>
      <c r="H1393" s="12">
        <v>18.73</v>
      </c>
      <c r="I1393" s="12">
        <v>38.35</v>
      </c>
      <c r="J1393" s="58">
        <v>1.01</v>
      </c>
    </row>
    <row r="1394" spans="1:10" ht="17.25" customHeight="1" x14ac:dyDescent="0.25">
      <c r="A1394" s="8" t="s">
        <v>2048</v>
      </c>
      <c r="B1394" s="9" t="s">
        <v>2338</v>
      </c>
      <c r="C1394" s="9" t="s">
        <v>1145</v>
      </c>
      <c r="D1394" s="10">
        <v>0.35428999999999999</v>
      </c>
      <c r="E1394" s="10">
        <v>0.28000000000000003</v>
      </c>
      <c r="F1394" s="11">
        <v>0.19999999999999996</v>
      </c>
      <c r="G1394" s="12">
        <v>643.89</v>
      </c>
      <c r="H1394" s="12">
        <v>276.95999999999998</v>
      </c>
      <c r="I1394" s="12">
        <v>643.89</v>
      </c>
      <c r="J1394" s="58">
        <v>17.010000000000002</v>
      </c>
    </row>
    <row r="1395" spans="1:10" ht="17.25" customHeight="1" x14ac:dyDescent="0.25">
      <c r="A1395" s="8" t="s">
        <v>2049</v>
      </c>
      <c r="B1395" s="9" t="s">
        <v>1889</v>
      </c>
      <c r="C1395" s="9" t="s">
        <v>1890</v>
      </c>
      <c r="D1395" s="10">
        <v>0.15975000000000006</v>
      </c>
      <c r="E1395" s="10">
        <v>0.27039999999999997</v>
      </c>
      <c r="F1395" s="11">
        <v>0.28790000000000004</v>
      </c>
      <c r="G1395" s="12">
        <v>289.8</v>
      </c>
      <c r="H1395" s="12">
        <v>107.65</v>
      </c>
      <c r="I1395" s="12">
        <v>289.8</v>
      </c>
      <c r="J1395" s="58">
        <v>27.67</v>
      </c>
    </row>
    <row r="1396" spans="1:10" ht="17.25" customHeight="1" x14ac:dyDescent="0.25">
      <c r="A1396" s="8" t="s">
        <v>2050</v>
      </c>
      <c r="B1396" s="9" t="s">
        <v>2339</v>
      </c>
      <c r="C1396" s="9" t="s">
        <v>1399</v>
      </c>
      <c r="D1396" s="10">
        <v>0.81945000000000001</v>
      </c>
      <c r="E1396" s="10">
        <v>0.27400000000000002</v>
      </c>
      <c r="F1396" s="11">
        <v>0.28570999999999991</v>
      </c>
      <c r="G1396" s="12">
        <v>535.27</v>
      </c>
      <c r="H1396" s="12">
        <v>173.85</v>
      </c>
      <c r="I1396" s="12">
        <v>535.27</v>
      </c>
      <c r="J1396" s="58">
        <v>242.34</v>
      </c>
    </row>
    <row r="1397" spans="1:10" ht="17.25" customHeight="1" x14ac:dyDescent="0.25">
      <c r="A1397" s="8" t="s">
        <v>2051</v>
      </c>
      <c r="B1397" s="9" t="s">
        <v>1411</v>
      </c>
      <c r="C1397" s="9" t="s">
        <v>1412</v>
      </c>
      <c r="D1397" s="10">
        <v>0.77364999999999995</v>
      </c>
      <c r="E1397" s="10">
        <v>0.28512000000000004</v>
      </c>
      <c r="F1397" s="11">
        <v>0.28570999999999991</v>
      </c>
      <c r="G1397" s="12">
        <v>550</v>
      </c>
      <c r="H1397" s="12">
        <v>202.95</v>
      </c>
      <c r="I1397" s="12">
        <v>550</v>
      </c>
      <c r="J1397" s="58">
        <v>189.91</v>
      </c>
    </row>
    <row r="1398" spans="1:10" ht="17.25" customHeight="1" x14ac:dyDescent="0.25">
      <c r="A1398" s="8" t="s">
        <v>2052</v>
      </c>
      <c r="B1398" s="9" t="s">
        <v>1401</v>
      </c>
      <c r="C1398" s="9" t="s">
        <v>1402</v>
      </c>
      <c r="D1398" s="10">
        <v>0.55306999999999995</v>
      </c>
      <c r="E1398" s="10">
        <v>0.27400000000000002</v>
      </c>
      <c r="F1398" s="11">
        <v>0.28570999999999991</v>
      </c>
      <c r="G1398" s="12">
        <v>390.93</v>
      </c>
      <c r="H1398" s="12">
        <v>133.44999999999999</v>
      </c>
      <c r="I1398" s="12">
        <v>390.93</v>
      </c>
      <c r="J1398" s="58">
        <v>136.99</v>
      </c>
    </row>
    <row r="1399" spans="1:10" ht="17.25" customHeight="1" x14ac:dyDescent="0.25">
      <c r="A1399" s="8" t="s">
        <v>2053</v>
      </c>
      <c r="B1399" s="9" t="s">
        <v>1413</v>
      </c>
      <c r="C1399" s="9" t="s">
        <v>1414</v>
      </c>
      <c r="D1399" s="10">
        <v>0.44591000000000003</v>
      </c>
      <c r="E1399" s="10">
        <v>0.26888000000000001</v>
      </c>
      <c r="F1399" s="11">
        <v>0.28570000000000007</v>
      </c>
      <c r="G1399" s="12">
        <v>449</v>
      </c>
      <c r="H1399" s="12">
        <v>151.15</v>
      </c>
      <c r="I1399" s="12">
        <v>449</v>
      </c>
      <c r="J1399" s="58">
        <v>101.01</v>
      </c>
    </row>
    <row r="1400" spans="1:10" ht="17.25" customHeight="1" x14ac:dyDescent="0.25">
      <c r="A1400" s="8" t="s">
        <v>2054</v>
      </c>
      <c r="B1400" s="9" t="s">
        <v>1415</v>
      </c>
      <c r="C1400" s="9" t="s">
        <v>1416</v>
      </c>
      <c r="D1400" s="10">
        <v>0.44708999999999999</v>
      </c>
      <c r="E1400" s="10">
        <v>0.27400000000000002</v>
      </c>
      <c r="F1400" s="11">
        <v>0.28570999999999991</v>
      </c>
      <c r="G1400" s="12">
        <v>318.20999999999998</v>
      </c>
      <c r="H1400" s="12">
        <v>150</v>
      </c>
      <c r="I1400" s="12">
        <v>318.20999999999998</v>
      </c>
      <c r="J1400" s="58">
        <v>68.099999999999994</v>
      </c>
    </row>
    <row r="1401" spans="1:10" ht="17.25" customHeight="1" x14ac:dyDescent="0.25">
      <c r="A1401" s="8" t="s">
        <v>2055</v>
      </c>
      <c r="B1401" s="9" t="s">
        <v>1174</v>
      </c>
      <c r="C1401" s="9" t="s">
        <v>1175</v>
      </c>
      <c r="D1401" s="10">
        <v>0.63111000000000006</v>
      </c>
      <c r="E1401" s="10">
        <v>0.27400000000000002</v>
      </c>
      <c r="F1401" s="11">
        <v>0.28570999999999991</v>
      </c>
      <c r="G1401" s="12">
        <v>491.01</v>
      </c>
      <c r="H1401" s="12">
        <v>164.15</v>
      </c>
      <c r="I1401" s="12">
        <v>491.01</v>
      </c>
      <c r="J1401" s="58">
        <v>151.33000000000001</v>
      </c>
    </row>
    <row r="1402" spans="1:10" ht="17.25" customHeight="1" x14ac:dyDescent="0.25">
      <c r="A1402" s="8" t="s">
        <v>2056</v>
      </c>
      <c r="B1402" s="9" t="s">
        <v>2340</v>
      </c>
      <c r="C1402" s="9" t="s">
        <v>1417</v>
      </c>
      <c r="D1402" s="10">
        <v>0.97501000000000015</v>
      </c>
      <c r="E1402" s="10">
        <v>0.28278000000000003</v>
      </c>
      <c r="F1402" s="11">
        <v>0.28570999999999991</v>
      </c>
      <c r="G1402" s="12">
        <v>660</v>
      </c>
      <c r="H1402" s="12">
        <v>272.14999999999998</v>
      </c>
      <c r="I1402" s="12">
        <v>660</v>
      </c>
      <c r="J1402" s="58">
        <v>283.91000000000003</v>
      </c>
    </row>
    <row r="1403" spans="1:10" ht="17.25" customHeight="1" x14ac:dyDescent="0.25">
      <c r="A1403" s="8" t="s">
        <v>2057</v>
      </c>
      <c r="B1403" s="9" t="s">
        <v>1432</v>
      </c>
      <c r="C1403" s="9" t="s">
        <v>1433</v>
      </c>
      <c r="D1403" s="10">
        <v>0.31421999999999994</v>
      </c>
      <c r="E1403" s="10">
        <v>0.27550999999999992</v>
      </c>
      <c r="F1403" s="11">
        <v>0.29509999999999992</v>
      </c>
      <c r="G1403" s="12">
        <v>432</v>
      </c>
      <c r="H1403" s="12">
        <v>143.85</v>
      </c>
      <c r="I1403" s="12">
        <v>432</v>
      </c>
      <c r="J1403" s="58">
        <v>62.22</v>
      </c>
    </row>
    <row r="1404" spans="1:10" ht="17.25" customHeight="1" x14ac:dyDescent="0.25">
      <c r="A1404" s="8" t="s">
        <v>2058</v>
      </c>
      <c r="B1404" s="9" t="s">
        <v>2341</v>
      </c>
      <c r="C1404" s="9" t="s">
        <v>1431</v>
      </c>
      <c r="D1404" s="10">
        <v>0.34804000000000013</v>
      </c>
      <c r="E1404" s="10">
        <v>0.27400000000000002</v>
      </c>
      <c r="F1404" s="11">
        <v>0.28570999999999991</v>
      </c>
      <c r="G1404" s="12">
        <v>506.89</v>
      </c>
      <c r="H1404" s="12">
        <v>250</v>
      </c>
      <c r="I1404" s="12">
        <v>506.89</v>
      </c>
      <c r="J1404" s="58">
        <v>96.66</v>
      </c>
    </row>
    <row r="1405" spans="1:10" ht="17.25" customHeight="1" x14ac:dyDescent="0.25">
      <c r="A1405" s="8" t="s">
        <v>2059</v>
      </c>
      <c r="B1405" s="9" t="s">
        <v>1438</v>
      </c>
      <c r="C1405" s="9" t="s">
        <v>1439</v>
      </c>
      <c r="D1405" s="10">
        <v>0.31264000000000003</v>
      </c>
      <c r="E1405" s="10">
        <v>0.27400000000000002</v>
      </c>
      <c r="F1405" s="11">
        <v>0.28570999999999991</v>
      </c>
      <c r="G1405" s="12">
        <v>416.86</v>
      </c>
      <c r="H1405" s="12">
        <v>128.94999999999999</v>
      </c>
      <c r="I1405" s="12">
        <v>416.86</v>
      </c>
      <c r="J1405" s="58">
        <v>78.22</v>
      </c>
    </row>
    <row r="1406" spans="1:10" ht="17.25" customHeight="1" x14ac:dyDescent="0.25">
      <c r="A1406" s="8" t="s">
        <v>2060</v>
      </c>
      <c r="B1406" s="9" t="s">
        <v>1156</v>
      </c>
      <c r="C1406" s="9" t="s">
        <v>1157</v>
      </c>
      <c r="D1406" s="10">
        <v>1.0239500000000001</v>
      </c>
      <c r="E1406" s="10">
        <v>0.30000000000000004</v>
      </c>
      <c r="F1406" s="11">
        <v>0.28570999999999991</v>
      </c>
      <c r="G1406" s="12">
        <v>964.41</v>
      </c>
      <c r="H1406" s="12">
        <v>577.15</v>
      </c>
      <c r="I1406" s="12">
        <v>584.65</v>
      </c>
      <c r="J1406" s="58">
        <v>162.19999999999999</v>
      </c>
    </row>
    <row r="1407" spans="1:10" ht="17.25" customHeight="1" x14ac:dyDescent="0.25">
      <c r="A1407" s="8" t="s">
        <v>2061</v>
      </c>
      <c r="B1407" s="9" t="s">
        <v>1154</v>
      </c>
      <c r="C1407" s="9" t="s">
        <v>1155</v>
      </c>
      <c r="D1407" s="10">
        <v>1.0214600000000003</v>
      </c>
      <c r="E1407" s="10">
        <v>0.30000000000000004</v>
      </c>
      <c r="F1407" s="11">
        <v>0.28570999999999991</v>
      </c>
      <c r="G1407" s="12">
        <v>2115.88</v>
      </c>
      <c r="H1407" s="12">
        <v>945.15</v>
      </c>
      <c r="I1407" s="12">
        <v>1145.1500000000001</v>
      </c>
      <c r="J1407" s="58">
        <v>126.75</v>
      </c>
    </row>
    <row r="1408" spans="1:10" ht="17.25" customHeight="1" x14ac:dyDescent="0.25">
      <c r="A1408" s="8" t="s">
        <v>2062</v>
      </c>
      <c r="B1408" s="9" t="s">
        <v>1146</v>
      </c>
      <c r="C1408" s="9" t="s">
        <v>1147</v>
      </c>
      <c r="D1408" s="10">
        <v>0.57092000000000009</v>
      </c>
      <c r="E1408" s="10">
        <v>0.28517999999999999</v>
      </c>
      <c r="F1408" s="11">
        <v>0.29000000000000004</v>
      </c>
      <c r="G1408" s="12">
        <v>144.31</v>
      </c>
      <c r="H1408" s="12">
        <v>53.48</v>
      </c>
      <c r="I1408" s="12">
        <v>144.31</v>
      </c>
      <c r="J1408" s="58">
        <v>38</v>
      </c>
    </row>
    <row r="1409" spans="1:10" ht="17.25" customHeight="1" x14ac:dyDescent="0.25">
      <c r="A1409" s="8" t="s">
        <v>2063</v>
      </c>
      <c r="B1409" s="9" t="s">
        <v>1148</v>
      </c>
      <c r="C1409" s="9" t="s">
        <v>1149</v>
      </c>
      <c r="D1409" s="10">
        <v>0.5524</v>
      </c>
      <c r="E1409" s="10">
        <v>0.27015999999999996</v>
      </c>
      <c r="F1409" s="11">
        <v>0.28570999999999991</v>
      </c>
      <c r="G1409" s="12">
        <v>215.1</v>
      </c>
      <c r="H1409" s="12">
        <v>49.25</v>
      </c>
      <c r="I1409" s="12">
        <v>215.1</v>
      </c>
      <c r="J1409" s="58">
        <v>54</v>
      </c>
    </row>
    <row r="1410" spans="1:10" ht="17.25" customHeight="1" x14ac:dyDescent="0.25">
      <c r="A1410" s="8" t="s">
        <v>2064</v>
      </c>
      <c r="B1410" s="9" t="s">
        <v>1162</v>
      </c>
      <c r="C1410" s="9" t="s">
        <v>1163</v>
      </c>
      <c r="D1410" s="10">
        <v>2.6856100000000001</v>
      </c>
      <c r="E1410" s="10">
        <v>0.30000000000000004</v>
      </c>
      <c r="F1410" s="11">
        <v>0.28570999999999991</v>
      </c>
      <c r="G1410" s="12">
        <v>3307.66</v>
      </c>
      <c r="H1410" s="12">
        <v>1587.15</v>
      </c>
      <c r="I1410" s="12">
        <v>1678.58</v>
      </c>
      <c r="J1410" s="58">
        <v>157.25</v>
      </c>
    </row>
    <row r="1411" spans="1:10" ht="17.25" customHeight="1" x14ac:dyDescent="0.25">
      <c r="A1411" s="8" t="s">
        <v>2065</v>
      </c>
      <c r="B1411" s="13" t="s">
        <v>1158</v>
      </c>
      <c r="C1411" s="9" t="s">
        <v>1159</v>
      </c>
      <c r="D1411" s="10">
        <v>0.47740000000000005</v>
      </c>
      <c r="E1411" s="10">
        <v>7.6249999999999929E-2</v>
      </c>
      <c r="F1411" s="11">
        <v>0.28570999999999991</v>
      </c>
      <c r="G1411" s="12">
        <v>7620</v>
      </c>
      <c r="H1411" s="12">
        <v>302.91000000000003</v>
      </c>
      <c r="I1411" s="12">
        <v>1373.15</v>
      </c>
      <c r="J1411" s="58">
        <v>69.72</v>
      </c>
    </row>
    <row r="1412" spans="1:10" ht="17.25" customHeight="1" x14ac:dyDescent="0.25">
      <c r="A1412" s="8" t="s">
        <v>2066</v>
      </c>
      <c r="B1412" s="9" t="s">
        <v>1160</v>
      </c>
      <c r="C1412" s="9" t="s">
        <v>1161</v>
      </c>
      <c r="D1412" s="10">
        <v>0.66951999999999989</v>
      </c>
      <c r="E1412" s="10">
        <v>0.25063000000000013</v>
      </c>
      <c r="F1412" s="11">
        <v>0.29981999999999998</v>
      </c>
      <c r="G1412" s="12">
        <v>694</v>
      </c>
      <c r="H1412" s="12">
        <v>350.9</v>
      </c>
      <c r="I1412" s="12">
        <v>694</v>
      </c>
      <c r="J1412" s="58">
        <v>176.08</v>
      </c>
    </row>
    <row r="1413" spans="1:10" ht="17.25" customHeight="1" x14ac:dyDescent="0.25">
      <c r="A1413" s="8" t="s">
        <v>2067</v>
      </c>
      <c r="B1413" s="9" t="s">
        <v>1172</v>
      </c>
      <c r="C1413" s="9" t="s">
        <v>1173</v>
      </c>
      <c r="D1413" s="10">
        <v>0.54903999999999997</v>
      </c>
      <c r="E1413" s="10">
        <v>0.30254000000000003</v>
      </c>
      <c r="F1413" s="11">
        <v>0.28570999999999991</v>
      </c>
      <c r="G1413" s="12">
        <v>308</v>
      </c>
      <c r="H1413" s="12">
        <v>107.26</v>
      </c>
      <c r="I1413" s="12">
        <v>308</v>
      </c>
      <c r="J1413" s="58">
        <v>76.67</v>
      </c>
    </row>
    <row r="1414" spans="1:10" ht="17.25" customHeight="1" x14ac:dyDescent="0.25">
      <c r="A1414" s="8" t="s">
        <v>2068</v>
      </c>
      <c r="B1414" s="9" t="s">
        <v>1164</v>
      </c>
      <c r="C1414" s="9" t="s">
        <v>1165</v>
      </c>
      <c r="D1414" s="10">
        <v>1.7355999999999998</v>
      </c>
      <c r="E1414" s="10">
        <v>0.30000000000000004</v>
      </c>
      <c r="F1414" s="11">
        <v>0.28570999999999991</v>
      </c>
      <c r="G1414" s="12">
        <v>8400</v>
      </c>
      <c r="H1414" s="12">
        <v>1211.4000000000001</v>
      </c>
      <c r="I1414" s="12">
        <v>1411.4</v>
      </c>
      <c r="J1414" s="58">
        <v>72.64</v>
      </c>
    </row>
    <row r="1415" spans="1:10" ht="17.25" customHeight="1" x14ac:dyDescent="0.25">
      <c r="A1415" s="8" t="s">
        <v>2069</v>
      </c>
      <c r="B1415" s="9" t="s">
        <v>1166</v>
      </c>
      <c r="C1415" s="9" t="s">
        <v>1167</v>
      </c>
      <c r="D1415" s="10">
        <v>1.0276800000000001</v>
      </c>
      <c r="E1415" s="10">
        <v>0.27400000000000002</v>
      </c>
      <c r="F1415" s="11">
        <v>0.28570999999999991</v>
      </c>
      <c r="G1415" s="12">
        <v>740</v>
      </c>
      <c r="H1415" s="12">
        <v>299.25</v>
      </c>
      <c r="I1415" s="12">
        <v>380.7</v>
      </c>
      <c r="J1415" s="58">
        <v>392.26</v>
      </c>
    </row>
    <row r="1416" spans="1:10" ht="17.25" customHeight="1" x14ac:dyDescent="0.25">
      <c r="A1416" s="8" t="s">
        <v>2070</v>
      </c>
      <c r="B1416" s="9" t="s">
        <v>1168</v>
      </c>
      <c r="C1416" s="9" t="s">
        <v>1169</v>
      </c>
      <c r="D1416" s="10">
        <v>0.64888000000000012</v>
      </c>
      <c r="E1416" s="10">
        <v>0.27400000000000002</v>
      </c>
      <c r="F1416" s="11">
        <v>0.28570999999999991</v>
      </c>
      <c r="G1416" s="12">
        <v>574</v>
      </c>
      <c r="H1416" s="12">
        <v>223.65</v>
      </c>
      <c r="I1416" s="12">
        <v>574</v>
      </c>
      <c r="J1416" s="58">
        <v>214.45</v>
      </c>
    </row>
    <row r="1417" spans="1:10" ht="17.25" customHeight="1" x14ac:dyDescent="0.25">
      <c r="A1417" s="8" t="s">
        <v>2071</v>
      </c>
      <c r="B1417" s="9" t="s">
        <v>1880</v>
      </c>
      <c r="C1417" s="9" t="s">
        <v>1881</v>
      </c>
      <c r="D1417" s="10">
        <v>8.3555700000000002</v>
      </c>
      <c r="E1417" s="10">
        <v>0.44663000000000008</v>
      </c>
      <c r="F1417" s="11">
        <v>0.28570999999999991</v>
      </c>
      <c r="G1417" s="12">
        <v>4398</v>
      </c>
      <c r="H1417" s="12">
        <v>1337.33</v>
      </c>
      <c r="I1417" s="12">
        <v>1537.33</v>
      </c>
      <c r="J1417" s="58">
        <v>196.97</v>
      </c>
    </row>
    <row r="1418" spans="1:10" ht="17.25" customHeight="1" x14ac:dyDescent="0.25">
      <c r="A1418" s="8" t="s">
        <v>2072</v>
      </c>
      <c r="B1418" s="9" t="s">
        <v>1207</v>
      </c>
      <c r="C1418" s="9" t="s">
        <v>1208</v>
      </c>
      <c r="D1418" s="10">
        <v>3.7525700000000004</v>
      </c>
      <c r="E1418" s="10">
        <v>0.30000000000000004</v>
      </c>
      <c r="F1418" s="11">
        <v>0.28570999999999991</v>
      </c>
      <c r="G1418" s="12">
        <v>21687.96</v>
      </c>
      <c r="H1418" s="12">
        <v>2506.15</v>
      </c>
      <c r="I1418" s="12">
        <v>2706.15</v>
      </c>
      <c r="J1418" s="58">
        <v>178.49</v>
      </c>
    </row>
    <row r="1419" spans="1:10" ht="17.25" customHeight="1" x14ac:dyDescent="0.25">
      <c r="A1419" s="8" t="s">
        <v>2073</v>
      </c>
      <c r="B1419" s="9" t="s">
        <v>1204</v>
      </c>
      <c r="C1419" s="9" t="s">
        <v>1205</v>
      </c>
      <c r="D1419" s="10">
        <v>4.1409999999999947E-2</v>
      </c>
      <c r="E1419" s="10">
        <v>0.46660000000000013</v>
      </c>
      <c r="F1419" s="11">
        <v>0.22300000000000009</v>
      </c>
      <c r="G1419" s="12">
        <v>3.3100000000000005</v>
      </c>
      <c r="H1419" s="12">
        <v>1.0099999999999998</v>
      </c>
      <c r="I1419" s="12">
        <v>3.3100000000000005</v>
      </c>
      <c r="J1419" s="58">
        <v>4</v>
      </c>
    </row>
    <row r="1420" spans="1:10" ht="17.25" customHeight="1" x14ac:dyDescent="0.25">
      <c r="A1420" s="8" t="s">
        <v>2074</v>
      </c>
      <c r="B1420" s="9" t="s">
        <v>1204</v>
      </c>
      <c r="C1420" s="9" t="s">
        <v>1206</v>
      </c>
      <c r="D1420" s="10">
        <v>6.9299999999999917E-2</v>
      </c>
      <c r="E1420" s="10">
        <v>0.41860000000000008</v>
      </c>
      <c r="F1420" s="11">
        <v>0.2410000000000001</v>
      </c>
      <c r="G1420" s="12">
        <v>5.2</v>
      </c>
      <c r="H1420" s="12">
        <v>1.7599999999999998</v>
      </c>
      <c r="I1420" s="12">
        <v>5.2</v>
      </c>
      <c r="J1420" s="58">
        <v>4</v>
      </c>
    </row>
    <row r="1421" spans="1:10" ht="17.25" customHeight="1" x14ac:dyDescent="0.25">
      <c r="A1421" s="8" t="s">
        <v>2075</v>
      </c>
      <c r="B1421" s="9" t="s">
        <v>1427</v>
      </c>
      <c r="C1421" s="9" t="s">
        <v>1428</v>
      </c>
      <c r="D1421" s="10">
        <v>0.51981999999999995</v>
      </c>
      <c r="E1421" s="10">
        <v>0.27400000000000002</v>
      </c>
      <c r="F1421" s="11">
        <v>0.28570999999999991</v>
      </c>
      <c r="G1421" s="12">
        <v>660.96</v>
      </c>
      <c r="H1421" s="12">
        <v>271.95</v>
      </c>
      <c r="I1421" s="12">
        <v>660.96</v>
      </c>
      <c r="J1421" s="58">
        <v>268.89</v>
      </c>
    </row>
    <row r="1422" spans="1:10" ht="17.25" customHeight="1" x14ac:dyDescent="0.25">
      <c r="A1422" s="8" t="s">
        <v>2076</v>
      </c>
      <c r="B1422" s="9" t="s">
        <v>1436</v>
      </c>
      <c r="C1422" s="9" t="s">
        <v>1437</v>
      </c>
      <c r="D1422" s="10">
        <v>0.53229000000000015</v>
      </c>
      <c r="E1422" s="10">
        <v>0.27400000000000002</v>
      </c>
      <c r="F1422" s="11">
        <v>0.28570999999999991</v>
      </c>
      <c r="G1422" s="12">
        <v>655.58</v>
      </c>
      <c r="H1422" s="12">
        <v>239.95</v>
      </c>
      <c r="I1422" s="12">
        <v>655.58</v>
      </c>
      <c r="J1422" s="58">
        <v>284.89</v>
      </c>
    </row>
    <row r="1423" spans="1:10" ht="17.25" customHeight="1" x14ac:dyDescent="0.25">
      <c r="A1423" s="8" t="s">
        <v>2077</v>
      </c>
      <c r="B1423" s="9" t="s">
        <v>1429</v>
      </c>
      <c r="C1423" s="9" t="s">
        <v>1430</v>
      </c>
      <c r="D1423" s="10">
        <v>0.54777999999999993</v>
      </c>
      <c r="E1423" s="10">
        <v>0.27400000000000002</v>
      </c>
      <c r="F1423" s="11">
        <v>0.28570999999999991</v>
      </c>
      <c r="G1423" s="12">
        <v>411.33</v>
      </c>
      <c r="H1423" s="12">
        <v>254.55</v>
      </c>
      <c r="I1423" s="12">
        <v>411.33</v>
      </c>
      <c r="J1423" s="58">
        <v>170.16</v>
      </c>
    </row>
    <row r="1424" spans="1:10" ht="17.25" customHeight="1" x14ac:dyDescent="0.25">
      <c r="A1424" s="8" t="s">
        <v>2078</v>
      </c>
      <c r="B1424" s="9" t="s">
        <v>1272</v>
      </c>
      <c r="C1424" s="9" t="s">
        <v>1273</v>
      </c>
      <c r="D1424" s="10">
        <v>0.20284999999999997</v>
      </c>
      <c r="E1424" s="10">
        <v>0.16612999999999989</v>
      </c>
      <c r="F1424" s="11">
        <v>0.18979999999999997</v>
      </c>
      <c r="G1424" s="12">
        <v>653.15</v>
      </c>
      <c r="H1424" s="12">
        <v>274.68</v>
      </c>
      <c r="I1424" s="12">
        <v>653.15</v>
      </c>
      <c r="J1424" s="58">
        <v>32.049999999999997</v>
      </c>
    </row>
    <row r="1425" spans="1:10" ht="17.25" customHeight="1" x14ac:dyDescent="0.25">
      <c r="A1425" s="8" t="s">
        <v>2079</v>
      </c>
      <c r="B1425" s="9" t="s">
        <v>1189</v>
      </c>
      <c r="C1425" s="9" t="s">
        <v>1190</v>
      </c>
      <c r="D1425" s="10">
        <v>3.125E-2</v>
      </c>
      <c r="E1425" s="10">
        <v>0.34729999999999994</v>
      </c>
      <c r="F1425" s="11">
        <v>0.27560000000000007</v>
      </c>
      <c r="G1425" s="12">
        <v>33.18</v>
      </c>
      <c r="H1425" s="12">
        <v>13.95</v>
      </c>
      <c r="I1425" s="12">
        <v>33.18</v>
      </c>
      <c r="J1425" s="58">
        <v>2.02</v>
      </c>
    </row>
    <row r="1426" spans="1:10" ht="17.25" customHeight="1" x14ac:dyDescent="0.25">
      <c r="A1426" s="8" t="s">
        <v>2080</v>
      </c>
      <c r="B1426" s="9" t="s">
        <v>1178</v>
      </c>
      <c r="C1426" s="9" t="s">
        <v>1179</v>
      </c>
      <c r="D1426" s="10">
        <v>0.80283000000000015</v>
      </c>
      <c r="E1426" s="10">
        <v>0.28544999999999998</v>
      </c>
      <c r="F1426" s="11">
        <v>0.28570999999999991</v>
      </c>
      <c r="G1426" s="12">
        <v>363.15</v>
      </c>
      <c r="H1426" s="12">
        <v>185.15</v>
      </c>
      <c r="I1426" s="12">
        <v>363.15</v>
      </c>
      <c r="J1426" s="58">
        <v>80.91</v>
      </c>
    </row>
    <row r="1427" spans="1:10" ht="17.25" customHeight="1" x14ac:dyDescent="0.25">
      <c r="A1427" s="8" t="s">
        <v>2081</v>
      </c>
      <c r="B1427" s="9" t="s">
        <v>2342</v>
      </c>
      <c r="C1427" s="9" t="s">
        <v>1182</v>
      </c>
      <c r="D1427" s="10">
        <v>0.44134000000000007</v>
      </c>
      <c r="E1427" s="10">
        <v>0.26956999999999987</v>
      </c>
      <c r="F1427" s="11">
        <v>0.31869999999999998</v>
      </c>
      <c r="G1427" s="12">
        <v>324.64999999999998</v>
      </c>
      <c r="H1427" s="12">
        <v>158.97</v>
      </c>
      <c r="I1427" s="12">
        <v>324.64999999999998</v>
      </c>
      <c r="J1427" s="58">
        <v>36.46</v>
      </c>
    </row>
    <row r="1428" spans="1:10" ht="17.25" customHeight="1" x14ac:dyDescent="0.25">
      <c r="A1428" s="8" t="s">
        <v>2082</v>
      </c>
      <c r="B1428" s="9" t="s">
        <v>1180</v>
      </c>
      <c r="C1428" s="9" t="s">
        <v>1181</v>
      </c>
      <c r="D1428" s="10">
        <v>0.19500999999999991</v>
      </c>
      <c r="E1428" s="10">
        <v>0.18589000000000011</v>
      </c>
      <c r="F1428" s="11">
        <v>0.28205999999999998</v>
      </c>
      <c r="G1428" s="12">
        <v>456.65</v>
      </c>
      <c r="H1428" s="12">
        <v>259.83</v>
      </c>
      <c r="I1428" s="12">
        <v>456.65</v>
      </c>
      <c r="J1428" s="58">
        <v>27.03</v>
      </c>
    </row>
    <row r="1429" spans="1:10" ht="17.25" customHeight="1" x14ac:dyDescent="0.25">
      <c r="A1429" s="8" t="s">
        <v>2083</v>
      </c>
      <c r="B1429" s="9" t="s">
        <v>1198</v>
      </c>
      <c r="C1429" s="9" t="s">
        <v>1199</v>
      </c>
      <c r="D1429" s="10">
        <v>0.47306000000000004</v>
      </c>
      <c r="E1429" s="10">
        <v>0.27400000000000002</v>
      </c>
      <c r="F1429" s="11">
        <v>0.28570999999999991</v>
      </c>
      <c r="G1429" s="12">
        <v>542.39</v>
      </c>
      <c r="H1429" s="12">
        <v>183.45</v>
      </c>
      <c r="I1429" s="12">
        <v>542.39</v>
      </c>
      <c r="J1429" s="58">
        <v>66.150000000000006</v>
      </c>
    </row>
    <row r="1430" spans="1:10" ht="17.25" customHeight="1" x14ac:dyDescent="0.25">
      <c r="A1430" s="8" t="s">
        <v>2084</v>
      </c>
      <c r="B1430" s="9" t="s">
        <v>1183</v>
      </c>
      <c r="C1430" s="9" t="s">
        <v>1184</v>
      </c>
      <c r="D1430" s="10">
        <v>0.29041000000000006</v>
      </c>
      <c r="E1430" s="10">
        <v>0.17660000000000009</v>
      </c>
      <c r="F1430" s="11">
        <v>0.37329999999999997</v>
      </c>
      <c r="G1430" s="12">
        <v>461.15</v>
      </c>
      <c r="H1430" s="12">
        <v>189.79</v>
      </c>
      <c r="I1430" s="12">
        <v>461.15</v>
      </c>
      <c r="J1430" s="58">
        <v>20.010000000000002</v>
      </c>
    </row>
    <row r="1431" spans="1:10" ht="17.25" customHeight="1" x14ac:dyDescent="0.25">
      <c r="A1431" s="8" t="s">
        <v>2085</v>
      </c>
      <c r="B1431" s="9" t="s">
        <v>1185</v>
      </c>
      <c r="C1431" s="9" t="s">
        <v>1186</v>
      </c>
      <c r="D1431" s="10">
        <v>1.0463800000000001</v>
      </c>
      <c r="E1431" s="10">
        <v>0.28825999999999996</v>
      </c>
      <c r="F1431" s="11">
        <v>0.28570999999999991</v>
      </c>
      <c r="G1431" s="12">
        <v>423.85</v>
      </c>
      <c r="H1431" s="12">
        <v>222.38</v>
      </c>
      <c r="I1431" s="12">
        <v>423.85</v>
      </c>
      <c r="J1431" s="58">
        <v>127.91</v>
      </c>
    </row>
    <row r="1432" spans="1:10" ht="17.25" customHeight="1" x14ac:dyDescent="0.25">
      <c r="A1432" s="8" t="s">
        <v>2086</v>
      </c>
      <c r="B1432" s="9" t="s">
        <v>1193</v>
      </c>
      <c r="C1432" s="9" t="s">
        <v>1194</v>
      </c>
      <c r="D1432" s="10">
        <v>0.43775999999999993</v>
      </c>
      <c r="E1432" s="10">
        <v>0.24981999999999993</v>
      </c>
      <c r="F1432" s="11">
        <v>0.28770000000000007</v>
      </c>
      <c r="G1432" s="12">
        <v>730.15</v>
      </c>
      <c r="H1432" s="12">
        <v>272.74</v>
      </c>
      <c r="I1432" s="12">
        <v>730.15</v>
      </c>
      <c r="J1432" s="58">
        <v>34.01</v>
      </c>
    </row>
    <row r="1433" spans="1:10" ht="17.25" customHeight="1" x14ac:dyDescent="0.25">
      <c r="A1433" s="8" t="s">
        <v>2087</v>
      </c>
      <c r="B1433" s="9" t="s">
        <v>1200</v>
      </c>
      <c r="C1433" s="9" t="s">
        <v>1201</v>
      </c>
      <c r="D1433" s="10">
        <v>0.72147000000000006</v>
      </c>
      <c r="E1433" s="10">
        <v>0.27400000000000002</v>
      </c>
      <c r="F1433" s="11">
        <v>0.28570999999999991</v>
      </c>
      <c r="G1433" s="12">
        <v>411.1</v>
      </c>
      <c r="H1433" s="12">
        <v>209.15</v>
      </c>
      <c r="I1433" s="12">
        <v>411.1</v>
      </c>
      <c r="J1433" s="58">
        <v>80.98</v>
      </c>
    </row>
    <row r="1434" spans="1:10" ht="17.25" customHeight="1" x14ac:dyDescent="0.25">
      <c r="A1434" s="8" t="s">
        <v>2088</v>
      </c>
      <c r="B1434" s="9" t="s">
        <v>1195</v>
      </c>
      <c r="C1434" s="9" t="s">
        <v>1196</v>
      </c>
      <c r="D1434" s="10">
        <v>0.34831999999999996</v>
      </c>
      <c r="E1434" s="10">
        <v>0.28160000000000007</v>
      </c>
      <c r="F1434" s="11">
        <v>0.28570000000000007</v>
      </c>
      <c r="G1434" s="12">
        <v>373.53</v>
      </c>
      <c r="H1434" s="12">
        <v>187.68</v>
      </c>
      <c r="I1434" s="12">
        <v>373.53</v>
      </c>
      <c r="J1434" s="58">
        <v>34.08</v>
      </c>
    </row>
    <row r="1435" spans="1:10" ht="17.25" customHeight="1" x14ac:dyDescent="0.25">
      <c r="A1435" s="8" t="s">
        <v>2089</v>
      </c>
      <c r="B1435" s="9" t="s">
        <v>1202</v>
      </c>
      <c r="C1435" s="9" t="s">
        <v>1203</v>
      </c>
      <c r="D1435" s="10">
        <v>0.93430999999999997</v>
      </c>
      <c r="E1435" s="10">
        <v>0.27400000000000002</v>
      </c>
      <c r="F1435" s="11">
        <v>0.28570999999999991</v>
      </c>
      <c r="G1435" s="12">
        <v>438.04</v>
      </c>
      <c r="H1435" s="12">
        <v>224.15</v>
      </c>
      <c r="I1435" s="12">
        <v>438.04</v>
      </c>
      <c r="J1435" s="58">
        <v>129.62</v>
      </c>
    </row>
    <row r="1436" spans="1:10" ht="17.25" customHeight="1" x14ac:dyDescent="0.25">
      <c r="A1436" s="8" t="s">
        <v>2090</v>
      </c>
      <c r="B1436" s="9" t="s">
        <v>1256</v>
      </c>
      <c r="C1436" s="9" t="s">
        <v>1257</v>
      </c>
      <c r="D1436" s="10">
        <v>0.42501999999999995</v>
      </c>
      <c r="E1436" s="10">
        <v>0.27400000000000002</v>
      </c>
      <c r="F1436" s="11">
        <v>0.28570999999999991</v>
      </c>
      <c r="G1436" s="12">
        <v>574</v>
      </c>
      <c r="H1436" s="12">
        <v>306.14999999999998</v>
      </c>
      <c r="I1436" s="12">
        <v>574</v>
      </c>
      <c r="J1436" s="58">
        <v>33.03</v>
      </c>
    </row>
    <row r="1437" spans="1:10" ht="17.25" customHeight="1" x14ac:dyDescent="0.25">
      <c r="A1437" s="8" t="s">
        <v>2091</v>
      </c>
      <c r="B1437" s="9" t="s">
        <v>1215</v>
      </c>
      <c r="C1437" s="9" t="s">
        <v>1216</v>
      </c>
      <c r="D1437" s="10">
        <v>0.55791000000000013</v>
      </c>
      <c r="E1437" s="10">
        <v>7.5609999999999955E-2</v>
      </c>
      <c r="F1437" s="11">
        <v>0.28570999999999991</v>
      </c>
      <c r="G1437" s="12">
        <v>6730</v>
      </c>
      <c r="H1437" s="12">
        <v>429.75</v>
      </c>
      <c r="I1437" s="12">
        <v>573.15</v>
      </c>
      <c r="J1437" s="58">
        <v>114.82</v>
      </c>
    </row>
    <row r="1438" spans="1:10" ht="17.25" customHeight="1" x14ac:dyDescent="0.25">
      <c r="A1438" s="8" t="s">
        <v>2092</v>
      </c>
      <c r="B1438" s="9" t="s">
        <v>2343</v>
      </c>
      <c r="C1438" s="9" t="s">
        <v>1214</v>
      </c>
      <c r="D1438" s="10">
        <v>1.6374599999999999</v>
      </c>
      <c r="E1438" s="10">
        <v>0.33312999999999993</v>
      </c>
      <c r="F1438" s="11">
        <v>0.33550000000000013</v>
      </c>
      <c r="G1438" s="12">
        <v>819.15</v>
      </c>
      <c r="H1438" s="12">
        <v>386.75</v>
      </c>
      <c r="I1438" s="12">
        <v>819.15</v>
      </c>
      <c r="J1438" s="58">
        <v>253.81</v>
      </c>
    </row>
    <row r="1439" spans="1:10" ht="17.25" customHeight="1" x14ac:dyDescent="0.25">
      <c r="A1439" s="8" t="s">
        <v>2093</v>
      </c>
      <c r="B1439" s="9" t="s">
        <v>1212</v>
      </c>
      <c r="C1439" s="9" t="s">
        <v>1213</v>
      </c>
      <c r="D1439" s="10">
        <v>1.0517599999999998</v>
      </c>
      <c r="E1439" s="10">
        <v>0.27400000000000002</v>
      </c>
      <c r="F1439" s="11">
        <v>0.28570999999999991</v>
      </c>
      <c r="G1439" s="12">
        <v>447.53</v>
      </c>
      <c r="H1439" s="12">
        <v>278.64999999999998</v>
      </c>
      <c r="I1439" s="12">
        <v>447.53</v>
      </c>
      <c r="J1439" s="58">
        <v>259.89</v>
      </c>
    </row>
    <row r="1440" spans="1:10" ht="17.25" customHeight="1" x14ac:dyDescent="0.25">
      <c r="A1440" s="8" t="s">
        <v>2094</v>
      </c>
      <c r="B1440" s="9" t="s">
        <v>1217</v>
      </c>
      <c r="C1440" s="9" t="s">
        <v>1218</v>
      </c>
      <c r="D1440" s="10">
        <v>6.4138799999999998</v>
      </c>
      <c r="E1440" s="10">
        <v>0.30000000000000004</v>
      </c>
      <c r="F1440" s="11">
        <v>0.28570999999999991</v>
      </c>
      <c r="G1440" s="12">
        <v>15035</v>
      </c>
      <c r="H1440" s="12">
        <v>2719.15</v>
      </c>
      <c r="I1440" s="12">
        <v>2919.15</v>
      </c>
      <c r="J1440" s="58">
        <v>192.22</v>
      </c>
    </row>
    <row r="1441" spans="1:10" ht="17.25" customHeight="1" x14ac:dyDescent="0.25">
      <c r="A1441" s="8" t="s">
        <v>2095</v>
      </c>
      <c r="B1441" s="9" t="s">
        <v>1150</v>
      </c>
      <c r="C1441" s="9" t="s">
        <v>1151</v>
      </c>
      <c r="D1441" s="10">
        <v>0.57093000000000016</v>
      </c>
      <c r="E1441" s="10">
        <v>7.0000000000000062E-2</v>
      </c>
      <c r="F1441" s="11">
        <v>0.28570999999999991</v>
      </c>
      <c r="G1441" s="12">
        <v>9340</v>
      </c>
      <c r="H1441" s="12">
        <v>1808.1</v>
      </c>
      <c r="I1441" s="12">
        <v>2500</v>
      </c>
      <c r="J1441" s="58">
        <v>55.85</v>
      </c>
    </row>
    <row r="1442" spans="1:10" ht="17.25" customHeight="1" x14ac:dyDescent="0.25">
      <c r="A1442" s="8" t="s">
        <v>2096</v>
      </c>
      <c r="B1442" s="9" t="s">
        <v>1152</v>
      </c>
      <c r="C1442" s="9" t="s">
        <v>1153</v>
      </c>
      <c r="D1442" s="10">
        <v>0.49907999999999997</v>
      </c>
      <c r="E1442" s="10">
        <v>0.27400000000000002</v>
      </c>
      <c r="F1442" s="11">
        <v>0.28570999999999991</v>
      </c>
      <c r="G1442" s="12">
        <v>607.20000000000005</v>
      </c>
      <c r="H1442" s="12">
        <v>252.15</v>
      </c>
      <c r="I1442" s="12">
        <v>607.20000000000005</v>
      </c>
      <c r="J1442" s="58">
        <v>195.9</v>
      </c>
    </row>
    <row r="1443" spans="1:10" ht="17.25" customHeight="1" x14ac:dyDescent="0.25">
      <c r="A1443" s="8" t="s">
        <v>2097</v>
      </c>
      <c r="B1443" s="9" t="s">
        <v>1227</v>
      </c>
      <c r="C1443" s="9" t="s">
        <v>1228</v>
      </c>
      <c r="D1443" s="10">
        <v>0.91799000000000008</v>
      </c>
      <c r="E1443" s="10">
        <v>0.28839999999999999</v>
      </c>
      <c r="F1443" s="11">
        <v>0.29390000000000005</v>
      </c>
      <c r="G1443" s="12">
        <v>209.35</v>
      </c>
      <c r="H1443" s="12">
        <v>115.78</v>
      </c>
      <c r="I1443" s="12">
        <v>209.35</v>
      </c>
      <c r="J1443" s="58">
        <v>83.8</v>
      </c>
    </row>
    <row r="1444" spans="1:10" ht="17.25" customHeight="1" x14ac:dyDescent="0.25">
      <c r="A1444" s="8" t="s">
        <v>2098</v>
      </c>
      <c r="B1444" s="9" t="s">
        <v>1325</v>
      </c>
      <c r="C1444" s="9" t="s">
        <v>1326</v>
      </c>
      <c r="D1444" s="10">
        <v>1.9262699999999997</v>
      </c>
      <c r="E1444" s="10">
        <v>0.30000000000000004</v>
      </c>
      <c r="F1444" s="11">
        <v>0.28570999999999991</v>
      </c>
      <c r="G1444" s="12">
        <v>1933.47</v>
      </c>
      <c r="H1444" s="12">
        <v>646.15</v>
      </c>
      <c r="I1444" s="12">
        <v>1500</v>
      </c>
      <c r="J1444" s="58">
        <v>367.01</v>
      </c>
    </row>
    <row r="1445" spans="1:10" ht="17.25" customHeight="1" x14ac:dyDescent="0.25">
      <c r="A1445" s="8" t="s">
        <v>2099</v>
      </c>
      <c r="B1445" s="9" t="s">
        <v>1327</v>
      </c>
      <c r="C1445" s="9" t="s">
        <v>1328</v>
      </c>
      <c r="D1445" s="10">
        <v>1.7288699999999997</v>
      </c>
      <c r="E1445" s="10">
        <v>0.30000000000000004</v>
      </c>
      <c r="F1445" s="11">
        <v>0.28570999999999991</v>
      </c>
      <c r="G1445" s="12">
        <v>1998.62</v>
      </c>
      <c r="H1445" s="12">
        <v>774.15</v>
      </c>
      <c r="I1445" s="12">
        <v>1500</v>
      </c>
      <c r="J1445" s="58">
        <v>278.11</v>
      </c>
    </row>
    <row r="1446" spans="1:10" ht="17.25" customHeight="1" x14ac:dyDescent="0.25">
      <c r="A1446" s="8" t="s">
        <v>2100</v>
      </c>
      <c r="B1446" s="9" t="s">
        <v>1329</v>
      </c>
      <c r="C1446" s="9" t="s">
        <v>1330</v>
      </c>
      <c r="D1446" s="10">
        <v>2.7982499999999999</v>
      </c>
      <c r="E1446" s="10">
        <v>0.30000000000000004</v>
      </c>
      <c r="F1446" s="11">
        <v>0.28570999999999991</v>
      </c>
      <c r="G1446" s="12">
        <v>2550.73</v>
      </c>
      <c r="H1446" s="12">
        <v>1128.1500000000001</v>
      </c>
      <c r="I1446" s="12">
        <v>1328.15</v>
      </c>
      <c r="J1446" s="58">
        <v>245.2</v>
      </c>
    </row>
    <row r="1447" spans="1:10" ht="17.25" customHeight="1" x14ac:dyDescent="0.25">
      <c r="A1447" s="8" t="s">
        <v>2101</v>
      </c>
      <c r="B1447" s="9" t="s">
        <v>2344</v>
      </c>
      <c r="C1447" s="9" t="s">
        <v>1331</v>
      </c>
      <c r="D1447" s="10">
        <v>2.01004</v>
      </c>
      <c r="E1447" s="10">
        <v>0.30000000000000004</v>
      </c>
      <c r="F1447" s="11">
        <v>0.28570999999999991</v>
      </c>
      <c r="G1447" s="12">
        <v>1865.07</v>
      </c>
      <c r="H1447" s="12">
        <v>675.15</v>
      </c>
      <c r="I1447" s="12">
        <v>875.15</v>
      </c>
      <c r="J1447" s="58">
        <v>461.01</v>
      </c>
    </row>
    <row r="1448" spans="1:10" ht="17.25" customHeight="1" x14ac:dyDescent="0.25">
      <c r="A1448" s="8" t="s">
        <v>2102</v>
      </c>
      <c r="B1448" s="9" t="s">
        <v>1332</v>
      </c>
      <c r="C1448" s="9" t="s">
        <v>1333</v>
      </c>
      <c r="D1448" s="10">
        <v>3.1820900000000005</v>
      </c>
      <c r="E1448" s="10">
        <v>0.30000000000000004</v>
      </c>
      <c r="F1448" s="11">
        <v>0.28570999999999991</v>
      </c>
      <c r="G1448" s="12">
        <v>2842.26</v>
      </c>
      <c r="H1448" s="12">
        <v>1163.1500000000001</v>
      </c>
      <c r="I1448" s="12">
        <v>1363.15</v>
      </c>
      <c r="J1448" s="58">
        <v>223.2</v>
      </c>
    </row>
    <row r="1449" spans="1:10" ht="17.25" customHeight="1" x14ac:dyDescent="0.25">
      <c r="A1449" s="8" t="s">
        <v>2103</v>
      </c>
      <c r="B1449" s="9" t="s">
        <v>1334</v>
      </c>
      <c r="C1449" s="9" t="s">
        <v>1335</v>
      </c>
      <c r="D1449" s="10">
        <v>2.70282</v>
      </c>
      <c r="E1449" s="10">
        <v>0.30000000000000004</v>
      </c>
      <c r="F1449" s="11">
        <v>0.28570999999999991</v>
      </c>
      <c r="G1449" s="12">
        <v>2531.19</v>
      </c>
      <c r="H1449" s="12">
        <v>1387.15</v>
      </c>
      <c r="I1449" s="12">
        <v>1470.65</v>
      </c>
      <c r="J1449" s="58">
        <v>239.27</v>
      </c>
    </row>
    <row r="1450" spans="1:10" ht="17.25" customHeight="1" x14ac:dyDescent="0.25">
      <c r="A1450" s="8" t="s">
        <v>2104</v>
      </c>
      <c r="B1450" s="9" t="s">
        <v>1229</v>
      </c>
      <c r="C1450" s="9" t="s">
        <v>1230</v>
      </c>
      <c r="D1450" s="10">
        <v>3.33699999999999E-2</v>
      </c>
      <c r="E1450" s="10">
        <v>5.6179999999999897E-2</v>
      </c>
      <c r="F1450" s="11">
        <v>0.28570999999999991</v>
      </c>
      <c r="G1450" s="12">
        <v>4085</v>
      </c>
      <c r="H1450" s="12">
        <v>453.69</v>
      </c>
      <c r="I1450" s="12">
        <v>3670</v>
      </c>
      <c r="J1450" s="58">
        <v>6.94</v>
      </c>
    </row>
    <row r="1451" spans="1:10" ht="17.25" customHeight="1" x14ac:dyDescent="0.25">
      <c r="A1451" s="8" t="s">
        <v>2105</v>
      </c>
      <c r="B1451" s="9" t="s">
        <v>1231</v>
      </c>
      <c r="C1451" s="9" t="s">
        <v>1232</v>
      </c>
      <c r="D1451" s="10">
        <v>0.85545999999999989</v>
      </c>
      <c r="E1451" s="10">
        <v>0.30000000000000004</v>
      </c>
      <c r="F1451" s="11">
        <v>0.28570999999999991</v>
      </c>
      <c r="G1451" s="12">
        <v>2578.42</v>
      </c>
      <c r="H1451" s="12">
        <v>820.15</v>
      </c>
      <c r="I1451" s="12">
        <v>1500</v>
      </c>
      <c r="J1451" s="58">
        <v>86.85</v>
      </c>
    </row>
    <row r="1452" spans="1:10" ht="17.25" customHeight="1" x14ac:dyDescent="0.25">
      <c r="A1452" s="8" t="s">
        <v>2106</v>
      </c>
      <c r="B1452" s="9" t="s">
        <v>2345</v>
      </c>
      <c r="C1452" s="9" t="s">
        <v>1233</v>
      </c>
      <c r="D1452" s="10">
        <v>1.0448399999999998</v>
      </c>
      <c r="E1452" s="10">
        <v>0.30000000000000004</v>
      </c>
      <c r="F1452" s="11">
        <v>0.28570999999999991</v>
      </c>
      <c r="G1452" s="12">
        <v>2352.04</v>
      </c>
      <c r="H1452" s="12">
        <v>719.15</v>
      </c>
      <c r="I1452" s="12">
        <v>1600</v>
      </c>
      <c r="J1452" s="58">
        <v>133.85</v>
      </c>
    </row>
    <row r="1453" spans="1:10" ht="17.25" customHeight="1" x14ac:dyDescent="0.25">
      <c r="A1453" s="8" t="s">
        <v>2107</v>
      </c>
      <c r="B1453" s="9" t="s">
        <v>1234</v>
      </c>
      <c r="C1453" s="9" t="s">
        <v>1235</v>
      </c>
      <c r="D1453" s="10">
        <v>7.7800000000000091E-2</v>
      </c>
      <c r="E1453" s="10">
        <v>3.0100000000000016E-2</v>
      </c>
      <c r="F1453" s="11">
        <v>0.28570999999999991</v>
      </c>
      <c r="G1453" s="12">
        <v>2241.04</v>
      </c>
      <c r="H1453" s="12">
        <v>923.15</v>
      </c>
      <c r="I1453" s="12">
        <v>1023.1500000000001</v>
      </c>
      <c r="J1453" s="58">
        <v>24.31</v>
      </c>
    </row>
    <row r="1454" spans="1:10" ht="17.25" customHeight="1" x14ac:dyDescent="0.25">
      <c r="A1454" s="8" t="s">
        <v>2108</v>
      </c>
      <c r="B1454" s="9" t="s">
        <v>1236</v>
      </c>
      <c r="C1454" s="9" t="s">
        <v>1237</v>
      </c>
      <c r="D1454" s="10">
        <v>0.5806</v>
      </c>
      <c r="E1454" s="10">
        <v>0.30000000000000004</v>
      </c>
      <c r="F1454" s="11">
        <v>0.28570999999999991</v>
      </c>
      <c r="G1454" s="12">
        <v>2754.32</v>
      </c>
      <c r="H1454" s="12">
        <v>985.15</v>
      </c>
      <c r="I1454" s="12">
        <v>1600</v>
      </c>
      <c r="J1454" s="58">
        <v>95.21</v>
      </c>
    </row>
    <row r="1455" spans="1:10" ht="17.25" customHeight="1" x14ac:dyDescent="0.25">
      <c r="A1455" s="8" t="s">
        <v>2109</v>
      </c>
      <c r="B1455" s="9" t="s">
        <v>1238</v>
      </c>
      <c r="C1455" s="9" t="s">
        <v>1239</v>
      </c>
      <c r="D1455" s="10">
        <v>0.19186999999999999</v>
      </c>
      <c r="E1455" s="10">
        <v>1.4399999999999968E-2</v>
      </c>
      <c r="F1455" s="11">
        <v>0.28570999999999991</v>
      </c>
      <c r="G1455" s="12">
        <v>5950</v>
      </c>
      <c r="H1455" s="12">
        <v>3105</v>
      </c>
      <c r="I1455" s="12">
        <v>5950</v>
      </c>
      <c r="J1455" s="58">
        <v>40.299999999999997</v>
      </c>
    </row>
    <row r="1456" spans="1:10" ht="17.25" customHeight="1" x14ac:dyDescent="0.25">
      <c r="A1456" s="8" t="s">
        <v>2110</v>
      </c>
      <c r="B1456" s="9" t="s">
        <v>1240</v>
      </c>
      <c r="C1456" s="9" t="s">
        <v>1241</v>
      </c>
      <c r="D1456" s="10">
        <v>2.09497</v>
      </c>
      <c r="E1456" s="10">
        <v>0.30000000000000004</v>
      </c>
      <c r="F1456" s="11">
        <v>0.28570999999999991</v>
      </c>
      <c r="G1456" s="12">
        <v>6902.82</v>
      </c>
      <c r="H1456" s="12">
        <v>1519.15</v>
      </c>
      <c r="I1456" s="12">
        <v>1719.15</v>
      </c>
      <c r="J1456" s="58">
        <v>54.94</v>
      </c>
    </row>
    <row r="1457" spans="1:10" ht="17.25" customHeight="1" x14ac:dyDescent="0.25">
      <c r="A1457" s="8" t="s">
        <v>2111</v>
      </c>
      <c r="B1457" s="9" t="s">
        <v>1242</v>
      </c>
      <c r="C1457" s="9" t="s">
        <v>1243</v>
      </c>
      <c r="D1457" s="10">
        <v>0.90334000000000003</v>
      </c>
      <c r="E1457" s="10">
        <v>0.30000000000000004</v>
      </c>
      <c r="F1457" s="11">
        <v>0.28570999999999991</v>
      </c>
      <c r="G1457" s="12">
        <v>2382.98</v>
      </c>
      <c r="H1457" s="12">
        <v>923.15</v>
      </c>
      <c r="I1457" s="12">
        <v>1123.1500000000001</v>
      </c>
      <c r="J1457" s="58">
        <v>125.84</v>
      </c>
    </row>
    <row r="1458" spans="1:10" ht="17.25" customHeight="1" x14ac:dyDescent="0.25">
      <c r="A1458" s="8" t="s">
        <v>2112</v>
      </c>
      <c r="B1458" s="9" t="s">
        <v>1209</v>
      </c>
      <c r="C1458" s="9" t="s">
        <v>1210</v>
      </c>
      <c r="D1458" s="10">
        <v>1.9393000000000002</v>
      </c>
      <c r="E1458" s="10">
        <v>0.30000000000000004</v>
      </c>
      <c r="F1458" s="11">
        <v>0.28570999999999991</v>
      </c>
      <c r="G1458" s="12">
        <v>964.41</v>
      </c>
      <c r="H1458" s="12">
        <v>510.15</v>
      </c>
      <c r="I1458" s="12">
        <v>800</v>
      </c>
      <c r="J1458" s="58">
        <v>360.4</v>
      </c>
    </row>
    <row r="1459" spans="1:10" ht="17.25" customHeight="1" x14ac:dyDescent="0.25">
      <c r="A1459" s="8" t="s">
        <v>2113</v>
      </c>
      <c r="B1459" s="9" t="s">
        <v>2346</v>
      </c>
      <c r="C1459" s="9" t="s">
        <v>1211</v>
      </c>
      <c r="D1459" s="10">
        <v>1.9309799999999999</v>
      </c>
      <c r="E1459" s="10">
        <v>0.30000000000000004</v>
      </c>
      <c r="F1459" s="11">
        <v>0.28570999999999991</v>
      </c>
      <c r="G1459" s="12">
        <v>1078.0999999999999</v>
      </c>
      <c r="H1459" s="12">
        <v>532.15</v>
      </c>
      <c r="I1459" s="12">
        <v>750</v>
      </c>
      <c r="J1459" s="58">
        <v>454.4</v>
      </c>
    </row>
    <row r="1460" spans="1:10" ht="17.25" customHeight="1" x14ac:dyDescent="0.25">
      <c r="A1460" s="8" t="s">
        <v>2114</v>
      </c>
      <c r="B1460" s="9" t="s">
        <v>1244</v>
      </c>
      <c r="C1460" s="9" t="s">
        <v>1245</v>
      </c>
      <c r="D1460" s="10">
        <v>3.14663</v>
      </c>
      <c r="E1460" s="10">
        <v>0.30000000000000004</v>
      </c>
      <c r="F1460" s="11">
        <v>0.28570999999999991</v>
      </c>
      <c r="G1460" s="12">
        <v>9620</v>
      </c>
      <c r="H1460" s="12">
        <v>2895.15</v>
      </c>
      <c r="I1460" s="12">
        <v>3095.15</v>
      </c>
      <c r="J1460" s="58">
        <v>95.94</v>
      </c>
    </row>
    <row r="1461" spans="1:10" ht="17.25" customHeight="1" x14ac:dyDescent="0.25">
      <c r="A1461" s="8" t="s">
        <v>2115</v>
      </c>
      <c r="B1461" s="9" t="s">
        <v>1246</v>
      </c>
      <c r="C1461" s="9" t="s">
        <v>1247</v>
      </c>
      <c r="D1461" s="10">
        <v>0.93061000000000016</v>
      </c>
      <c r="E1461" s="10">
        <v>0.27400000000000002</v>
      </c>
      <c r="F1461" s="11">
        <v>0.28570999999999991</v>
      </c>
      <c r="G1461" s="12">
        <v>498.12</v>
      </c>
      <c r="H1461" s="12">
        <v>290.14999999999998</v>
      </c>
      <c r="I1461" s="12">
        <v>498.12</v>
      </c>
      <c r="J1461" s="58">
        <v>209.93</v>
      </c>
    </row>
    <row r="1462" spans="1:10" ht="17.25" customHeight="1" x14ac:dyDescent="0.25">
      <c r="A1462" s="8" t="s">
        <v>2116</v>
      </c>
      <c r="B1462" s="9" t="s">
        <v>1248</v>
      </c>
      <c r="C1462" s="9" t="s">
        <v>1249</v>
      </c>
      <c r="D1462" s="10">
        <v>1.5611199999999998</v>
      </c>
      <c r="E1462" s="10">
        <v>0.30000000000000004</v>
      </c>
      <c r="F1462" s="11">
        <v>0.28570999999999991</v>
      </c>
      <c r="G1462" s="12">
        <v>2319.46</v>
      </c>
      <c r="H1462" s="12">
        <v>1068.1500000000001</v>
      </c>
      <c r="I1462" s="12">
        <v>1268.1500000000001</v>
      </c>
      <c r="J1462" s="58">
        <v>143.94</v>
      </c>
    </row>
    <row r="1463" spans="1:10" ht="17.25" customHeight="1" x14ac:dyDescent="0.25">
      <c r="A1463" s="8" t="s">
        <v>2117</v>
      </c>
      <c r="B1463" s="9" t="s">
        <v>1418</v>
      </c>
      <c r="C1463" s="9" t="s">
        <v>1419</v>
      </c>
      <c r="D1463" s="10">
        <v>0.55308000000000002</v>
      </c>
      <c r="E1463" s="10">
        <v>0.26468999999999987</v>
      </c>
      <c r="F1463" s="11">
        <v>0.28570999999999991</v>
      </c>
      <c r="G1463" s="12">
        <v>454</v>
      </c>
      <c r="H1463" s="12">
        <v>179.25</v>
      </c>
      <c r="I1463" s="12">
        <v>454</v>
      </c>
      <c r="J1463" s="58">
        <v>111.01</v>
      </c>
    </row>
    <row r="1464" spans="1:10" ht="17.25" customHeight="1" x14ac:dyDescent="0.25">
      <c r="A1464" s="8" t="s">
        <v>2118</v>
      </c>
      <c r="B1464" s="9" t="s">
        <v>2347</v>
      </c>
      <c r="C1464" s="9" t="s">
        <v>1420</v>
      </c>
      <c r="D1464" s="10">
        <v>0.35289999999999999</v>
      </c>
      <c r="E1464" s="10">
        <v>0.25553999999999988</v>
      </c>
      <c r="F1464" s="11">
        <v>0.28570999999999991</v>
      </c>
      <c r="G1464" s="12">
        <v>396.65</v>
      </c>
      <c r="H1464" s="12">
        <v>155.05000000000001</v>
      </c>
      <c r="I1464" s="12">
        <v>396.65</v>
      </c>
      <c r="J1464" s="58">
        <v>66.56</v>
      </c>
    </row>
    <row r="1465" spans="1:10" ht="17.25" customHeight="1" x14ac:dyDescent="0.25">
      <c r="A1465" s="8" t="s">
        <v>2119</v>
      </c>
      <c r="B1465" s="9" t="s">
        <v>1421</v>
      </c>
      <c r="C1465" s="9" t="s">
        <v>1422</v>
      </c>
      <c r="D1465" s="10">
        <v>0.36017999999999994</v>
      </c>
      <c r="E1465" s="10">
        <v>0.27400000000000002</v>
      </c>
      <c r="F1465" s="11">
        <v>0.28570999999999991</v>
      </c>
      <c r="G1465" s="12">
        <v>286.27999999999997</v>
      </c>
      <c r="H1465" s="12">
        <v>150</v>
      </c>
      <c r="I1465" s="12">
        <v>286.27999999999997</v>
      </c>
      <c r="J1465" s="58">
        <v>50.11</v>
      </c>
    </row>
    <row r="1466" spans="1:10" ht="17.25" customHeight="1" x14ac:dyDescent="0.25">
      <c r="A1466" s="8" t="s">
        <v>2120</v>
      </c>
      <c r="B1466" s="9" t="s">
        <v>1294</v>
      </c>
      <c r="C1466" s="9" t="s">
        <v>1295</v>
      </c>
      <c r="D1466" s="10">
        <v>2.0265200000000001</v>
      </c>
      <c r="E1466" s="10">
        <v>0.30000000000000004</v>
      </c>
      <c r="F1466" s="11">
        <v>0.28570999999999991</v>
      </c>
      <c r="G1466" s="12">
        <v>10665.12</v>
      </c>
      <c r="H1466" s="12">
        <v>1289.1500000000001</v>
      </c>
      <c r="I1466" s="12">
        <v>1489.15</v>
      </c>
      <c r="J1466" s="58">
        <v>144.24</v>
      </c>
    </row>
    <row r="1467" spans="1:10" ht="17.25" customHeight="1" x14ac:dyDescent="0.25">
      <c r="A1467" s="8" t="s">
        <v>2121</v>
      </c>
      <c r="B1467" s="9" t="s">
        <v>1296</v>
      </c>
      <c r="C1467" s="9" t="s">
        <v>1297</v>
      </c>
      <c r="D1467" s="10">
        <v>0.48504000000000014</v>
      </c>
      <c r="E1467" s="10">
        <v>0.30669999999999997</v>
      </c>
      <c r="F1467" s="11">
        <v>0.27859999999999996</v>
      </c>
      <c r="G1467" s="12">
        <v>44.4</v>
      </c>
      <c r="H1467" s="12">
        <v>24.56</v>
      </c>
      <c r="I1467" s="12">
        <v>44.4</v>
      </c>
      <c r="J1467" s="58">
        <v>20.18</v>
      </c>
    </row>
    <row r="1468" spans="1:10" ht="17.25" customHeight="1" x14ac:dyDescent="0.25">
      <c r="A1468" s="8" t="s">
        <v>2122</v>
      </c>
      <c r="B1468" s="9" t="s">
        <v>1298</v>
      </c>
      <c r="C1468" s="9" t="s">
        <v>1299</v>
      </c>
      <c r="D1468" s="10">
        <v>2.5637599999999998</v>
      </c>
      <c r="E1468" s="10">
        <v>0.30000000000000004</v>
      </c>
      <c r="F1468" s="11">
        <v>0.28570999999999991</v>
      </c>
      <c r="G1468" s="12">
        <v>6986.15</v>
      </c>
      <c r="H1468" s="12">
        <v>1728.15</v>
      </c>
      <c r="I1468" s="12">
        <v>1928.15</v>
      </c>
      <c r="J1468" s="58">
        <v>58.69</v>
      </c>
    </row>
    <row r="1469" spans="1:10" ht="17.25" customHeight="1" x14ac:dyDescent="0.25">
      <c r="A1469" s="8" t="s">
        <v>2123</v>
      </c>
      <c r="B1469" s="9" t="s">
        <v>1300</v>
      </c>
      <c r="C1469" s="9" t="s">
        <v>1301</v>
      </c>
      <c r="D1469" s="10">
        <v>1.5293900000000002</v>
      </c>
      <c r="E1469" s="10">
        <v>0.30000000000000004</v>
      </c>
      <c r="F1469" s="11">
        <v>0.28570999999999991</v>
      </c>
      <c r="G1469" s="12">
        <v>3278.75</v>
      </c>
      <c r="H1469" s="12">
        <v>1723.15</v>
      </c>
      <c r="I1469" s="12">
        <v>1923.15</v>
      </c>
      <c r="J1469" s="58">
        <v>96.69</v>
      </c>
    </row>
    <row r="1470" spans="1:10" ht="17.25" customHeight="1" x14ac:dyDescent="0.25">
      <c r="A1470" s="8" t="s">
        <v>2124</v>
      </c>
      <c r="B1470" s="9" t="s">
        <v>1292</v>
      </c>
      <c r="C1470" s="9" t="s">
        <v>1293</v>
      </c>
      <c r="D1470" s="10">
        <v>2.4843500000000001</v>
      </c>
      <c r="E1470" s="10">
        <v>0.30000000000000004</v>
      </c>
      <c r="F1470" s="11">
        <v>0.28570999999999991</v>
      </c>
      <c r="G1470" s="12">
        <v>17904.099999999999</v>
      </c>
      <c r="H1470" s="12">
        <v>2750.15</v>
      </c>
      <c r="I1470" s="12">
        <v>2950.15</v>
      </c>
      <c r="J1470" s="58">
        <v>92.61</v>
      </c>
    </row>
    <row r="1471" spans="1:10" ht="17.25" customHeight="1" x14ac:dyDescent="0.25">
      <c r="A1471" s="8" t="s">
        <v>2125</v>
      </c>
      <c r="B1471" s="9" t="s">
        <v>1187</v>
      </c>
      <c r="C1471" s="9" t="s">
        <v>1188</v>
      </c>
      <c r="D1471" s="10">
        <v>0.43470999999999993</v>
      </c>
      <c r="E1471" s="10">
        <v>0.23110000000000008</v>
      </c>
      <c r="F1471" s="11">
        <v>0.19169999999999998</v>
      </c>
      <c r="G1471" s="12">
        <v>520</v>
      </c>
      <c r="H1471" s="12">
        <v>231.55</v>
      </c>
      <c r="I1471" s="12">
        <v>373.15</v>
      </c>
      <c r="J1471" s="58">
        <v>63.01</v>
      </c>
    </row>
    <row r="1472" spans="1:10" ht="17.25" customHeight="1" x14ac:dyDescent="0.25">
      <c r="A1472" s="8" t="s">
        <v>2126</v>
      </c>
      <c r="B1472" s="9" t="s">
        <v>0</v>
      </c>
      <c r="C1472" s="9" t="s">
        <v>1262</v>
      </c>
      <c r="D1472" s="10">
        <v>0.51712000000000002</v>
      </c>
      <c r="E1472" s="10">
        <v>0.3044</v>
      </c>
      <c r="F1472" s="11">
        <v>0.24199999999999999</v>
      </c>
      <c r="G1472" s="12">
        <v>180.15</v>
      </c>
      <c r="H1472" s="12">
        <v>109.5</v>
      </c>
      <c r="I1472" s="12">
        <v>180.15</v>
      </c>
      <c r="J1472" s="58">
        <v>30.01</v>
      </c>
    </row>
    <row r="1473" spans="1:10" ht="17.25" customHeight="1" x14ac:dyDescent="0.25">
      <c r="A1473" s="8" t="s">
        <v>2127</v>
      </c>
      <c r="B1473" s="9" t="s">
        <v>1268</v>
      </c>
      <c r="C1473" s="9" t="s">
        <v>1269</v>
      </c>
      <c r="D1473" s="10">
        <v>0.31204999999999994</v>
      </c>
      <c r="E1473" s="10">
        <v>0.2847900000000001</v>
      </c>
      <c r="F1473" s="11">
        <v>0.29249999999999998</v>
      </c>
      <c r="G1473" s="12">
        <v>126.1</v>
      </c>
      <c r="H1473" s="12">
        <v>63.150000000000006</v>
      </c>
      <c r="I1473" s="12">
        <v>126.1</v>
      </c>
      <c r="J1473" s="58">
        <v>28.01</v>
      </c>
    </row>
    <row r="1474" spans="1:10" ht="17.25" customHeight="1" x14ac:dyDescent="0.25">
      <c r="A1474" s="8" t="s">
        <v>2128</v>
      </c>
      <c r="B1474" s="9" t="s">
        <v>1266</v>
      </c>
      <c r="C1474" s="9" t="s">
        <v>1267</v>
      </c>
      <c r="D1474" s="10">
        <v>0.54239999999999999</v>
      </c>
      <c r="E1474" s="10">
        <v>0.27210000000000001</v>
      </c>
      <c r="F1474" s="11">
        <v>0.24320000000000008</v>
      </c>
      <c r="G1474" s="12">
        <v>431.35</v>
      </c>
      <c r="H1474" s="12">
        <v>293.14999999999998</v>
      </c>
      <c r="I1474" s="12">
        <v>431.35</v>
      </c>
      <c r="J1474" s="58">
        <v>46.01</v>
      </c>
    </row>
    <row r="1475" spans="1:10" ht="17.25" customHeight="1" x14ac:dyDescent="0.25">
      <c r="A1475" s="8" t="s">
        <v>2129</v>
      </c>
      <c r="B1475" s="9" t="s">
        <v>1278</v>
      </c>
      <c r="C1475" s="9" t="s">
        <v>1279</v>
      </c>
      <c r="D1475" s="10">
        <v>0.55485000000000007</v>
      </c>
      <c r="E1475" s="10">
        <v>0.27400000000000002</v>
      </c>
      <c r="F1475" s="11">
        <v>0.28570999999999991</v>
      </c>
      <c r="G1475" s="12">
        <v>515.51</v>
      </c>
      <c r="H1475" s="12">
        <v>303.14999999999998</v>
      </c>
      <c r="I1475" s="12">
        <v>311.64999999999998</v>
      </c>
      <c r="J1475" s="58">
        <v>108.01</v>
      </c>
    </row>
    <row r="1476" spans="1:10" ht="17.25" customHeight="1" x14ac:dyDescent="0.25">
      <c r="A1476" s="8" t="s">
        <v>2130</v>
      </c>
      <c r="B1476" s="9" t="s">
        <v>1250</v>
      </c>
      <c r="C1476" s="9" t="s">
        <v>1251</v>
      </c>
      <c r="D1476" s="10">
        <v>0.57737000000000016</v>
      </c>
      <c r="E1476" s="10">
        <v>0.27400000000000002</v>
      </c>
      <c r="F1476" s="11">
        <v>0.28570999999999991</v>
      </c>
      <c r="G1476" s="12">
        <v>564</v>
      </c>
      <c r="H1476" s="12">
        <v>293</v>
      </c>
      <c r="I1476" s="12">
        <v>564</v>
      </c>
      <c r="J1476" s="58">
        <v>120.37</v>
      </c>
    </row>
    <row r="1477" spans="1:10" ht="17.25" customHeight="1" x14ac:dyDescent="0.25">
      <c r="A1477" s="8" t="s">
        <v>2131</v>
      </c>
      <c r="B1477" s="9" t="s">
        <v>1252</v>
      </c>
      <c r="C1477" s="9" t="s">
        <v>1253</v>
      </c>
      <c r="D1477" s="10">
        <v>0.59810000000000008</v>
      </c>
      <c r="E1477" s="10">
        <v>0.2823</v>
      </c>
      <c r="F1477" s="11">
        <v>0.29139999999999988</v>
      </c>
      <c r="G1477" s="12">
        <v>233.85</v>
      </c>
      <c r="H1477" s="12">
        <v>66.36</v>
      </c>
      <c r="I1477" s="12">
        <v>233.85</v>
      </c>
      <c r="J1477" s="58">
        <v>71</v>
      </c>
    </row>
    <row r="1478" spans="1:10" ht="17.25" customHeight="1" x14ac:dyDescent="0.25">
      <c r="A1478" s="8" t="s">
        <v>2132</v>
      </c>
      <c r="B1478" s="9" t="s">
        <v>1276</v>
      </c>
      <c r="C1478" s="9" t="s">
        <v>1277</v>
      </c>
      <c r="D1478" s="10">
        <v>0.3954200000000001</v>
      </c>
      <c r="E1478" s="10">
        <v>0.17999999999999994</v>
      </c>
      <c r="F1478" s="11">
        <v>0.28570999999999991</v>
      </c>
      <c r="G1478" s="12">
        <v>425</v>
      </c>
      <c r="H1478" s="12">
        <v>263.14999999999998</v>
      </c>
      <c r="I1478" s="12">
        <v>425</v>
      </c>
      <c r="J1478" s="58">
        <v>76.010000000000005</v>
      </c>
    </row>
    <row r="1479" spans="1:10" ht="17.25" customHeight="1" x14ac:dyDescent="0.25">
      <c r="A1479" s="8" t="s">
        <v>2133</v>
      </c>
      <c r="B1479" s="9" t="s">
        <v>2348</v>
      </c>
      <c r="C1479" s="9" t="s">
        <v>1263</v>
      </c>
      <c r="D1479" s="10">
        <v>0.46992999999999996</v>
      </c>
      <c r="E1479" s="10">
        <v>0.27028999999999992</v>
      </c>
      <c r="F1479" s="11">
        <v>0.24882999999999988</v>
      </c>
      <c r="G1479" s="12">
        <v>440.65</v>
      </c>
      <c r="H1479" s="12">
        <v>213.55</v>
      </c>
      <c r="I1479" s="12">
        <v>440.65</v>
      </c>
      <c r="J1479" s="58">
        <v>65.459999999999994</v>
      </c>
    </row>
    <row r="1480" spans="1:10" ht="17.25" customHeight="1" x14ac:dyDescent="0.25">
      <c r="A1480" s="8" t="s">
        <v>2134</v>
      </c>
      <c r="B1480" s="9" t="s">
        <v>1264</v>
      </c>
      <c r="C1480" s="9" t="s">
        <v>1265</v>
      </c>
      <c r="D1480" s="10">
        <v>0.49514000000000014</v>
      </c>
      <c r="E1480" s="10">
        <v>0.27400000000000002</v>
      </c>
      <c r="F1480" s="11">
        <v>0.28570999999999991</v>
      </c>
      <c r="G1480" s="12">
        <v>352.67</v>
      </c>
      <c r="H1480" s="12">
        <v>139.15</v>
      </c>
      <c r="I1480" s="12">
        <v>352.67</v>
      </c>
      <c r="J1480" s="58">
        <v>49</v>
      </c>
    </row>
    <row r="1481" spans="1:10" ht="17.25" customHeight="1" x14ac:dyDescent="0.25">
      <c r="A1481" s="8" t="s">
        <v>2135</v>
      </c>
      <c r="B1481" s="9" t="s">
        <v>1274</v>
      </c>
      <c r="C1481" s="9" t="s">
        <v>1275</v>
      </c>
      <c r="D1481" s="10">
        <v>0.44927000000000006</v>
      </c>
      <c r="E1481" s="10">
        <v>0.27244000000000002</v>
      </c>
      <c r="F1481" s="11">
        <v>0.28820000000000001</v>
      </c>
      <c r="G1481" s="12">
        <v>309.57</v>
      </c>
      <c r="H1481" s="12">
        <v>182.3</v>
      </c>
      <c r="I1481" s="12">
        <v>309.57</v>
      </c>
      <c r="J1481" s="58">
        <v>44.01</v>
      </c>
    </row>
    <row r="1482" spans="1:10" ht="17.25" customHeight="1" x14ac:dyDescent="0.25">
      <c r="A1482" s="8" t="s">
        <v>2136</v>
      </c>
      <c r="B1482" s="9" t="s">
        <v>1440</v>
      </c>
      <c r="C1482" s="9" t="s">
        <v>1441</v>
      </c>
      <c r="D1482" s="10">
        <v>0.51452000000000009</v>
      </c>
      <c r="E1482" s="10">
        <v>0.27400000000000002</v>
      </c>
      <c r="F1482" s="11">
        <v>0.28570999999999991</v>
      </c>
      <c r="G1482" s="12">
        <v>775.41</v>
      </c>
      <c r="H1482" s="12">
        <v>250</v>
      </c>
      <c r="I1482" s="12">
        <v>775.41</v>
      </c>
      <c r="J1482" s="58">
        <v>367.88</v>
      </c>
    </row>
    <row r="1483" spans="1:10" ht="17.25" customHeight="1" x14ac:dyDescent="0.25">
      <c r="A1483" s="8" t="s">
        <v>2137</v>
      </c>
      <c r="B1483" s="9" t="s">
        <v>1304</v>
      </c>
      <c r="C1483" s="9" t="s">
        <v>1305</v>
      </c>
      <c r="D1483" s="10">
        <v>6.4847400000000004</v>
      </c>
      <c r="E1483" s="10">
        <v>0.30000000000000004</v>
      </c>
      <c r="F1483" s="11">
        <v>0.28570999999999991</v>
      </c>
      <c r="G1483" s="12">
        <v>16878.68</v>
      </c>
      <c r="H1483" s="12">
        <v>3306.15</v>
      </c>
      <c r="I1483" s="12">
        <v>3506.15</v>
      </c>
      <c r="J1483" s="58">
        <v>190.23</v>
      </c>
    </row>
    <row r="1484" spans="1:10" ht="17.25" customHeight="1" x14ac:dyDescent="0.25">
      <c r="A1484" s="8" t="s">
        <v>2138</v>
      </c>
      <c r="B1484" s="9" t="s">
        <v>2349</v>
      </c>
      <c r="C1484" s="9" t="s">
        <v>1307</v>
      </c>
      <c r="D1484" s="10">
        <v>1.6078000000000001</v>
      </c>
      <c r="E1484" s="10">
        <v>0.30000000000000004</v>
      </c>
      <c r="F1484" s="11">
        <v>0.28570999999999991</v>
      </c>
      <c r="G1484" s="12">
        <v>656.6</v>
      </c>
      <c r="H1484" s="12">
        <v>315.14999999999998</v>
      </c>
      <c r="I1484" s="12">
        <v>359.15</v>
      </c>
      <c r="J1484" s="58">
        <v>254.23</v>
      </c>
    </row>
    <row r="1485" spans="1:10" ht="17.25" customHeight="1" x14ac:dyDescent="0.25">
      <c r="A1485" s="8" t="s">
        <v>2139</v>
      </c>
      <c r="B1485" s="9" t="s">
        <v>2349</v>
      </c>
      <c r="C1485" s="9" t="s">
        <v>1306</v>
      </c>
      <c r="D1485" s="10">
        <v>1.6270100000000003</v>
      </c>
      <c r="E1485" s="10">
        <v>0.30000000000000004</v>
      </c>
      <c r="F1485" s="11">
        <v>0.28570999999999991</v>
      </c>
      <c r="G1485" s="12">
        <v>656.6</v>
      </c>
      <c r="H1485" s="12">
        <v>329.15</v>
      </c>
      <c r="I1485" s="12">
        <v>366.15</v>
      </c>
      <c r="J1485" s="58">
        <v>254.23</v>
      </c>
    </row>
    <row r="1486" spans="1:10" ht="17.25" customHeight="1" x14ac:dyDescent="0.25">
      <c r="A1486" s="8" t="s">
        <v>2140</v>
      </c>
      <c r="B1486" s="9" t="s">
        <v>2350</v>
      </c>
      <c r="C1486" s="9" t="s">
        <v>1302</v>
      </c>
      <c r="D1486" s="10">
        <v>0.43532999999999999</v>
      </c>
      <c r="E1486" s="10">
        <v>0.28771999999999998</v>
      </c>
      <c r="F1486" s="11">
        <v>0.29239999999999999</v>
      </c>
      <c r="G1486" s="12">
        <v>154.58000000000001</v>
      </c>
      <c r="H1486" s="12">
        <v>54.35</v>
      </c>
      <c r="I1486" s="12">
        <v>154.58000000000001</v>
      </c>
      <c r="J1486" s="58">
        <v>32</v>
      </c>
    </row>
    <row r="1487" spans="1:10" ht="17.25" customHeight="1" x14ac:dyDescent="0.25">
      <c r="A1487" s="8" t="s">
        <v>2141</v>
      </c>
      <c r="B1487" s="9" t="s">
        <v>2351</v>
      </c>
      <c r="C1487" s="9" t="s">
        <v>1303</v>
      </c>
      <c r="D1487" s="10">
        <v>0.53964999999999996</v>
      </c>
      <c r="E1487" s="10">
        <v>0.29820000000000002</v>
      </c>
      <c r="F1487" s="11">
        <v>0.28800000000000003</v>
      </c>
      <c r="G1487" s="12">
        <v>261</v>
      </c>
      <c r="H1487" s="12">
        <v>80.150000000000006</v>
      </c>
      <c r="I1487" s="12">
        <v>261</v>
      </c>
      <c r="J1487" s="58">
        <v>48</v>
      </c>
    </row>
    <row r="1488" spans="1:10" ht="17.25" customHeight="1" x14ac:dyDescent="0.25">
      <c r="A1488" s="8" t="s">
        <v>2142</v>
      </c>
      <c r="B1488" s="9" t="s">
        <v>1336</v>
      </c>
      <c r="C1488" s="9" t="s">
        <v>1337</v>
      </c>
      <c r="D1488" s="10">
        <v>3.3159999999999998</v>
      </c>
      <c r="E1488" s="10">
        <v>0.30000000000000004</v>
      </c>
      <c r="F1488" s="11">
        <v>0.28570999999999991</v>
      </c>
      <c r="G1488" s="12">
        <v>10669.07</v>
      </c>
      <c r="H1488" s="12">
        <v>1828.05</v>
      </c>
      <c r="I1488" s="12">
        <v>2028.05</v>
      </c>
      <c r="J1488" s="58">
        <v>106.42</v>
      </c>
    </row>
    <row r="1489" spans="1:10" ht="17.25" customHeight="1" x14ac:dyDescent="0.25">
      <c r="A1489" s="15" t="s">
        <v>2143</v>
      </c>
      <c r="B1489" s="9" t="s">
        <v>1895</v>
      </c>
      <c r="C1489" s="9" t="s">
        <v>1896</v>
      </c>
      <c r="D1489" s="10">
        <v>0.22961999999999994</v>
      </c>
      <c r="E1489" s="10">
        <v>0.27998000000000012</v>
      </c>
      <c r="F1489" s="11">
        <v>0.28570999999999991</v>
      </c>
      <c r="G1489" s="12">
        <v>568.45000000000005</v>
      </c>
      <c r="H1489" s="12">
        <v>226.35</v>
      </c>
      <c r="I1489" s="12">
        <v>568.45000000000005</v>
      </c>
      <c r="J1489" s="58">
        <v>63.13</v>
      </c>
    </row>
    <row r="1490" spans="1:10" ht="17.25" customHeight="1" x14ac:dyDescent="0.25">
      <c r="A1490" s="8" t="s">
        <v>2144</v>
      </c>
      <c r="B1490" s="9" t="s">
        <v>2352</v>
      </c>
      <c r="C1490" s="9" t="s">
        <v>1945</v>
      </c>
      <c r="D1490" s="10">
        <v>0.63654000000000011</v>
      </c>
      <c r="E1490" s="10">
        <v>0.27200000000000002</v>
      </c>
      <c r="F1490" s="11">
        <v>0.29869999999999997</v>
      </c>
      <c r="G1490" s="12">
        <v>368.4</v>
      </c>
      <c r="H1490" s="12">
        <v>125.41</v>
      </c>
      <c r="I1490" s="12">
        <v>368.4</v>
      </c>
      <c r="J1490" s="58">
        <v>102.45</v>
      </c>
    </row>
    <row r="1491" spans="1:10" ht="17.25" customHeight="1" x14ac:dyDescent="0.25">
      <c r="A1491" s="8" t="s">
        <v>2145</v>
      </c>
      <c r="B1491" s="9" t="s">
        <v>1464</v>
      </c>
      <c r="C1491" s="9" t="s">
        <v>1465</v>
      </c>
      <c r="D1491" s="10">
        <v>0.51316000000000006</v>
      </c>
      <c r="E1491" s="10">
        <v>0.27119000000000004</v>
      </c>
      <c r="F1491" s="11">
        <v>0.27200999999999986</v>
      </c>
      <c r="G1491" s="12">
        <v>455</v>
      </c>
      <c r="H1491" s="12">
        <v>145.37</v>
      </c>
      <c r="I1491" s="12">
        <v>455</v>
      </c>
      <c r="J1491" s="58">
        <v>98.92</v>
      </c>
    </row>
    <row r="1492" spans="1:10" ht="17.25" customHeight="1" x14ac:dyDescent="0.25">
      <c r="A1492" s="8" t="s">
        <v>2146</v>
      </c>
      <c r="B1492" s="9" t="s">
        <v>1313</v>
      </c>
      <c r="C1492" s="9" t="s">
        <v>1314</v>
      </c>
      <c r="D1492" s="10">
        <v>0.30000000000000004</v>
      </c>
      <c r="E1492" s="10">
        <v>0.28917999999999999</v>
      </c>
      <c r="F1492" s="11">
        <v>0.36922999999999995</v>
      </c>
      <c r="G1492" s="12">
        <v>324.75</v>
      </c>
      <c r="H1492" s="12">
        <v>139.37</v>
      </c>
      <c r="I1492" s="12">
        <v>324.75</v>
      </c>
      <c r="J1492" s="58">
        <v>34</v>
      </c>
    </row>
    <row r="1493" spans="1:10" ht="17.25" customHeight="1" x14ac:dyDescent="0.25">
      <c r="A1493" s="8" t="s">
        <v>2147</v>
      </c>
      <c r="B1493" s="9" t="s">
        <v>1315</v>
      </c>
      <c r="C1493" s="9" t="s">
        <v>1316</v>
      </c>
      <c r="D1493" s="10">
        <v>1.0159700000000003</v>
      </c>
      <c r="E1493" s="10">
        <v>0.27400000000000002</v>
      </c>
      <c r="F1493" s="11">
        <v>0.28570999999999991</v>
      </c>
      <c r="G1493" s="12">
        <v>539.70000000000005</v>
      </c>
      <c r="H1493" s="12">
        <v>291.64999999999998</v>
      </c>
      <c r="I1493" s="12">
        <v>539.70000000000005</v>
      </c>
      <c r="J1493" s="58">
        <v>161.91</v>
      </c>
    </row>
    <row r="1494" spans="1:10" ht="17.25" customHeight="1" x14ac:dyDescent="0.25">
      <c r="A1494" s="8" t="s">
        <v>2148</v>
      </c>
      <c r="B1494" s="13" t="s">
        <v>2353</v>
      </c>
      <c r="C1494" s="9" t="s">
        <v>1308</v>
      </c>
      <c r="D1494" s="10">
        <v>1.0212000000000003</v>
      </c>
      <c r="E1494" s="10">
        <v>0.50058000000000002</v>
      </c>
      <c r="F1494" s="11">
        <v>0.66359999999999997</v>
      </c>
      <c r="G1494" s="12">
        <v>993.75</v>
      </c>
      <c r="H1494" s="12">
        <v>317.55</v>
      </c>
      <c r="I1494" s="12">
        <v>553.15</v>
      </c>
      <c r="J1494" s="58">
        <v>30.97</v>
      </c>
    </row>
    <row r="1495" spans="1:10" ht="17.25" customHeight="1" x14ac:dyDescent="0.25">
      <c r="A1495" s="8" t="s">
        <v>2149</v>
      </c>
      <c r="B1495" s="9" t="s">
        <v>1317</v>
      </c>
      <c r="C1495" s="9" t="s">
        <v>1318</v>
      </c>
      <c r="D1495" s="10">
        <v>0.7618100000000001</v>
      </c>
      <c r="E1495" s="10">
        <v>0.35085999999999995</v>
      </c>
      <c r="F1495" s="11">
        <v>0.42595000000000005</v>
      </c>
      <c r="G1495" s="12">
        <v>602.15</v>
      </c>
      <c r="H1495" s="12">
        <v>274.33</v>
      </c>
      <c r="I1495" s="12">
        <v>378.65</v>
      </c>
      <c r="J1495" s="58">
        <v>153.33000000000001</v>
      </c>
    </row>
    <row r="1496" spans="1:10" ht="17.25" customHeight="1" x14ac:dyDescent="0.25">
      <c r="A1496" s="8" t="s">
        <v>2150</v>
      </c>
      <c r="B1496" s="9" t="s">
        <v>1311</v>
      </c>
      <c r="C1496" s="9" t="s">
        <v>1312</v>
      </c>
      <c r="D1496" s="10">
        <v>1.3826200000000002</v>
      </c>
      <c r="E1496" s="10">
        <v>0.30000000000000004</v>
      </c>
      <c r="F1496" s="11">
        <v>0.28570999999999991</v>
      </c>
      <c r="G1496" s="12">
        <v>646.15</v>
      </c>
      <c r="H1496" s="12">
        <v>433.15</v>
      </c>
      <c r="I1496" s="12">
        <v>504.2</v>
      </c>
      <c r="J1496" s="58">
        <v>208.24</v>
      </c>
    </row>
    <row r="1497" spans="1:10" ht="17.25" customHeight="1" x14ac:dyDescent="0.25">
      <c r="A1497" s="8" t="s">
        <v>2151</v>
      </c>
      <c r="B1497" s="9" t="s">
        <v>1323</v>
      </c>
      <c r="C1497" s="9" t="s">
        <v>1324</v>
      </c>
      <c r="D1497" s="10">
        <v>0.63095999999999997</v>
      </c>
      <c r="E1497" s="10">
        <v>0.30000000000000004</v>
      </c>
      <c r="F1497" s="11">
        <v>0.28570999999999991</v>
      </c>
      <c r="G1497" s="12">
        <v>1291</v>
      </c>
      <c r="H1497" s="12">
        <v>596.15</v>
      </c>
      <c r="I1497" s="12">
        <v>1291</v>
      </c>
      <c r="J1497" s="58">
        <v>444.55</v>
      </c>
    </row>
    <row r="1498" spans="1:10" ht="17.25" customHeight="1" x14ac:dyDescent="0.25">
      <c r="A1498" s="8" t="s">
        <v>2152</v>
      </c>
      <c r="B1498" s="9" t="s">
        <v>1319</v>
      </c>
      <c r="C1498" s="9" t="s">
        <v>1320</v>
      </c>
      <c r="D1498" s="10">
        <v>0.94172999999999996</v>
      </c>
      <c r="E1498" s="10">
        <v>0.30000000000000004</v>
      </c>
      <c r="F1498" s="11">
        <v>0.28570999999999991</v>
      </c>
      <c r="G1498" s="12">
        <v>729.89</v>
      </c>
      <c r="H1498" s="12">
        <v>311.14999999999998</v>
      </c>
      <c r="I1498" s="12">
        <v>379.65</v>
      </c>
      <c r="J1498" s="58">
        <v>302.75</v>
      </c>
    </row>
    <row r="1499" spans="1:10" ht="17.25" customHeight="1" x14ac:dyDescent="0.25">
      <c r="A1499" s="8" t="s">
        <v>2153</v>
      </c>
      <c r="B1499" s="9" t="s">
        <v>1321</v>
      </c>
      <c r="C1499" s="9" t="s">
        <v>1322</v>
      </c>
      <c r="D1499" s="10">
        <v>0.55688000000000004</v>
      </c>
      <c r="E1499" s="10">
        <v>0.27400000000000002</v>
      </c>
      <c r="F1499" s="11">
        <v>0.28570999999999991</v>
      </c>
      <c r="G1499" s="12">
        <v>638.82000000000005</v>
      </c>
      <c r="H1499" s="12">
        <v>242.75</v>
      </c>
      <c r="I1499" s="12">
        <v>371.65</v>
      </c>
      <c r="J1499" s="58">
        <v>169.4</v>
      </c>
    </row>
    <row r="1500" spans="1:10" ht="17.25" customHeight="1" x14ac:dyDescent="0.25">
      <c r="A1500" s="8" t="s">
        <v>2154</v>
      </c>
      <c r="B1500" s="9" t="s">
        <v>1309</v>
      </c>
      <c r="C1500" s="9" t="s">
        <v>1310</v>
      </c>
      <c r="D1500" s="10">
        <v>0.52824999999999989</v>
      </c>
      <c r="E1500" s="10">
        <v>0.25680999999999998</v>
      </c>
      <c r="F1500" s="11">
        <v>0.29689999999999994</v>
      </c>
      <c r="G1500" s="12">
        <v>563.15</v>
      </c>
      <c r="H1500" s="12">
        <v>200</v>
      </c>
      <c r="I1500" s="12">
        <v>349.25</v>
      </c>
      <c r="J1500" s="58">
        <v>137.33000000000001</v>
      </c>
    </row>
    <row r="1501" spans="1:10" ht="17.25" customHeight="1" x14ac:dyDescent="0.25">
      <c r="A1501" s="8" t="s">
        <v>2155</v>
      </c>
      <c r="B1501" s="9" t="s">
        <v>1338</v>
      </c>
      <c r="C1501" s="9" t="s">
        <v>1339</v>
      </c>
      <c r="D1501" s="10">
        <v>2.7611500000000002</v>
      </c>
      <c r="E1501" s="10">
        <v>0.30000000000000004</v>
      </c>
      <c r="F1501" s="11">
        <v>0.28570999999999991</v>
      </c>
      <c r="G1501" s="12">
        <v>3013.08</v>
      </c>
      <c r="H1501" s="12">
        <v>527.15</v>
      </c>
      <c r="I1501" s="12">
        <v>727.15</v>
      </c>
      <c r="J1501" s="58">
        <v>209</v>
      </c>
    </row>
    <row r="1502" spans="1:10" ht="17.25" customHeight="1" x14ac:dyDescent="0.25">
      <c r="A1502" s="8" t="s">
        <v>2156</v>
      </c>
      <c r="B1502" s="9" t="s">
        <v>1219</v>
      </c>
      <c r="C1502" s="9" t="s">
        <v>1220</v>
      </c>
      <c r="D1502" s="10">
        <v>0.72724000000000011</v>
      </c>
      <c r="E1502" s="10">
        <v>0.30000000000000004</v>
      </c>
      <c r="F1502" s="11">
        <v>0.28570999999999991</v>
      </c>
      <c r="G1502" s="12">
        <v>2697.31</v>
      </c>
      <c r="H1502" s="12">
        <v>1003.15</v>
      </c>
      <c r="I1502" s="12">
        <v>1500</v>
      </c>
      <c r="J1502" s="58">
        <v>119</v>
      </c>
    </row>
    <row r="1503" spans="1:10" ht="17.25" customHeight="1" x14ac:dyDescent="0.25">
      <c r="A1503" s="8" t="s">
        <v>2157</v>
      </c>
      <c r="B1503" s="9" t="s">
        <v>2354</v>
      </c>
      <c r="C1503" s="9" t="s">
        <v>1221</v>
      </c>
      <c r="D1503" s="10">
        <v>9.5359999999999889E-2</v>
      </c>
      <c r="E1503" s="10">
        <v>4.278000000000004E-2</v>
      </c>
      <c r="F1503" s="11">
        <v>0.35519999999999996</v>
      </c>
      <c r="G1503" s="12">
        <v>3470</v>
      </c>
      <c r="H1503" s="12">
        <v>1044</v>
      </c>
      <c r="I1503" s="12">
        <v>3000</v>
      </c>
      <c r="J1503" s="58">
        <v>74.55</v>
      </c>
    </row>
    <row r="1504" spans="1:10" ht="17.25" customHeight="1" x14ac:dyDescent="0.25">
      <c r="A1504" s="8" t="s">
        <v>2158</v>
      </c>
      <c r="B1504" s="9" t="s">
        <v>1222</v>
      </c>
      <c r="C1504" s="9" t="s">
        <v>1223</v>
      </c>
      <c r="D1504" s="10">
        <v>0.66025</v>
      </c>
      <c r="E1504" s="10">
        <v>0.30000000000000004</v>
      </c>
      <c r="F1504" s="11">
        <v>0.28570999999999991</v>
      </c>
      <c r="G1504" s="12">
        <v>2891.12</v>
      </c>
      <c r="H1504" s="12">
        <v>1153.1500000000001</v>
      </c>
      <c r="I1504" s="12">
        <v>1500</v>
      </c>
      <c r="J1504" s="58">
        <v>58.1</v>
      </c>
    </row>
    <row r="1505" spans="1:10" ht="17.25" customHeight="1" x14ac:dyDescent="0.25">
      <c r="A1505" s="8" t="s">
        <v>2159</v>
      </c>
      <c r="B1505" s="9" t="s">
        <v>1225</v>
      </c>
      <c r="C1505" s="9" t="s">
        <v>1226</v>
      </c>
      <c r="D1505" s="10">
        <v>0.30810000000000004</v>
      </c>
      <c r="E1505" s="10">
        <v>0.15399999999999991</v>
      </c>
      <c r="F1505" s="11">
        <v>0.28570999999999991</v>
      </c>
      <c r="G1505" s="12">
        <v>2605.86</v>
      </c>
      <c r="H1505" s="12">
        <v>679</v>
      </c>
      <c r="I1505" s="12">
        <v>1500</v>
      </c>
      <c r="J1505" s="58">
        <v>56.11</v>
      </c>
    </row>
    <row r="1506" spans="1:10" ht="17.25" customHeight="1" x14ac:dyDescent="0.25">
      <c r="A1506" s="8" t="s">
        <v>2160</v>
      </c>
      <c r="B1506" s="9" t="s">
        <v>2355</v>
      </c>
      <c r="C1506" s="9" t="s">
        <v>1224</v>
      </c>
      <c r="D1506" s="10">
        <v>0.82665999999999995</v>
      </c>
      <c r="E1506" s="10">
        <v>0.30000000000000004</v>
      </c>
      <c r="F1506" s="11">
        <v>0.28570999999999991</v>
      </c>
      <c r="G1506" s="12">
        <v>2601.2199999999998</v>
      </c>
      <c r="H1506" s="12">
        <v>996.15</v>
      </c>
      <c r="I1506" s="12">
        <v>1500</v>
      </c>
      <c r="J1506" s="58">
        <v>166</v>
      </c>
    </row>
    <row r="1507" spans="1:10" ht="17.25" customHeight="1" x14ac:dyDescent="0.25">
      <c r="A1507" s="8" t="s">
        <v>2161</v>
      </c>
      <c r="B1507" s="9" t="s">
        <v>1340</v>
      </c>
      <c r="C1507" s="9" t="s">
        <v>1341</v>
      </c>
      <c r="D1507" s="10">
        <v>1.4914499999999999</v>
      </c>
      <c r="E1507" s="10">
        <v>0.30000000000000004</v>
      </c>
      <c r="F1507" s="11">
        <v>0.28570999999999991</v>
      </c>
      <c r="G1507" s="12">
        <v>4862.82</v>
      </c>
      <c r="H1507" s="12">
        <v>973.15</v>
      </c>
      <c r="I1507" s="12">
        <v>1173.1500000000001</v>
      </c>
      <c r="J1507" s="58">
        <v>226</v>
      </c>
    </row>
    <row r="1508" spans="1:10" ht="17.25" customHeight="1" x14ac:dyDescent="0.25">
      <c r="A1508" s="8" t="s">
        <v>2162</v>
      </c>
      <c r="B1508" s="9" t="s">
        <v>1348</v>
      </c>
      <c r="C1508" s="9" t="s">
        <v>1349</v>
      </c>
      <c r="D1508" s="10">
        <v>2.1043500000000002</v>
      </c>
      <c r="E1508" s="10">
        <v>0.30000000000000004</v>
      </c>
      <c r="F1508" s="11">
        <v>0.28570999999999991</v>
      </c>
      <c r="G1508" s="12">
        <v>1035.0999999999999</v>
      </c>
      <c r="H1508" s="12">
        <v>569.15</v>
      </c>
      <c r="I1508" s="12">
        <v>602.35</v>
      </c>
      <c r="J1508" s="58">
        <v>484.41</v>
      </c>
    </row>
    <row r="1509" spans="1:10" ht="17.25" customHeight="1" x14ac:dyDescent="0.25">
      <c r="A1509" s="8" t="s">
        <v>2163</v>
      </c>
      <c r="B1509" s="9" t="s">
        <v>1350</v>
      </c>
      <c r="C1509" s="9" t="s">
        <v>1351</v>
      </c>
      <c r="D1509" s="10">
        <v>3.4052500000000006</v>
      </c>
      <c r="E1509" s="10">
        <v>0.30000000000000004</v>
      </c>
      <c r="F1509" s="11">
        <v>0.28570999999999991</v>
      </c>
      <c r="G1509" s="12">
        <v>12906.61</v>
      </c>
      <c r="H1509" s="12">
        <v>2237.15</v>
      </c>
      <c r="I1509" s="12">
        <v>2437.15</v>
      </c>
      <c r="J1509" s="58">
        <v>102.91</v>
      </c>
    </row>
    <row r="1510" spans="1:10" ht="17.25" customHeight="1" x14ac:dyDescent="0.25">
      <c r="A1510" s="8" t="s">
        <v>2164</v>
      </c>
      <c r="B1510" s="9" t="s">
        <v>1342</v>
      </c>
      <c r="C1510" s="9" t="s">
        <v>1343</v>
      </c>
      <c r="D1510" s="10">
        <v>0.20818000000000003</v>
      </c>
      <c r="E1510" s="10">
        <v>9.8470000000000057E-2</v>
      </c>
      <c r="F1510" s="11">
        <v>0.28570999999999991</v>
      </c>
      <c r="G1510" s="12">
        <v>2111.1</v>
      </c>
      <c r="H1510" s="12">
        <v>312.45999999999998</v>
      </c>
      <c r="I1510" s="12">
        <v>2030</v>
      </c>
      <c r="J1510" s="58">
        <v>85.47</v>
      </c>
    </row>
    <row r="1511" spans="1:10" ht="17.25" customHeight="1" x14ac:dyDescent="0.25">
      <c r="A1511" s="8" t="s">
        <v>2165</v>
      </c>
      <c r="B1511" s="9" t="s">
        <v>1344</v>
      </c>
      <c r="C1511" s="9" t="s">
        <v>1345</v>
      </c>
      <c r="D1511" s="10">
        <v>0.91773000000000016</v>
      </c>
      <c r="E1511" s="10">
        <v>0.30000000000000004</v>
      </c>
      <c r="F1511" s="11">
        <v>0.28570999999999991</v>
      </c>
      <c r="G1511" s="12">
        <v>2646.82</v>
      </c>
      <c r="H1511" s="12">
        <v>955.15</v>
      </c>
      <c r="I1511" s="12">
        <v>1800</v>
      </c>
      <c r="J1511" s="58">
        <v>165.37</v>
      </c>
    </row>
    <row r="1512" spans="1:10" ht="17.25" customHeight="1" x14ac:dyDescent="0.25">
      <c r="A1512" s="8" t="s">
        <v>2166</v>
      </c>
      <c r="B1512" s="9" t="s">
        <v>2356</v>
      </c>
      <c r="C1512" s="9" t="s">
        <v>1346</v>
      </c>
      <c r="D1512" s="10">
        <v>0.76254</v>
      </c>
      <c r="E1512" s="10">
        <v>0.30000000000000004</v>
      </c>
      <c r="F1512" s="11">
        <v>0.28570999999999991</v>
      </c>
      <c r="G1512" s="12">
        <v>2694.06</v>
      </c>
      <c r="H1512" s="12">
        <v>988.15</v>
      </c>
      <c r="I1512" s="12">
        <v>1800</v>
      </c>
      <c r="J1512" s="58">
        <v>120.92</v>
      </c>
    </row>
    <row r="1513" spans="1:10" ht="17.25" customHeight="1" x14ac:dyDescent="0.25">
      <c r="A1513" s="8" t="s">
        <v>2167</v>
      </c>
      <c r="B1513" s="9" t="s">
        <v>2357</v>
      </c>
      <c r="C1513" s="9" t="s">
        <v>1347</v>
      </c>
      <c r="D1513" s="10">
        <v>0.97768999999999995</v>
      </c>
      <c r="E1513" s="10">
        <v>0.30000000000000004</v>
      </c>
      <c r="F1513" s="11">
        <v>0.28570999999999991</v>
      </c>
      <c r="G1513" s="12">
        <v>2568.65</v>
      </c>
      <c r="H1513" s="12">
        <v>915.15</v>
      </c>
      <c r="I1513" s="12">
        <v>1800</v>
      </c>
      <c r="J1513" s="58">
        <v>212.37</v>
      </c>
    </row>
    <row r="1514" spans="1:10" ht="17.25" customHeight="1" x14ac:dyDescent="0.25">
      <c r="A1514" s="8" t="s">
        <v>2168</v>
      </c>
      <c r="B1514" s="9" t="s">
        <v>1352</v>
      </c>
      <c r="C1514" s="9" t="s">
        <v>1353</v>
      </c>
      <c r="D1514" s="10">
        <v>3.4819800000000001</v>
      </c>
      <c r="E1514" s="10">
        <v>0.30000000000000004</v>
      </c>
      <c r="F1514" s="11">
        <v>0.28570999999999991</v>
      </c>
      <c r="G1514" s="12">
        <v>15247.14</v>
      </c>
      <c r="H1514" s="12">
        <v>2607.15</v>
      </c>
      <c r="I1514" s="12">
        <v>2807.15</v>
      </c>
      <c r="J1514" s="58">
        <v>101.07</v>
      </c>
    </row>
    <row r="1515" spans="1:10" ht="17.25" customHeight="1" x14ac:dyDescent="0.25">
      <c r="A1515" s="8" t="s">
        <v>2169</v>
      </c>
      <c r="B1515" s="9" t="s">
        <v>1354</v>
      </c>
      <c r="C1515" s="9" t="s">
        <v>1355</v>
      </c>
      <c r="D1515" s="10">
        <v>0.90812999999999988</v>
      </c>
      <c r="E1515" s="10">
        <v>0.30000000000000004</v>
      </c>
      <c r="F1515" s="11">
        <v>0.28570999999999991</v>
      </c>
      <c r="G1515" s="12">
        <v>977.44</v>
      </c>
      <c r="H1515" s="12">
        <v>359.65</v>
      </c>
      <c r="I1515" s="12">
        <v>559.65</v>
      </c>
      <c r="J1515" s="58">
        <v>196.06</v>
      </c>
    </row>
    <row r="1516" spans="1:10" ht="17.25" customHeight="1" x14ac:dyDescent="0.25">
      <c r="A1516" s="8" t="s">
        <v>2170</v>
      </c>
      <c r="B1516" s="9" t="s">
        <v>1446</v>
      </c>
      <c r="C1516" s="9" t="s">
        <v>1447</v>
      </c>
      <c r="D1516" s="10">
        <v>2.3041200000000002</v>
      </c>
      <c r="E1516" s="10">
        <v>0.30000000000000004</v>
      </c>
      <c r="F1516" s="11">
        <v>0.28570999999999991</v>
      </c>
      <c r="G1516" s="12">
        <v>5082.92</v>
      </c>
      <c r="H1516" s="12">
        <v>1345.15</v>
      </c>
      <c r="I1516" s="12">
        <v>1545.15</v>
      </c>
      <c r="J1516" s="58">
        <v>150.36000000000001</v>
      </c>
    </row>
    <row r="1517" spans="1:10" ht="17.25" customHeight="1" x14ac:dyDescent="0.25">
      <c r="A1517" s="8" t="s">
        <v>2171</v>
      </c>
      <c r="B1517" s="9" t="s">
        <v>1383</v>
      </c>
      <c r="C1517" s="9" t="s">
        <v>1384</v>
      </c>
      <c r="D1517" s="10">
        <v>0.90098000000000011</v>
      </c>
      <c r="E1517" s="10">
        <v>0.30000000000000004</v>
      </c>
      <c r="F1517" s="11">
        <v>0.28570999999999991</v>
      </c>
      <c r="G1517" s="12">
        <v>8035.08</v>
      </c>
      <c r="H1517" s="12">
        <v>1814.15</v>
      </c>
      <c r="I1517" s="12">
        <v>2014.15</v>
      </c>
      <c r="J1517" s="58">
        <v>44.96</v>
      </c>
    </row>
    <row r="1518" spans="1:10" ht="17.25" customHeight="1" x14ac:dyDescent="0.25">
      <c r="A1518" s="8" t="s">
        <v>2172</v>
      </c>
      <c r="B1518" s="9" t="s">
        <v>1385</v>
      </c>
      <c r="C1518" s="9" t="s">
        <v>1386</v>
      </c>
      <c r="D1518" s="10">
        <v>0.75696999999999992</v>
      </c>
      <c r="E1518" s="10">
        <v>0.16124000000000005</v>
      </c>
      <c r="F1518" s="11">
        <v>0.28570999999999991</v>
      </c>
      <c r="G1518" s="12">
        <v>1766</v>
      </c>
      <c r="H1518" s="12">
        <v>494.15</v>
      </c>
      <c r="I1518" s="12">
        <v>694.15</v>
      </c>
      <c r="J1518" s="58">
        <v>78.959999999999994</v>
      </c>
    </row>
    <row r="1519" spans="1:10" ht="17.25" customHeight="1" x14ac:dyDescent="0.25">
      <c r="A1519" s="8" t="s">
        <v>2173</v>
      </c>
      <c r="B1519" s="9" t="s">
        <v>1391</v>
      </c>
      <c r="C1519" s="9" t="s">
        <v>1392</v>
      </c>
      <c r="D1519" s="10">
        <v>1.3358499999999998</v>
      </c>
      <c r="E1519" s="10">
        <v>0.30000000000000004</v>
      </c>
      <c r="F1519" s="11">
        <v>0.28570999999999991</v>
      </c>
      <c r="G1519" s="12">
        <v>961.16</v>
      </c>
      <c r="H1519" s="12">
        <v>613.15</v>
      </c>
      <c r="I1519" s="12">
        <v>736.82</v>
      </c>
      <c r="J1519" s="58">
        <v>110.96</v>
      </c>
    </row>
    <row r="1520" spans="1:10" ht="17.25" customHeight="1" x14ac:dyDescent="0.25">
      <c r="A1520" s="8" t="s">
        <v>2174</v>
      </c>
      <c r="B1520" s="9" t="s">
        <v>1389</v>
      </c>
      <c r="C1520" s="9" t="s">
        <v>1390</v>
      </c>
      <c r="D1520" s="10">
        <v>0.85211000000000015</v>
      </c>
      <c r="E1520" s="10">
        <v>0.27400000000000002</v>
      </c>
      <c r="F1520" s="11">
        <v>0.28570999999999991</v>
      </c>
      <c r="G1520" s="12">
        <v>368.8</v>
      </c>
      <c r="H1520" s="12">
        <v>238.45</v>
      </c>
      <c r="I1520" s="12">
        <v>368.8</v>
      </c>
      <c r="J1520" s="58">
        <v>192.95</v>
      </c>
    </row>
    <row r="1521" spans="1:10" ht="17.25" customHeight="1" x14ac:dyDescent="0.25">
      <c r="A1521" s="8" t="s">
        <v>2175</v>
      </c>
      <c r="B1521" s="9" t="s">
        <v>1387</v>
      </c>
      <c r="C1521" s="9" t="s">
        <v>1388</v>
      </c>
      <c r="D1521" s="10">
        <v>0.7660499999999999</v>
      </c>
      <c r="E1521" s="10">
        <v>0.27400000000000002</v>
      </c>
      <c r="F1521" s="11">
        <v>0.28570999999999991</v>
      </c>
      <c r="G1521" s="12">
        <v>743.95</v>
      </c>
      <c r="H1521" s="12">
        <v>400</v>
      </c>
      <c r="I1521" s="12">
        <v>600</v>
      </c>
      <c r="J1521" s="58">
        <v>220.77</v>
      </c>
    </row>
    <row r="1522" spans="1:10" ht="17.25" customHeight="1" x14ac:dyDescent="0.25">
      <c r="A1522" s="8" t="s">
        <v>2176</v>
      </c>
      <c r="B1522" s="9" t="s">
        <v>1423</v>
      </c>
      <c r="C1522" s="9" t="s">
        <v>1424</v>
      </c>
      <c r="D1522" s="10">
        <v>0.24204999999999988</v>
      </c>
      <c r="E1522" s="10">
        <v>0.28405000000000014</v>
      </c>
      <c r="F1522" s="11">
        <v>0.39578000000000002</v>
      </c>
      <c r="G1522" s="12">
        <v>269.7</v>
      </c>
      <c r="H1522" s="12">
        <v>88.48</v>
      </c>
      <c r="I1522" s="12">
        <v>269.7</v>
      </c>
      <c r="J1522" s="58">
        <v>32.119999999999997</v>
      </c>
    </row>
    <row r="1523" spans="1:10" ht="17.25" customHeight="1" x14ac:dyDescent="0.25">
      <c r="A1523" s="8" t="s">
        <v>2177</v>
      </c>
      <c r="B1523" s="9" t="s">
        <v>1393</v>
      </c>
      <c r="C1523" s="9" t="s">
        <v>1394</v>
      </c>
      <c r="D1523" s="10">
        <v>0.8402099999999999</v>
      </c>
      <c r="E1523" s="10">
        <v>0.29171999999999998</v>
      </c>
      <c r="F1523" s="11">
        <v>0.28570999999999991</v>
      </c>
      <c r="G1523" s="12">
        <v>5159</v>
      </c>
      <c r="H1523" s="12">
        <v>1685</v>
      </c>
      <c r="I1523" s="12">
        <v>1885</v>
      </c>
      <c r="J1523" s="58">
        <v>28.09</v>
      </c>
    </row>
    <row r="1524" spans="1:10" ht="17.25" customHeight="1" x14ac:dyDescent="0.25">
      <c r="A1524" s="8" t="s">
        <v>2178</v>
      </c>
      <c r="B1524" s="9" t="s">
        <v>1425</v>
      </c>
      <c r="C1524" s="9" t="s">
        <v>1426</v>
      </c>
      <c r="D1524" s="10">
        <v>0.33536999999999995</v>
      </c>
      <c r="E1524" s="10">
        <v>0.10000000000000009</v>
      </c>
      <c r="F1524" s="11">
        <v>0.28570999999999991</v>
      </c>
      <c r="G1524" s="12">
        <v>4076.87</v>
      </c>
      <c r="H1524" s="12">
        <v>2000</v>
      </c>
      <c r="I1524" s="12">
        <v>2200</v>
      </c>
      <c r="J1524" s="58">
        <v>60.08</v>
      </c>
    </row>
    <row r="1525" spans="1:10" ht="17.25" customHeight="1" x14ac:dyDescent="0.25">
      <c r="A1525" s="8" t="s">
        <v>2179</v>
      </c>
      <c r="B1525" s="9" t="s">
        <v>1405</v>
      </c>
      <c r="C1525" s="9" t="s">
        <v>1406</v>
      </c>
      <c r="D1525" s="10">
        <v>0.67478000000000016</v>
      </c>
      <c r="E1525" s="10">
        <v>0.28495000000000004</v>
      </c>
      <c r="F1525" s="11">
        <v>0.28570999999999991</v>
      </c>
      <c r="G1525" s="12">
        <v>259</v>
      </c>
      <c r="H1525" s="12">
        <v>186.35</v>
      </c>
      <c r="I1525" s="12">
        <v>259</v>
      </c>
      <c r="J1525" s="58">
        <v>104.08</v>
      </c>
    </row>
    <row r="1526" spans="1:10" ht="17.25" customHeight="1" x14ac:dyDescent="0.25">
      <c r="A1526" s="8" t="s">
        <v>2180</v>
      </c>
      <c r="B1526" s="9" t="s">
        <v>1854</v>
      </c>
      <c r="C1526" s="9" t="s">
        <v>1855</v>
      </c>
      <c r="D1526" s="10">
        <v>0.31818999999999997</v>
      </c>
      <c r="E1526" s="10">
        <v>3.0980000000000008E-2</v>
      </c>
      <c r="F1526" s="11">
        <v>0.13647999999999993</v>
      </c>
      <c r="G1526" s="12">
        <v>6410</v>
      </c>
      <c r="H1526" s="12">
        <v>1234</v>
      </c>
      <c r="I1526" s="12">
        <v>6410</v>
      </c>
      <c r="J1526" s="58">
        <v>107.87</v>
      </c>
    </row>
    <row r="1527" spans="1:10" ht="17.25" customHeight="1" x14ac:dyDescent="0.25">
      <c r="A1527" s="8" t="s">
        <v>2181</v>
      </c>
      <c r="B1527" s="9" t="s">
        <v>2358</v>
      </c>
      <c r="C1527" s="9" t="s">
        <v>1856</v>
      </c>
      <c r="D1527" s="10">
        <v>1.86077</v>
      </c>
      <c r="E1527" s="10">
        <v>0.30000000000000004</v>
      </c>
      <c r="F1527" s="11">
        <v>0.28570999999999991</v>
      </c>
      <c r="G1527" s="12">
        <v>2897.64</v>
      </c>
      <c r="H1527" s="12">
        <v>825.15</v>
      </c>
      <c r="I1527" s="12">
        <v>1025.1500000000001</v>
      </c>
      <c r="J1527" s="58">
        <v>234.77</v>
      </c>
    </row>
    <row r="1528" spans="1:10" ht="17.25" customHeight="1" x14ac:dyDescent="0.25">
      <c r="A1528" s="8" t="s">
        <v>2182</v>
      </c>
      <c r="B1528" s="9" t="s">
        <v>1280</v>
      </c>
      <c r="C1528" s="9" t="s">
        <v>1281</v>
      </c>
      <c r="D1528" s="10">
        <v>0.10895999999999995</v>
      </c>
      <c r="E1528" s="10">
        <v>0.10221999999999998</v>
      </c>
      <c r="F1528" s="11">
        <v>0.28570999999999991</v>
      </c>
      <c r="G1528" s="12">
        <v>2573</v>
      </c>
      <c r="H1528" s="12">
        <v>370.98</v>
      </c>
      <c r="I1528" s="12">
        <v>2500</v>
      </c>
      <c r="J1528" s="58">
        <v>22.99</v>
      </c>
    </row>
    <row r="1529" spans="1:10" ht="17.25" customHeight="1" x14ac:dyDescent="0.25">
      <c r="A1529" s="8" t="s">
        <v>2183</v>
      </c>
      <c r="B1529" s="9" t="s">
        <v>1282</v>
      </c>
      <c r="C1529" s="9" t="s">
        <v>1283</v>
      </c>
      <c r="D1529" s="10">
        <v>0.25856000000000012</v>
      </c>
      <c r="E1529" s="10">
        <v>7.8500000000000014E-2</v>
      </c>
      <c r="F1529" s="11">
        <v>0.52910999999999997</v>
      </c>
      <c r="G1529" s="12">
        <v>4287</v>
      </c>
      <c r="H1529" s="12">
        <v>1020</v>
      </c>
      <c r="I1529" s="12">
        <v>2500</v>
      </c>
      <c r="J1529" s="58">
        <v>102.89</v>
      </c>
    </row>
    <row r="1530" spans="1:10" ht="17.25" customHeight="1" x14ac:dyDescent="0.25">
      <c r="A1530" s="8" t="s">
        <v>2184</v>
      </c>
      <c r="B1530" s="9" t="s">
        <v>1284</v>
      </c>
      <c r="C1530" s="9" t="s">
        <v>1285</v>
      </c>
      <c r="D1530" s="10">
        <v>0.17117000000000004</v>
      </c>
      <c r="E1530" s="10">
        <v>0.1100000000000001</v>
      </c>
      <c r="F1530" s="11">
        <v>0.28570999999999991</v>
      </c>
      <c r="G1530" s="12">
        <v>2900</v>
      </c>
      <c r="H1530" s="12">
        <v>973.15</v>
      </c>
      <c r="I1530" s="12">
        <v>1173.1500000000001</v>
      </c>
      <c r="J1530" s="58">
        <v>49.01</v>
      </c>
    </row>
    <row r="1531" spans="1:10" ht="17.25" customHeight="1" x14ac:dyDescent="0.25">
      <c r="A1531" s="8" t="s">
        <v>2185</v>
      </c>
      <c r="B1531" s="9" t="s">
        <v>1286</v>
      </c>
      <c r="C1531" s="9" t="s">
        <v>1287</v>
      </c>
      <c r="D1531" s="10">
        <v>0.22682000000000002</v>
      </c>
      <c r="E1531" s="10">
        <v>7.7970000000000095E-2</v>
      </c>
      <c r="F1531" s="11">
        <v>0.65700000000000003</v>
      </c>
      <c r="G1531" s="12">
        <v>5530</v>
      </c>
      <c r="H1531" s="12">
        <v>1269</v>
      </c>
      <c r="I1531" s="12">
        <v>2500</v>
      </c>
      <c r="J1531" s="58">
        <v>41.99</v>
      </c>
    </row>
    <row r="1532" spans="1:10" ht="17.25" customHeight="1" x14ac:dyDescent="0.25">
      <c r="A1532" s="8" t="s">
        <v>2186</v>
      </c>
      <c r="B1532" s="9" t="s">
        <v>1289</v>
      </c>
      <c r="C1532" s="9" t="s">
        <v>1290</v>
      </c>
      <c r="D1532" s="10">
        <v>0.19975000000000009</v>
      </c>
      <c r="E1532" s="10">
        <v>9.7930000000000073E-2</v>
      </c>
      <c r="F1532" s="11">
        <v>0.25381999999999993</v>
      </c>
      <c r="G1532" s="12">
        <v>2820</v>
      </c>
      <c r="H1532" s="12">
        <v>596</v>
      </c>
      <c r="I1532" s="12">
        <v>2000</v>
      </c>
      <c r="J1532" s="58">
        <v>40</v>
      </c>
    </row>
    <row r="1533" spans="1:10" ht="17.25" customHeight="1" x14ac:dyDescent="0.25">
      <c r="A1533" s="8" t="s">
        <v>2187</v>
      </c>
      <c r="B1533" s="9" t="s">
        <v>2359</v>
      </c>
      <c r="C1533" s="9" t="s">
        <v>1288</v>
      </c>
      <c r="D1533" s="10">
        <v>0.93198000000000003</v>
      </c>
      <c r="E1533" s="10">
        <v>0.30000000000000004</v>
      </c>
      <c r="F1533" s="11">
        <v>0.28570999999999991</v>
      </c>
      <c r="G1533" s="12">
        <v>2568.65</v>
      </c>
      <c r="H1533" s="12">
        <v>924.15</v>
      </c>
      <c r="I1533" s="12">
        <v>1600</v>
      </c>
      <c r="J1533" s="58">
        <v>149.88999999999999</v>
      </c>
    </row>
    <row r="1534" spans="1:10" ht="17.25" customHeight="1" x14ac:dyDescent="0.25">
      <c r="A1534" s="8" t="s">
        <v>2188</v>
      </c>
      <c r="B1534" s="9" t="s">
        <v>2360</v>
      </c>
      <c r="C1534" s="9" t="s">
        <v>1291</v>
      </c>
      <c r="D1534" s="10">
        <v>0.26140999999999992</v>
      </c>
      <c r="E1534" s="10">
        <v>0.10000000000000009</v>
      </c>
      <c r="F1534" s="11">
        <v>0.28570999999999991</v>
      </c>
      <c r="G1534" s="12">
        <v>3700</v>
      </c>
      <c r="H1534" s="12">
        <v>1157</v>
      </c>
      <c r="I1534" s="12">
        <v>2000</v>
      </c>
      <c r="J1534" s="58">
        <v>142.04</v>
      </c>
    </row>
    <row r="1535" spans="1:10" ht="17.25" customHeight="1" x14ac:dyDescent="0.25">
      <c r="A1535" s="8" t="s">
        <v>2189</v>
      </c>
      <c r="B1535" s="9" t="s">
        <v>1450</v>
      </c>
      <c r="C1535" s="9" t="s">
        <v>1451</v>
      </c>
      <c r="D1535" s="10">
        <v>1.0927600000000002</v>
      </c>
      <c r="E1535" s="10">
        <v>0.27400000000000002</v>
      </c>
      <c r="F1535" s="11">
        <v>0.28570999999999991</v>
      </c>
      <c r="G1535" s="12">
        <v>764.82</v>
      </c>
      <c r="H1535" s="12">
        <v>304.14999999999998</v>
      </c>
      <c r="I1535" s="12">
        <v>391</v>
      </c>
      <c r="J1535" s="58">
        <v>438.33</v>
      </c>
    </row>
    <row r="1536" spans="1:10" ht="17.25" customHeight="1" x14ac:dyDescent="0.25">
      <c r="A1536" s="8" t="s">
        <v>2190</v>
      </c>
      <c r="B1536" s="9" t="s">
        <v>1379</v>
      </c>
      <c r="C1536" s="9" t="s">
        <v>1380</v>
      </c>
      <c r="D1536" s="10">
        <v>0.90538000000000007</v>
      </c>
      <c r="E1536" s="10">
        <v>0.31372</v>
      </c>
      <c r="F1536" s="11">
        <v>0.28570999999999991</v>
      </c>
      <c r="G1536" s="12">
        <v>440.35</v>
      </c>
      <c r="H1536" s="12">
        <v>185.15</v>
      </c>
      <c r="I1536" s="12">
        <v>440.35</v>
      </c>
      <c r="J1536" s="58">
        <v>124.78</v>
      </c>
    </row>
    <row r="1537" spans="1:10" ht="17.25" customHeight="1" x14ac:dyDescent="0.25">
      <c r="A1537" s="8" t="s">
        <v>2191</v>
      </c>
      <c r="B1537" s="9" t="s">
        <v>2361</v>
      </c>
      <c r="C1537" s="9" t="s">
        <v>1356</v>
      </c>
      <c r="D1537" s="10">
        <v>0.20467999999999997</v>
      </c>
      <c r="E1537" s="10">
        <v>0.10440000000000005</v>
      </c>
      <c r="F1537" s="11">
        <v>0.1140000000000001</v>
      </c>
      <c r="G1537" s="12">
        <v>1313</v>
      </c>
      <c r="H1537" s="12">
        <v>388.36</v>
      </c>
      <c r="I1537" s="12">
        <v>1313</v>
      </c>
      <c r="J1537" s="58">
        <v>32.07</v>
      </c>
    </row>
    <row r="1538" spans="1:10" ht="17.25" customHeight="1" x14ac:dyDescent="0.25">
      <c r="A1538" s="8" t="s">
        <v>2192</v>
      </c>
      <c r="B1538" s="9" t="s">
        <v>1367</v>
      </c>
      <c r="C1538" s="9" t="s">
        <v>1368</v>
      </c>
      <c r="D1538" s="10">
        <v>0.51726000000000005</v>
      </c>
      <c r="E1538" s="10">
        <v>0.25513999999999992</v>
      </c>
      <c r="F1538" s="11">
        <v>0.28929999999999989</v>
      </c>
      <c r="G1538" s="12">
        <v>430.75</v>
      </c>
      <c r="H1538" s="12">
        <v>197.67</v>
      </c>
      <c r="I1538" s="12">
        <v>430.75</v>
      </c>
      <c r="J1538" s="58">
        <v>64.06</v>
      </c>
    </row>
    <row r="1539" spans="1:10" ht="17.25" customHeight="1" x14ac:dyDescent="0.25">
      <c r="A1539" s="8" t="s">
        <v>2193</v>
      </c>
      <c r="B1539" s="9" t="s">
        <v>1359</v>
      </c>
      <c r="C1539" s="9" t="s">
        <v>1360</v>
      </c>
      <c r="D1539" s="10">
        <v>0.73472000000000004</v>
      </c>
      <c r="E1539" s="10">
        <v>0.27010000000000001</v>
      </c>
      <c r="F1539" s="11">
        <v>0.29210000000000003</v>
      </c>
      <c r="G1539" s="12">
        <v>318.69</v>
      </c>
      <c r="H1539" s="12">
        <v>223.15</v>
      </c>
      <c r="I1539" s="12">
        <v>318.69</v>
      </c>
      <c r="J1539" s="58">
        <v>146.06</v>
      </c>
    </row>
    <row r="1540" spans="1:10" ht="17.25" customHeight="1" x14ac:dyDescent="0.25">
      <c r="A1540" s="8" t="s">
        <v>2194</v>
      </c>
      <c r="B1540" s="9" t="s">
        <v>1357</v>
      </c>
      <c r="C1540" s="9" t="s">
        <v>1358</v>
      </c>
      <c r="D1540" s="10">
        <v>0.68957000000000002</v>
      </c>
      <c r="E1540" s="10">
        <v>0.27400000000000002</v>
      </c>
      <c r="F1540" s="11">
        <v>0.28570999999999991</v>
      </c>
      <c r="G1540" s="12">
        <v>364</v>
      </c>
      <c r="H1540" s="12">
        <v>149.15</v>
      </c>
      <c r="I1540" s="12">
        <v>364</v>
      </c>
      <c r="J1540" s="58">
        <v>108.06</v>
      </c>
    </row>
    <row r="1541" spans="1:10" ht="17.25" customHeight="1" x14ac:dyDescent="0.25">
      <c r="A1541" s="8" t="s">
        <v>2195</v>
      </c>
      <c r="B1541" s="9" t="s">
        <v>1371</v>
      </c>
      <c r="C1541" s="9" t="s">
        <v>1372</v>
      </c>
      <c r="D1541" s="10">
        <v>0.63003000000000009</v>
      </c>
      <c r="E1541" s="10">
        <v>0.19602000000000008</v>
      </c>
      <c r="F1541" s="11">
        <v>0.41786999999999996</v>
      </c>
      <c r="G1541" s="12">
        <v>490.85</v>
      </c>
      <c r="H1541" s="12">
        <v>289.95</v>
      </c>
      <c r="I1541" s="12">
        <v>490.85</v>
      </c>
      <c r="J1541" s="58">
        <v>80.06</v>
      </c>
    </row>
    <row r="1542" spans="1:10" ht="17.25" customHeight="1" x14ac:dyDescent="0.25">
      <c r="A1542" s="8" t="s">
        <v>2196</v>
      </c>
      <c r="B1542" s="9" t="s">
        <v>2362</v>
      </c>
      <c r="C1542" s="9" t="s">
        <v>1197</v>
      </c>
      <c r="D1542" s="10">
        <v>0.4216899999999999</v>
      </c>
      <c r="E1542" s="10">
        <v>0.19355999999999995</v>
      </c>
      <c r="F1542" s="11">
        <v>0.28570000000000007</v>
      </c>
      <c r="G1542" s="12">
        <v>925</v>
      </c>
      <c r="H1542" s="12">
        <v>283.45999999999998</v>
      </c>
      <c r="I1542" s="12">
        <v>363.49</v>
      </c>
      <c r="J1542" s="58">
        <v>98.08</v>
      </c>
    </row>
    <row r="1543" spans="1:10" ht="17.25" customHeight="1" x14ac:dyDescent="0.25">
      <c r="A1543" s="8" t="s">
        <v>2197</v>
      </c>
      <c r="B1543" s="9" t="s">
        <v>1365</v>
      </c>
      <c r="C1543" s="9" t="s">
        <v>1366</v>
      </c>
      <c r="D1543" s="10">
        <v>0.60329999999999995</v>
      </c>
      <c r="E1543" s="10">
        <v>0.27400000000000002</v>
      </c>
      <c r="F1543" s="11">
        <v>0.28570999999999991</v>
      </c>
      <c r="G1543" s="12">
        <v>371.25</v>
      </c>
      <c r="H1543" s="12">
        <v>162.65</v>
      </c>
      <c r="I1543" s="12">
        <v>371.25</v>
      </c>
      <c r="J1543" s="58">
        <v>86.06</v>
      </c>
    </row>
    <row r="1544" spans="1:10" ht="17.25" customHeight="1" x14ac:dyDescent="0.25">
      <c r="A1544" s="8" t="s">
        <v>2198</v>
      </c>
      <c r="B1544" s="9" t="s">
        <v>1369</v>
      </c>
      <c r="C1544" s="9" t="s">
        <v>1370</v>
      </c>
      <c r="D1544" s="10">
        <v>0.60253000000000001</v>
      </c>
      <c r="E1544" s="10">
        <v>0.27472000000000008</v>
      </c>
      <c r="F1544" s="11">
        <v>0.30830000000000002</v>
      </c>
      <c r="G1544" s="12">
        <v>545</v>
      </c>
      <c r="H1544" s="12">
        <v>222</v>
      </c>
      <c r="I1544" s="12">
        <v>545</v>
      </c>
      <c r="J1544" s="58">
        <v>134.97</v>
      </c>
    </row>
    <row r="1545" spans="1:10" ht="17.25" customHeight="1" x14ac:dyDescent="0.25">
      <c r="A1545" s="8" t="s">
        <v>2199</v>
      </c>
      <c r="B1545" s="9" t="s">
        <v>1893</v>
      </c>
      <c r="C1545" s="9" t="s">
        <v>1894</v>
      </c>
      <c r="D1545" s="10">
        <v>0.19484999999999997</v>
      </c>
      <c r="E1545" s="10">
        <v>0.27400000000000002</v>
      </c>
      <c r="F1545" s="11">
        <v>0.28570999999999991</v>
      </c>
      <c r="G1545" s="12">
        <v>466.66</v>
      </c>
      <c r="H1545" s="12">
        <v>153.25</v>
      </c>
      <c r="I1545" s="12">
        <v>466.66</v>
      </c>
      <c r="J1545" s="58">
        <v>53.32</v>
      </c>
    </row>
    <row r="1546" spans="1:10" ht="17.25" customHeight="1" x14ac:dyDescent="0.25">
      <c r="A1546" s="8" t="s">
        <v>2200</v>
      </c>
      <c r="B1546" s="9" t="s">
        <v>1270</v>
      </c>
      <c r="C1546" s="9" t="s">
        <v>1271</v>
      </c>
      <c r="D1546" s="10">
        <v>0.54042000000000012</v>
      </c>
      <c r="E1546" s="10">
        <v>0.27760000000000007</v>
      </c>
      <c r="F1546" s="11">
        <v>0.28570000000000007</v>
      </c>
      <c r="G1546" s="12">
        <v>309.35000000000002</v>
      </c>
      <c r="H1546" s="12">
        <v>111.65</v>
      </c>
      <c r="I1546" s="12">
        <v>309.35000000000002</v>
      </c>
      <c r="J1546" s="58">
        <v>104.01</v>
      </c>
    </row>
    <row r="1547" spans="1:10" ht="17.25" customHeight="1" x14ac:dyDescent="0.25">
      <c r="A1547" s="8" t="s">
        <v>2201</v>
      </c>
      <c r="B1547" s="9" t="s">
        <v>1897</v>
      </c>
      <c r="C1547" s="9" t="s">
        <v>1898</v>
      </c>
      <c r="D1547" s="10">
        <v>0.26340000000000008</v>
      </c>
      <c r="E1547" s="10">
        <v>0.27400000000000002</v>
      </c>
      <c r="F1547" s="11">
        <v>0.28570999999999991</v>
      </c>
      <c r="G1547" s="12">
        <v>547.13</v>
      </c>
      <c r="H1547" s="12">
        <v>230</v>
      </c>
      <c r="I1547" s="12">
        <v>547.13</v>
      </c>
      <c r="J1547" s="58">
        <v>65.14</v>
      </c>
    </row>
    <row r="1548" spans="1:10" ht="17.25" customHeight="1" x14ac:dyDescent="0.25">
      <c r="A1548" s="8" t="s">
        <v>2202</v>
      </c>
      <c r="B1548" s="9" t="s">
        <v>1361</v>
      </c>
      <c r="C1548" s="9" t="s">
        <v>1362</v>
      </c>
      <c r="D1548" s="10">
        <v>0.89294999999999991</v>
      </c>
      <c r="E1548" s="10">
        <v>0.27400000000000002</v>
      </c>
      <c r="F1548" s="11">
        <v>0.28570999999999991</v>
      </c>
      <c r="G1548" s="12">
        <v>661.75</v>
      </c>
      <c r="H1548" s="12">
        <v>220.95</v>
      </c>
      <c r="I1548" s="12">
        <v>661.75</v>
      </c>
      <c r="J1548" s="58">
        <v>207.87</v>
      </c>
    </row>
    <row r="1549" spans="1:10" ht="17.25" customHeight="1" x14ac:dyDescent="0.25">
      <c r="A1549" s="8" t="s">
        <v>2203</v>
      </c>
      <c r="B1549" s="9" t="s">
        <v>1363</v>
      </c>
      <c r="C1549" s="9" t="s">
        <v>1364</v>
      </c>
      <c r="D1549" s="10">
        <v>0.58606000000000003</v>
      </c>
      <c r="E1549" s="10">
        <v>0.27659000000000011</v>
      </c>
      <c r="F1549" s="11">
        <v>0.30630000000000002</v>
      </c>
      <c r="G1549" s="12">
        <v>567</v>
      </c>
      <c r="H1549" s="12">
        <v>172</v>
      </c>
      <c r="I1549" s="12">
        <v>567</v>
      </c>
      <c r="J1549" s="58">
        <v>118.97</v>
      </c>
    </row>
    <row r="1550" spans="1:10" ht="17.25" customHeight="1" x14ac:dyDescent="0.25">
      <c r="A1550" s="8" t="s">
        <v>2204</v>
      </c>
      <c r="B1550" s="9" t="s">
        <v>1924</v>
      </c>
      <c r="C1550" s="9" t="s">
        <v>1925</v>
      </c>
      <c r="D1550" s="10">
        <v>0.30743000000000009</v>
      </c>
      <c r="E1550" s="10">
        <v>0.28699999999999992</v>
      </c>
      <c r="F1550" s="11">
        <v>0.28570999999999991</v>
      </c>
      <c r="G1550" s="12">
        <v>854</v>
      </c>
      <c r="H1550" s="12">
        <v>454.15</v>
      </c>
      <c r="I1550" s="12">
        <v>854</v>
      </c>
      <c r="J1550" s="58">
        <v>76.12</v>
      </c>
    </row>
    <row r="1551" spans="1:10" ht="17.25" customHeight="1" x14ac:dyDescent="0.25">
      <c r="A1551" s="8" t="s">
        <v>2205</v>
      </c>
      <c r="B1551" s="9" t="s">
        <v>1448</v>
      </c>
      <c r="C1551" s="9" t="s">
        <v>1449</v>
      </c>
      <c r="D1551" s="10">
        <v>0.68914000000000009</v>
      </c>
      <c r="E1551" s="10">
        <v>9.4540000000000068E-2</v>
      </c>
      <c r="F1551" s="11">
        <v>0.28570999999999991</v>
      </c>
      <c r="G1551" s="12">
        <v>7400</v>
      </c>
      <c r="H1551" s="12">
        <v>505.08</v>
      </c>
      <c r="I1551" s="12">
        <v>977.15</v>
      </c>
      <c r="J1551" s="58">
        <v>118.71</v>
      </c>
    </row>
    <row r="1552" spans="1:10" ht="17.25" customHeight="1" x14ac:dyDescent="0.25">
      <c r="A1552" s="8" t="s">
        <v>2206</v>
      </c>
      <c r="B1552" s="9" t="s">
        <v>1407</v>
      </c>
      <c r="C1552" s="9" t="s">
        <v>1408</v>
      </c>
      <c r="D1552" s="10">
        <v>1.05904</v>
      </c>
      <c r="E1552" s="10">
        <v>0.32450000000000001</v>
      </c>
      <c r="F1552" s="11">
        <v>0.28570999999999991</v>
      </c>
      <c r="G1552" s="12">
        <v>610</v>
      </c>
      <c r="H1552" s="12">
        <v>199.65</v>
      </c>
      <c r="I1552" s="12">
        <v>610</v>
      </c>
      <c r="J1552" s="58">
        <v>268.81</v>
      </c>
    </row>
    <row r="1553" spans="1:10" ht="17.25" customHeight="1" x14ac:dyDescent="0.25">
      <c r="A1553" s="8" t="s">
        <v>2207</v>
      </c>
      <c r="B1553" s="9" t="s">
        <v>1170</v>
      </c>
      <c r="C1553" s="9" t="s">
        <v>1171</v>
      </c>
      <c r="D1553" s="10">
        <v>0.67714000000000008</v>
      </c>
      <c r="E1553" s="10">
        <v>0.27400000000000002</v>
      </c>
      <c r="F1553" s="11">
        <v>0.28570999999999991</v>
      </c>
      <c r="G1553" s="12">
        <v>559.78</v>
      </c>
      <c r="H1553" s="12">
        <v>202.05</v>
      </c>
      <c r="I1553" s="12">
        <v>559.78</v>
      </c>
      <c r="J1553" s="58">
        <v>180.01</v>
      </c>
    </row>
    <row r="1554" spans="1:10" ht="17.25" customHeight="1" x14ac:dyDescent="0.25">
      <c r="A1554" s="8" t="s">
        <v>2208</v>
      </c>
      <c r="B1554" s="9" t="s">
        <v>1403</v>
      </c>
      <c r="C1554" s="9" t="s">
        <v>1404</v>
      </c>
      <c r="D1554" s="10">
        <v>0.54466999999999999</v>
      </c>
      <c r="E1554" s="10">
        <v>0.27400000000000002</v>
      </c>
      <c r="F1554" s="11">
        <v>0.28570999999999991</v>
      </c>
      <c r="G1554" s="12">
        <v>460.49</v>
      </c>
      <c r="H1554" s="12">
        <v>152.35</v>
      </c>
      <c r="I1554" s="12">
        <v>460.49</v>
      </c>
      <c r="J1554" s="58">
        <v>153.44</v>
      </c>
    </row>
    <row r="1555" spans="1:10" ht="17.25" customHeight="1" x14ac:dyDescent="0.25">
      <c r="A1555" s="8" t="s">
        <v>2209</v>
      </c>
      <c r="B1555" s="9" t="s">
        <v>1434</v>
      </c>
      <c r="C1555" s="9" t="s">
        <v>1435</v>
      </c>
      <c r="D1555" s="10">
        <v>0.54394000000000009</v>
      </c>
      <c r="E1555" s="10">
        <v>0.27400000000000002</v>
      </c>
      <c r="F1555" s="11">
        <v>0.28570999999999991</v>
      </c>
      <c r="G1555" s="12">
        <v>508.78</v>
      </c>
      <c r="H1555" s="12">
        <v>150</v>
      </c>
      <c r="I1555" s="12">
        <v>508.78</v>
      </c>
      <c r="J1555" s="58">
        <v>235.52</v>
      </c>
    </row>
    <row r="1556" spans="1:10" ht="17.25" customHeight="1" x14ac:dyDescent="0.25">
      <c r="A1556" s="8" t="s">
        <v>2210</v>
      </c>
      <c r="B1556" s="9" t="s">
        <v>1397</v>
      </c>
      <c r="C1556" s="9" t="s">
        <v>1398</v>
      </c>
      <c r="D1556" s="10">
        <v>0.72446999999999995</v>
      </c>
      <c r="E1556" s="10">
        <v>0.27400000000000002</v>
      </c>
      <c r="F1556" s="11">
        <v>0.28570999999999991</v>
      </c>
      <c r="G1556" s="12">
        <v>375.28</v>
      </c>
      <c r="H1556" s="12">
        <v>202.65</v>
      </c>
      <c r="I1556" s="12">
        <v>375.28</v>
      </c>
      <c r="J1556" s="58">
        <v>164.98</v>
      </c>
    </row>
    <row r="1557" spans="1:10" ht="17.25" customHeight="1" x14ac:dyDescent="0.25">
      <c r="A1557" s="8" t="s">
        <v>2211</v>
      </c>
      <c r="B1557" s="9" t="s">
        <v>2363</v>
      </c>
      <c r="C1557" s="9" t="s">
        <v>1400</v>
      </c>
      <c r="D1557" s="10">
        <v>0.56425999999999998</v>
      </c>
      <c r="E1557" s="10">
        <v>0.27400000000000002</v>
      </c>
      <c r="F1557" s="11">
        <v>0.28570999999999991</v>
      </c>
      <c r="G1557" s="12">
        <v>330.54</v>
      </c>
      <c r="H1557" s="12">
        <v>131.15</v>
      </c>
      <c r="I1557" s="12">
        <v>330.54</v>
      </c>
      <c r="J1557" s="58">
        <v>120.53</v>
      </c>
    </row>
    <row r="1558" spans="1:10" ht="17.25" customHeight="1" x14ac:dyDescent="0.25">
      <c r="A1558" s="8" t="s">
        <v>2212</v>
      </c>
      <c r="B1558" s="9" t="s">
        <v>1409</v>
      </c>
      <c r="C1558" s="9" t="s">
        <v>1410</v>
      </c>
      <c r="D1558" s="10">
        <v>0.51881999999999984</v>
      </c>
      <c r="E1558" s="10">
        <v>0.27400000000000002</v>
      </c>
      <c r="F1558" s="11">
        <v>0.28570999999999991</v>
      </c>
      <c r="G1558" s="12">
        <v>291.02</v>
      </c>
      <c r="H1558" s="12">
        <v>141.75</v>
      </c>
      <c r="I1558" s="12">
        <v>291.02</v>
      </c>
      <c r="J1558" s="58">
        <v>86.09</v>
      </c>
    </row>
    <row r="1559" spans="1:10" ht="17.25" customHeight="1" x14ac:dyDescent="0.25">
      <c r="A1559" s="8" t="s">
        <v>2213</v>
      </c>
      <c r="B1559" s="9" t="s">
        <v>1176</v>
      </c>
      <c r="C1559" s="9" t="s">
        <v>1177</v>
      </c>
      <c r="D1559" s="10">
        <v>0.75692000000000004</v>
      </c>
      <c r="E1559" s="10">
        <v>0.27400000000000002</v>
      </c>
      <c r="F1559" s="11">
        <v>0.28570999999999991</v>
      </c>
      <c r="G1559" s="12">
        <v>616.37</v>
      </c>
      <c r="H1559" s="12">
        <v>167.55</v>
      </c>
      <c r="I1559" s="12">
        <v>616.37</v>
      </c>
      <c r="J1559" s="58">
        <v>225.98</v>
      </c>
    </row>
    <row r="1560" spans="1:10" ht="17.25" customHeight="1" x14ac:dyDescent="0.25">
      <c r="A1560" s="8" t="s">
        <v>2214</v>
      </c>
      <c r="B1560" s="9" t="s">
        <v>1442</v>
      </c>
      <c r="C1560" s="9" t="s">
        <v>1443</v>
      </c>
      <c r="D1560" s="10">
        <v>0.2601</v>
      </c>
      <c r="E1560" s="10">
        <v>0.27400000000000002</v>
      </c>
      <c r="F1560" s="11">
        <v>0.28570999999999991</v>
      </c>
      <c r="G1560" s="12">
        <v>525.15</v>
      </c>
      <c r="H1560" s="12">
        <v>155.94999999999999</v>
      </c>
      <c r="I1560" s="12">
        <v>525.15</v>
      </c>
      <c r="J1560" s="58">
        <v>92.32</v>
      </c>
    </row>
    <row r="1561" spans="1:10" ht="17.25" customHeight="1" x14ac:dyDescent="0.25">
      <c r="A1561" s="8" t="s">
        <v>2215</v>
      </c>
      <c r="B1561" s="9" t="s">
        <v>1444</v>
      </c>
      <c r="C1561" s="9" t="s">
        <v>1445</v>
      </c>
      <c r="D1561" s="10">
        <v>0.31119999999999992</v>
      </c>
      <c r="E1561" s="10">
        <v>0.27400000000000002</v>
      </c>
      <c r="F1561" s="11">
        <v>0.28570999999999991</v>
      </c>
      <c r="G1561" s="12">
        <v>518.20000000000005</v>
      </c>
      <c r="H1561" s="12">
        <v>167.45</v>
      </c>
      <c r="I1561" s="12">
        <v>518.20000000000005</v>
      </c>
      <c r="J1561" s="58">
        <v>107.33</v>
      </c>
    </row>
    <row r="1562" spans="1:10" ht="17.25" customHeight="1" x14ac:dyDescent="0.25">
      <c r="A1562" s="8" t="s">
        <v>2216</v>
      </c>
      <c r="B1562" s="9" t="s">
        <v>1922</v>
      </c>
      <c r="C1562" s="9" t="s">
        <v>1923</v>
      </c>
      <c r="D1562" s="10">
        <v>0.56981999999999999</v>
      </c>
      <c r="E1562" s="10">
        <v>0.33699999999999997</v>
      </c>
      <c r="F1562" s="11">
        <v>0.28570999999999991</v>
      </c>
      <c r="G1562" s="12">
        <v>705</v>
      </c>
      <c r="H1562" s="12">
        <v>405.85</v>
      </c>
      <c r="I1562" s="12">
        <v>505.85</v>
      </c>
      <c r="J1562" s="58">
        <v>60.06</v>
      </c>
    </row>
    <row r="1563" spans="1:10" ht="17.25" customHeight="1" x14ac:dyDescent="0.25">
      <c r="A1563" s="8" t="s">
        <v>2217</v>
      </c>
      <c r="B1563" s="9" t="s">
        <v>1191</v>
      </c>
      <c r="C1563" s="9" t="s">
        <v>1192</v>
      </c>
      <c r="D1563" s="10">
        <v>0.34709999999999996</v>
      </c>
      <c r="E1563" s="10">
        <v>0.27400000000000002</v>
      </c>
      <c r="F1563" s="11">
        <v>0.28570999999999991</v>
      </c>
      <c r="G1563" s="12">
        <v>647.13</v>
      </c>
      <c r="H1563" s="12">
        <v>273.16000000000003</v>
      </c>
      <c r="I1563" s="12">
        <v>647.13</v>
      </c>
      <c r="J1563" s="58">
        <v>18.02</v>
      </c>
    </row>
  </sheetData>
  <sortState ref="A1311:I1561">
    <sortCondition ref="C1311:C1561"/>
  </sortState>
  <mergeCells count="2">
    <mergeCell ref="A2:B2"/>
    <mergeCell ref="G2:I2"/>
  </mergeCells>
  <conditionalFormatting sqref="L3">
    <cfRule type="cellIs" dxfId="2" priority="3" operator="between">
      <formula>$N$3</formula>
      <formula>"50,00$O$3"</formula>
    </cfRule>
    <cfRule type="cellIs" dxfId="1" priority="2" operator="lessThan">
      <formula>$N$3</formula>
    </cfRule>
    <cfRule type="cellIs" dxfId="0" priority="1" operator="greaterThan">
      <formula>$O$3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Dados</vt:lpstr>
      <vt:lpstr>Plan2</vt:lpstr>
      <vt:lpstr>Plan3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2022-03-06T22:43:21Z</dcterms:created>
  <dcterms:modified xsi:type="dcterms:W3CDTF">2022-03-13T17:47:13Z</dcterms:modified>
</cp:coreProperties>
</file>