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32" documentId="11_606643678A80E7271B23A5A0C75BFAD7925FBF39" xr6:coauthVersionLast="47" xr6:coauthVersionMax="47" xr10:uidLastSave="{31A1DAF1-A1C6-4AD3-BF48-B6DD3EC495B0}"/>
  <bookViews>
    <workbookView xWindow="-108" yWindow="-108" windowWidth="23256" windowHeight="12456" xr2:uid="{00000000-000D-0000-FFFF-FFFF00000000}"/>
  </bookViews>
  <sheets>
    <sheet name="Plan1" sheetId="1" r:id="rId1"/>
    <sheet name="Plan2" sheetId="2" r:id="rId2"/>
    <sheet name="Plan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1" l="1"/>
  <c r="I15" i="1" l="1"/>
  <c r="I3" i="1" l="1"/>
  <c r="I5" i="1" s="1"/>
  <c r="D45" i="1" l="1"/>
  <c r="D46" i="1"/>
  <c r="D44" i="1"/>
  <c r="C45" i="1"/>
  <c r="E45" i="1" l="1"/>
  <c r="F47" i="1" s="1"/>
  <c r="D4" i="1" l="1"/>
  <c r="D3" i="1" s="1"/>
  <c r="E2" i="1" l="1"/>
  <c r="I7" i="1" s="1"/>
  <c r="B2" i="1"/>
  <c r="C2" i="1"/>
  <c r="H23" i="1" s="1"/>
  <c r="F2" i="1"/>
  <c r="H5" i="1" l="1"/>
  <c r="H7" i="1" s="1"/>
  <c r="I9" i="1"/>
  <c r="I13" i="1"/>
  <c r="H3" i="1"/>
  <c r="H9" i="1" s="1"/>
  <c r="H11" i="1" s="1"/>
  <c r="H13" i="1" s="1"/>
  <c r="H15" i="1" s="1"/>
  <c r="H29" i="1" l="1"/>
  <c r="H31" i="1" s="1"/>
  <c r="H19" i="1"/>
  <c r="H21" i="1"/>
  <c r="H25" i="1"/>
  <c r="H17" i="1"/>
  <c r="I21" i="1"/>
  <c r="H27" i="1" l="1"/>
  <c r="J21" i="1" s="1"/>
  <c r="B39" i="1"/>
  <c r="B38" i="1" s="1"/>
  <c r="I11" i="1"/>
  <c r="I27" i="1"/>
  <c r="D38" i="1" l="1"/>
  <c r="G38" i="1"/>
  <c r="E38" i="1"/>
  <c r="F38" i="1"/>
  <c r="C38" i="1"/>
  <c r="B40" i="1"/>
  <c r="F39" i="1" l="1"/>
  <c r="D39" i="1"/>
  <c r="H33" i="1" s="1"/>
  <c r="H41" i="1" l="1"/>
  <c r="I29" i="1"/>
  <c r="J29" i="1"/>
  <c r="I33" i="1"/>
  <c r="H35" i="1" l="1"/>
  <c r="H37" i="1" s="1"/>
  <c r="H39" i="1" s="1"/>
  <c r="I35" i="1"/>
  <c r="I37" i="1" s="1"/>
  <c r="I39" i="1" s="1"/>
</calcChain>
</file>

<file path=xl/sharedStrings.xml><?xml version="1.0" encoding="utf-8"?>
<sst xmlns="http://schemas.openxmlformats.org/spreadsheetml/2006/main" count="112" uniqueCount="104">
  <si>
    <t>A</t>
  </si>
  <si>
    <t>Composto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</si>
  <si>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</si>
  <si>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</si>
  <si>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</si>
  <si>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</si>
  <si>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</si>
  <si>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</si>
  <si>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</si>
  <si>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</si>
  <si>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</si>
  <si>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</si>
  <si>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</si>
  <si>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</si>
  <si>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</si>
  <si>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</si>
  <si>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</si>
  <si>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</si>
  <si>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</si>
  <si>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</si>
  <si>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</si>
  <si>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</si>
  <si>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</si>
  <si>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</si>
  <si>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C</t>
  </si>
  <si>
    <t>MW(kg/kmol)</t>
  </si>
  <si>
    <t>Mistura</t>
  </si>
  <si>
    <t>Dados:</t>
  </si>
  <si>
    <t>Respostas:</t>
  </si>
  <si>
    <t>Ze</t>
  </si>
  <si>
    <t>Zs</t>
  </si>
  <si>
    <t>Cv[kcal/(kmol°C)]</t>
  </si>
  <si>
    <t>n[kmol/h]</t>
  </si>
  <si>
    <t>Q[Kg/h]</t>
  </si>
  <si>
    <t>Pe[Atmg]</t>
  </si>
  <si>
    <t>Ps[Atmg]</t>
  </si>
  <si>
    <t>k [Cp/Cv]</t>
  </si>
  <si>
    <t>Ve[Nm³/h]</t>
  </si>
  <si>
    <t>Z[Restante]</t>
  </si>
  <si>
    <t>Ve[Am³/h]</t>
  </si>
  <si>
    <t>Te[°C]</t>
  </si>
  <si>
    <t>Rendimento[η]</t>
  </si>
  <si>
    <t>Ts(adiabático)[°C]</t>
  </si>
  <si>
    <t>Ts [°C]</t>
  </si>
  <si>
    <t>Hpoli [ft]</t>
  </si>
  <si>
    <t>Vap. Água</t>
  </si>
  <si>
    <t>UR(%)</t>
  </si>
  <si>
    <t>Y(H2O)</t>
  </si>
  <si>
    <t>Y(%/100)</t>
  </si>
  <si>
    <t>Cp(kcal/kg°C)</t>
  </si>
  <si>
    <t>ρ [kg/m³]</t>
  </si>
  <si>
    <t>W(Lb/min)</t>
  </si>
  <si>
    <t>BHP [hp]</t>
  </si>
  <si>
    <t>Ua[ft/s]</t>
  </si>
  <si>
    <t>Flow(mínimo)</t>
  </si>
  <si>
    <t>Flow(máximo)</t>
  </si>
  <si>
    <t>Head μ(mínimo)</t>
  </si>
  <si>
    <t>Head μ(máximo)</t>
  </si>
  <si>
    <t>Tc[°C]</t>
  </si>
  <si>
    <t>Pc[atm-a]</t>
  </si>
  <si>
    <t>Flow:</t>
  </si>
  <si>
    <t>Verificar Fator de Compressibilidade</t>
  </si>
  <si>
    <t>Pag 38 da Nova Apostila</t>
  </si>
  <si>
    <t>Ve[10³Aft³/min]</t>
  </si>
  <si>
    <t>Tr[°C]e</t>
  </si>
  <si>
    <t>Pr[atm-a]e</t>
  </si>
  <si>
    <t>Hpoli[η=100%]</t>
  </si>
  <si>
    <t>Tr[°C]s</t>
  </si>
  <si>
    <t>Pr[atm-a]s</t>
  </si>
  <si>
    <t>PvH2O[atm]</t>
  </si>
  <si>
    <t>Interpolação:</t>
  </si>
  <si>
    <t>Next:</t>
  </si>
  <si>
    <t>U[ft/s]</t>
  </si>
  <si>
    <t>Nst[Estágios]</t>
  </si>
  <si>
    <t>μ(tabelado):</t>
  </si>
  <si>
    <t>Arredondamento</t>
  </si>
  <si>
    <t>Dmínimo[in]</t>
  </si>
  <si>
    <t>Dmáximo[in]</t>
  </si>
  <si>
    <t>D(tabelado):</t>
  </si>
  <si>
    <t>N[RPM]</t>
  </si>
  <si>
    <t>Ns(Vel. Especif.)</t>
  </si>
  <si>
    <t>Ds(Dia. Especif.)</t>
  </si>
  <si>
    <t>Olhar gráfico da aula 10 - última página</t>
  </si>
  <si>
    <t>Interpolador manual:</t>
  </si>
  <si>
    <t>Anterior:</t>
  </si>
  <si>
    <t>Interpolado:</t>
  </si>
  <si>
    <t>Posterior:</t>
  </si>
  <si>
    <t>Pressões:</t>
  </si>
  <si>
    <t>Valor geral:</t>
  </si>
  <si>
    <t>Pressão:</t>
  </si>
  <si>
    <t>Anotações:</t>
  </si>
  <si>
    <t>H(Tabela 1):</t>
  </si>
  <si>
    <t>H(Tabela 2):</t>
  </si>
  <si>
    <t>P(Tabela 1):</t>
  </si>
  <si>
    <t>P(Tabela 2):</t>
  </si>
  <si>
    <t>RC</t>
  </si>
  <si>
    <t>BHP (η=100%) [hp]</t>
  </si>
  <si>
    <t>Nst(η=100%)[Estágios]</t>
  </si>
  <si>
    <t>Ureal(η=100%)</t>
  </si>
  <si>
    <t>N(η=100%)[RPM]</t>
  </si>
  <si>
    <t>Ns(η=100%)</t>
  </si>
  <si>
    <t>Ds(η=100%)</t>
  </si>
  <si>
    <t>Ureal(Arred.)[ft/s]</t>
  </si>
  <si>
    <r>
      <t xml:space="preserve">ηBHP/W-Hpoli </t>
    </r>
    <r>
      <rPr>
        <sz val="11"/>
        <color theme="1"/>
        <rFont val="Calibri"/>
        <family val="2"/>
      </rPr>
      <t>→ 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</si>
</sst>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2" borderId="1" xfId="0" applyFont="1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0" borderId="4" xfId="0" applyBorder="1"/>
    <xf numFmtId="0" fontId="0" fillId="2" borderId="8" xfId="0" applyFill="1" applyBorder="1"/>
    <xf numFmtId="0" fontId="0" fillId="4" borderId="9" xfId="0" applyFill="1" applyBorder="1"/>
    <xf numFmtId="0" fontId="0" fillId="2" borderId="9" xfId="0" applyFill="1" applyBorder="1" applyAlignment="1">
      <alignment horizontal="left"/>
    </xf>
    <xf numFmtId="0" fontId="0" fillId="0" borderId="9" xfId="0" applyBorder="1"/>
    <xf numFmtId="0" fontId="0" fillId="2" borderId="9" xfId="0" applyFill="1" applyBorder="1"/>
    <xf numFmtId="0" fontId="0" fillId="2" borderId="10" xfId="0" applyFill="1" applyBorder="1"/>
    <xf numFmtId="0" fontId="0" fillId="3" borderId="0" xfId="0" applyFill="1"/>
    <xf numFmtId="0" fontId="0" fillId="3" borderId="8" xfId="0" applyFill="1" applyBorder="1"/>
    <xf numFmtId="0" fontId="0" fillId="2" borderId="12" xfId="0" applyFill="1" applyBorder="1"/>
    <xf numFmtId="0" fontId="0" fillId="3" borderId="5" xfId="0" applyFill="1" applyBorder="1"/>
    <xf numFmtId="0" fontId="0" fillId="2" borderId="12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3" borderId="12" xfId="0" applyFill="1" applyBorder="1"/>
    <xf numFmtId="0" fontId="0" fillId="0" borderId="11" xfId="0" applyBorder="1"/>
    <xf numFmtId="0" fontId="0" fillId="3" borderId="1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1" xfId="0" applyFill="1" applyBorder="1" applyAlignment="1">
      <alignment horizontal="right"/>
    </xf>
    <xf numFmtId="0" fontId="0" fillId="2" borderId="19" xfId="0" applyFill="1" applyBorder="1" applyAlignment="1">
      <alignment horizontal="right"/>
    </xf>
    <xf numFmtId="0" fontId="0" fillId="0" borderId="20" xfId="0" applyBorder="1"/>
    <xf numFmtId="0" fontId="0" fillId="2" borderId="21" xfId="0" applyFill="1" applyBorder="1"/>
    <xf numFmtId="0" fontId="0" fillId="3" borderId="20" xfId="0" applyFill="1" applyBorder="1"/>
    <xf numFmtId="0" fontId="0" fillId="2" borderId="22" xfId="0" applyFill="1" applyBorder="1"/>
    <xf numFmtId="0" fontId="0" fillId="3" borderId="14" xfId="0" applyFill="1" applyBorder="1"/>
    <xf numFmtId="0" fontId="0" fillId="3" borderId="17" xfId="0" applyFill="1" applyBorder="1"/>
    <xf numFmtId="0" fontId="0" fillId="3" borderId="16" xfId="0" applyFill="1" applyBorder="1"/>
    <xf numFmtId="0" fontId="0" fillId="2" borderId="8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164" fontId="2" fillId="3" borderId="11" xfId="0" applyNumberFormat="1" applyFont="1" applyFill="1" applyBorder="1"/>
    <xf numFmtId="11" fontId="0" fillId="0" borderId="1" xfId="0" applyNumberFormat="1" applyBorder="1"/>
    <xf numFmtId="0" fontId="0" fillId="5" borderId="1" xfId="0" applyFill="1" applyBorder="1"/>
    <xf numFmtId="0" fontId="0" fillId="5" borderId="11" xfId="0" applyFill="1" applyBorder="1"/>
    <xf numFmtId="0" fontId="0" fillId="0" borderId="12" xfId="0" applyBorder="1"/>
    <xf numFmtId="0" fontId="0" fillId="3" borderId="9" xfId="0" applyFill="1" applyBorder="1"/>
    <xf numFmtId="0" fontId="0" fillId="2" borderId="23" xfId="0" applyFill="1" applyBorder="1"/>
    <xf numFmtId="0" fontId="0" fillId="3" borderId="13" xfId="0" applyFill="1" applyBorder="1"/>
    <xf numFmtId="0" fontId="0" fillId="2" borderId="4" xfId="0" applyFill="1" applyBorder="1"/>
    <xf numFmtId="0" fontId="0" fillId="2" borderId="0" xfId="0" applyFill="1"/>
    <xf numFmtId="0" fontId="0" fillId="2" borderId="1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48"/>
  <sheetViews>
    <sheetView tabSelected="1" topLeftCell="A26" workbookViewId="0">
      <selection activeCell="H41" sqref="H41"/>
    </sheetView>
  </sheetViews>
  <sheetFormatPr defaultRowHeight="14.4" x14ac:dyDescent="0.3"/>
  <cols>
    <col min="1" max="1" width="16" customWidth="1"/>
    <col min="2" max="2" width="14" bestFit="1" customWidth="1"/>
    <col min="3" max="3" width="16.6640625" customWidth="1"/>
    <col min="4" max="4" width="15.88671875" bestFit="1" customWidth="1"/>
    <col min="5" max="5" width="13.88671875" customWidth="1"/>
    <col min="6" max="6" width="16.5546875" customWidth="1"/>
    <col min="7" max="7" width="15.44140625" customWidth="1"/>
    <col min="8" max="8" width="17.5546875" bestFit="1" customWidth="1"/>
    <col min="9" max="9" width="21" bestFit="1" customWidth="1"/>
    <col min="10" max="10" width="19.33203125" customWidth="1"/>
    <col min="11" max="11" width="11.5546875" customWidth="1"/>
  </cols>
  <sheetData>
    <row r="1" spans="1:13" x14ac:dyDescent="0.3">
      <c r="A1" s="13" t="s">
        <v>1</v>
      </c>
      <c r="B1" s="2" t="s">
        <v>49</v>
      </c>
      <c r="C1" s="2" t="s">
        <v>25</v>
      </c>
      <c r="D1" s="4" t="s">
        <v>48</v>
      </c>
      <c r="E1" s="4" t="s">
        <v>58</v>
      </c>
      <c r="F1" s="4" t="s">
        <v>59</v>
      </c>
      <c r="G1" s="13" t="s">
        <v>27</v>
      </c>
      <c r="H1" s="52" t="s">
        <v>28</v>
      </c>
      <c r="I1" s="53"/>
      <c r="J1" s="12"/>
    </row>
    <row r="2" spans="1:13" ht="15" thickBot="1" x14ac:dyDescent="0.35">
      <c r="A2" s="9" t="s">
        <v>26</v>
      </c>
      <c r="B2" s="20">
        <f>B3*C3*D3+B4*C4*D4+B5*C5*D5+B6*C6*D6+B7*C7*D7+B8*C8*D8+B9*C9*D9+B10*C10*D10+B11*C11*D11+B12*C12*D12+B13*C13*D13+B14*C14*D14+B15*C15*D15+B16*C16*D16+B17*C17*D17+B18*C18*D18+B19*C19*D19+B20*C20*D20+B21*C21*D21+B22*C22*D22+B23*C23*D23+B24*C24*D24+B25*C25*D25+B26*C26*D26+B27*C27*D27+B28*C28*D28</f>
        <v>14.708400000000001</v>
      </c>
      <c r="C2" s="20">
        <f>C3*D3+C4*D4+C5*D5+C6*D6+C7*D7+C8*D8+C9*D9+C10*D10+C11*D11+C12*D12+C13*D13+C14*D14+C15*D15+C16*D16+C17*D17+C18*D18+C19*D19+C20*D20+C21*D21+C22*D22+C23*D23+C24*D24+C25*D25+C26*D26+C27*D27+C28*D28</f>
        <v>28.84</v>
      </c>
      <c r="D2" s="5">
        <v>1</v>
      </c>
      <c r="E2" s="20">
        <f>E3*D3+E4*D4+E5*D5+E6*D6+E7*D7+E8*D8+E9*D9+E10*D10+E11*D11+E12*D12+E13*D13+E14*D14+E15*D15+E16*D16+E17*D17+E18*D18+E19*D19+E20*D20+E21*D21+E22*D22+E23*D23+E24*D24+E25*D25+E26*D26+E27*D27+E28*D28</f>
        <v>475.25</v>
      </c>
      <c r="F2" s="20">
        <f>F3*D3+F4*D4+F5*D5+F6*D6+F7*D7+F8*D8+F9*D9+F10*D10+F11*D11+F12*D12+F13*D13+F14*D14+F15*D15+F16*D16+F17*D17+F18*D18+F19*D19+F20*D20+F21*D21+F22*D22+F23*D23+F24*D24+F25*D25+F26*D26+F27*D27+F28*D28</f>
        <v>40</v>
      </c>
      <c r="G2" s="9" t="s">
        <v>33</v>
      </c>
      <c r="H2" s="11" t="s">
        <v>32</v>
      </c>
      <c r="I2" s="10" t="s">
        <v>69</v>
      </c>
    </row>
    <row r="3" spans="1:13" ht="15" thickBot="1" x14ac:dyDescent="0.35">
      <c r="A3" s="1" t="s">
        <v>38</v>
      </c>
      <c r="B3" s="47">
        <v>0.99880000000000002</v>
      </c>
      <c r="C3" s="47">
        <v>102.03</v>
      </c>
      <c r="D3" s="51">
        <f>1-SUM(D4:D28)</f>
        <v>0</v>
      </c>
      <c r="E3" s="47">
        <v>101</v>
      </c>
      <c r="F3" s="47">
        <v>40.16778</v>
      </c>
      <c r="G3" s="14">
        <v>26931.213197026002</v>
      </c>
      <c r="H3" s="5">
        <f>G3/C2</f>
        <v>933.8146046125521</v>
      </c>
      <c r="I3" s="5">
        <f>10^(5.268305-(1772.072/(236.6319+G13)))</f>
        <v>3.1271981142414453E-2</v>
      </c>
    </row>
    <row r="4" spans="1:13" x14ac:dyDescent="0.3">
      <c r="A4" s="2" t="s">
        <v>45</v>
      </c>
      <c r="B4" s="22">
        <v>0.45</v>
      </c>
      <c r="C4" s="22">
        <v>18</v>
      </c>
      <c r="D4" s="5">
        <f>I5</f>
        <v>0</v>
      </c>
      <c r="E4" s="22">
        <v>374.15</v>
      </c>
      <c r="F4" s="22">
        <v>218.17</v>
      </c>
      <c r="G4" s="15" t="s">
        <v>29</v>
      </c>
      <c r="H4" s="2" t="s">
        <v>31</v>
      </c>
      <c r="I4" s="2" t="s">
        <v>47</v>
      </c>
    </row>
    <row r="5" spans="1:13" x14ac:dyDescent="0.3">
      <c r="A5" s="7" t="s">
        <v>0</v>
      </c>
      <c r="B5" s="3">
        <v>0.51</v>
      </c>
      <c r="C5" s="3">
        <v>32</v>
      </c>
      <c r="D5" s="3">
        <v>0.21</v>
      </c>
      <c r="E5" s="3">
        <v>475.25</v>
      </c>
      <c r="F5" s="3">
        <v>40</v>
      </c>
      <c r="G5" s="16">
        <v>0.90600000000000003</v>
      </c>
      <c r="H5" s="5">
        <f>B2-1.986</f>
        <v>12.7224</v>
      </c>
      <c r="I5" s="5">
        <f>IF(G19=0,(I3*(G15/100))/(G9+1),G19)</f>
        <v>0</v>
      </c>
    </row>
    <row r="6" spans="1:13" x14ac:dyDescent="0.3">
      <c r="A6" s="2" t="s">
        <v>2</v>
      </c>
      <c r="B6" s="3">
        <v>0.51</v>
      </c>
      <c r="C6" s="3">
        <v>28</v>
      </c>
      <c r="D6" s="3">
        <v>0.79</v>
      </c>
      <c r="E6" s="3">
        <v>475.25</v>
      </c>
      <c r="F6" s="3">
        <v>40</v>
      </c>
      <c r="G6" s="15" t="s">
        <v>30</v>
      </c>
      <c r="H6" s="6" t="s">
        <v>36</v>
      </c>
      <c r="I6" s="2" t="s">
        <v>64</v>
      </c>
    </row>
    <row r="7" spans="1:13" x14ac:dyDescent="0.3">
      <c r="A7" s="2" t="s">
        <v>24</v>
      </c>
      <c r="B7" s="3"/>
      <c r="C7" s="3"/>
      <c r="D7" s="3"/>
      <c r="E7" s="3"/>
      <c r="F7" s="3"/>
      <c r="G7" s="16">
        <v>13.577</v>
      </c>
      <c r="H7" s="5">
        <f>IF(G27&lt;&gt;"",G27,B2/H5)</f>
        <v>1.1561026221467647</v>
      </c>
      <c r="I7" s="5">
        <f>(G13+273.15)/(E2+273.15)</f>
        <v>0.39838321753073219</v>
      </c>
      <c r="M7" t="s">
        <v>61</v>
      </c>
    </row>
    <row r="8" spans="1:13" ht="15" thickBot="1" x14ac:dyDescent="0.35">
      <c r="A8" s="2" t="s">
        <v>3</v>
      </c>
      <c r="B8" s="3"/>
      <c r="C8" s="3"/>
      <c r="D8" s="3"/>
      <c r="E8" s="3"/>
      <c r="F8" s="3"/>
      <c r="G8" s="50" t="s">
        <v>34</v>
      </c>
      <c r="H8" s="2" t="s">
        <v>37</v>
      </c>
      <c r="I8" s="2" t="s">
        <v>65</v>
      </c>
      <c r="M8" s="6" t="s">
        <v>62</v>
      </c>
    </row>
    <row r="9" spans="1:13" ht="15" thickBot="1" x14ac:dyDescent="0.35">
      <c r="A9" s="2" t="s">
        <v>4</v>
      </c>
      <c r="B9" s="3"/>
      <c r="C9" s="3"/>
      <c r="D9" s="3"/>
      <c r="E9" s="3"/>
      <c r="F9" s="48"/>
      <c r="G9" s="47">
        <v>0</v>
      </c>
      <c r="H9" s="49">
        <f>IF(G3=0,G17,G5*H3*0.082*273.15)</f>
        <v>18949.768850594955</v>
      </c>
      <c r="I9" s="5">
        <f>(G9+1)/(F2)</f>
        <v>2.5000000000000001E-2</v>
      </c>
    </row>
    <row r="10" spans="1:13" ht="15" thickBot="1" x14ac:dyDescent="0.35">
      <c r="A10" s="2" t="s">
        <v>5</v>
      </c>
      <c r="B10" s="3"/>
      <c r="C10" s="3"/>
      <c r="D10" s="3"/>
      <c r="E10" s="3"/>
      <c r="F10" s="3"/>
      <c r="G10" s="7" t="s">
        <v>35</v>
      </c>
      <c r="H10" s="2" t="s">
        <v>39</v>
      </c>
      <c r="I10" s="2" t="s">
        <v>67</v>
      </c>
    </row>
    <row r="11" spans="1:13" ht="15" thickBot="1" x14ac:dyDescent="0.35">
      <c r="A11" s="2" t="s">
        <v>6</v>
      </c>
      <c r="B11" s="3"/>
      <c r="C11" s="3"/>
      <c r="D11" s="3"/>
      <c r="E11" s="3"/>
      <c r="F11" s="48"/>
      <c r="G11" s="47">
        <v>2.1</v>
      </c>
      <c r="H11" s="49">
        <f>(G13+273.15)*G5*H9/((G9+1)*1*273.15)</f>
        <v>18739.833300462116</v>
      </c>
      <c r="I11" s="5">
        <f>(H19+273.15)/(E2+273.15)</f>
        <v>0.48882392530205659</v>
      </c>
    </row>
    <row r="12" spans="1:13" ht="15" thickBot="1" x14ac:dyDescent="0.35">
      <c r="A12" s="2" t="s">
        <v>7</v>
      </c>
      <c r="B12" s="3"/>
      <c r="C12" s="3"/>
      <c r="D12" s="3"/>
      <c r="E12" s="3"/>
      <c r="F12" s="3"/>
      <c r="G12" s="7" t="s">
        <v>40</v>
      </c>
      <c r="H12" s="2" t="s">
        <v>63</v>
      </c>
      <c r="I12" s="2" t="s">
        <v>68</v>
      </c>
    </row>
    <row r="13" spans="1:13" ht="15" thickBot="1" x14ac:dyDescent="0.35">
      <c r="A13" s="2" t="s">
        <v>8</v>
      </c>
      <c r="B13" s="3"/>
      <c r="C13" s="3"/>
      <c r="D13" s="3"/>
      <c r="E13" s="3"/>
      <c r="F13" s="48"/>
      <c r="G13" s="47">
        <v>25</v>
      </c>
      <c r="H13" s="49">
        <f>H11*35.3146667214885/(60*1000)</f>
        <v>11.029849457034524</v>
      </c>
      <c r="I13" s="5">
        <f>(I15+1)/F2</f>
        <v>7.7499999999999999E-2</v>
      </c>
    </row>
    <row r="14" spans="1:13" x14ac:dyDescent="0.3">
      <c r="A14" s="2" t="s">
        <v>9</v>
      </c>
      <c r="B14" s="3"/>
      <c r="C14" s="3"/>
      <c r="D14" s="3"/>
      <c r="E14" s="3"/>
      <c r="F14" s="3"/>
      <c r="G14" s="10" t="s">
        <v>46</v>
      </c>
      <c r="H14" s="2" t="s">
        <v>41</v>
      </c>
      <c r="I14" s="2" t="s">
        <v>35</v>
      </c>
    </row>
    <row r="15" spans="1:13" x14ac:dyDescent="0.3">
      <c r="A15" s="2" t="s">
        <v>10</v>
      </c>
      <c r="B15" s="3"/>
      <c r="C15" s="3"/>
      <c r="D15" s="3"/>
      <c r="E15" s="3"/>
      <c r="F15" s="3"/>
      <c r="G15" s="16"/>
      <c r="H15" s="5">
        <f>(2.5579*LOG10(H13)+72.004)/100</f>
        <v>0.74670788741295235</v>
      </c>
      <c r="I15" s="5">
        <f>IF(AND(G11&lt;&gt;0,G11&lt;&gt;""),G11,(G21*(G9+1))-1)</f>
        <v>2.1</v>
      </c>
    </row>
    <row r="16" spans="1:13" x14ac:dyDescent="0.3">
      <c r="A16" s="2" t="s">
        <v>11</v>
      </c>
      <c r="B16" s="3"/>
      <c r="C16" s="3"/>
      <c r="D16" s="3"/>
      <c r="E16" s="3"/>
      <c r="F16" s="3"/>
      <c r="G16" s="2" t="s">
        <v>37</v>
      </c>
      <c r="H16" s="2" t="s">
        <v>42</v>
      </c>
    </row>
    <row r="17" spans="1:10" x14ac:dyDescent="0.3">
      <c r="A17" s="2" t="s">
        <v>12</v>
      </c>
      <c r="B17" s="3"/>
      <c r="C17" s="3"/>
      <c r="D17" s="3"/>
      <c r="E17" s="3"/>
      <c r="F17" s="3"/>
      <c r="G17" s="3"/>
      <c r="H17" s="5">
        <f>-273.15+(G13+273.15)*((I15+1)/(G9+1))^((H7-1)/H7)</f>
        <v>74.21085034050941</v>
      </c>
    </row>
    <row r="18" spans="1:10" x14ac:dyDescent="0.3">
      <c r="A18" s="2" t="s">
        <v>13</v>
      </c>
      <c r="B18" s="3"/>
      <c r="C18" s="3"/>
      <c r="D18" s="3"/>
      <c r="E18" s="3"/>
      <c r="F18" s="3"/>
      <c r="G18" s="2" t="s">
        <v>47</v>
      </c>
      <c r="H18" s="2" t="s">
        <v>43</v>
      </c>
    </row>
    <row r="19" spans="1:10" x14ac:dyDescent="0.3">
      <c r="A19" s="2" t="s">
        <v>14</v>
      </c>
      <c r="B19" s="3"/>
      <c r="C19" s="3"/>
      <c r="D19" s="3"/>
      <c r="E19" s="3"/>
      <c r="F19" s="3"/>
      <c r="G19" s="45"/>
      <c r="H19" s="5">
        <f>IF(G25&lt;&gt;"",G25,-273.15+(G13+273.15)*((I15+1)/(G9+1))^(((H7-1)/H7)/H15))</f>
        <v>92.685825696059169</v>
      </c>
    </row>
    <row r="20" spans="1:10" x14ac:dyDescent="0.3">
      <c r="A20" s="2" t="s">
        <v>15</v>
      </c>
      <c r="B20" s="3"/>
      <c r="C20" s="3"/>
      <c r="D20" s="3"/>
      <c r="E20" s="3"/>
      <c r="F20" s="3"/>
      <c r="G20" s="2" t="s">
        <v>95</v>
      </c>
      <c r="H20" s="2" t="s">
        <v>44</v>
      </c>
      <c r="I20" s="2" t="s">
        <v>66</v>
      </c>
      <c r="J20" s="2" t="s">
        <v>103</v>
      </c>
    </row>
    <row r="21" spans="1:10" x14ac:dyDescent="0.3">
      <c r="A21" s="2" t="s">
        <v>16</v>
      </c>
      <c r="B21" s="3"/>
      <c r="C21" s="3"/>
      <c r="D21" s="3"/>
      <c r="E21" s="3"/>
      <c r="F21" s="3"/>
      <c r="G21" s="3"/>
      <c r="H21" s="5">
        <f>1545*((G5+G7)/2)*(G13*1.8+491.67)*(-1+((I15+1)/(G9+1))^(((H7-1)/H7)/H15))/(C2*(((H7-1)/H7)/H15))</f>
        <v>261377.93697490505</v>
      </c>
      <c r="I21" s="5">
        <f>1545*((G5+G7)/2)*(G13*1.8+491.67)*(-1+((I15+1)/(G9+1))^(((H7-1)/H7)/1))/(C2*(((H7-1)/H7)/1))</f>
        <v>254496.21362638607</v>
      </c>
      <c r="J21" s="5">
        <f>33000*H15*H27/H25-H21</f>
        <v>0</v>
      </c>
    </row>
    <row r="22" spans="1:10" x14ac:dyDescent="0.3">
      <c r="A22" s="2" t="s">
        <v>17</v>
      </c>
      <c r="B22" s="3"/>
      <c r="C22" s="3"/>
      <c r="D22" s="3"/>
      <c r="E22" s="3"/>
      <c r="F22" s="3"/>
      <c r="G22" s="1" t="s">
        <v>52</v>
      </c>
      <c r="H22" s="8" t="s">
        <v>50</v>
      </c>
    </row>
    <row r="23" spans="1:10" x14ac:dyDescent="0.3">
      <c r="A23" s="2" t="s">
        <v>18</v>
      </c>
      <c r="B23" s="3"/>
      <c r="C23" s="3"/>
      <c r="D23" s="3"/>
      <c r="E23" s="3"/>
      <c r="F23" s="3"/>
      <c r="G23" s="3"/>
      <c r="H23" s="5">
        <f>1*C2/(G5*0.082*273)</f>
        <v>1.4219704092099503</v>
      </c>
    </row>
    <row r="24" spans="1:10" x14ac:dyDescent="0.3">
      <c r="A24" s="2" t="s">
        <v>19</v>
      </c>
      <c r="B24" s="3"/>
      <c r="C24" s="3"/>
      <c r="D24" s="3"/>
      <c r="E24" s="3"/>
      <c r="F24" s="3"/>
      <c r="G24" s="2" t="s">
        <v>43</v>
      </c>
      <c r="H24" s="2" t="s">
        <v>51</v>
      </c>
    </row>
    <row r="25" spans="1:10" x14ac:dyDescent="0.3">
      <c r="A25" s="2" t="s">
        <v>20</v>
      </c>
      <c r="B25" s="3"/>
      <c r="C25" s="3"/>
      <c r="D25" s="3"/>
      <c r="E25" s="3"/>
      <c r="F25" s="3"/>
      <c r="G25" s="46"/>
      <c r="H25" s="5">
        <f>H23*H9/27.2155</f>
        <v>990.09794297053077</v>
      </c>
    </row>
    <row r="26" spans="1:10" ht="15" thickBot="1" x14ac:dyDescent="0.35">
      <c r="A26" s="2" t="s">
        <v>21</v>
      </c>
      <c r="B26" s="3"/>
      <c r="C26" s="3"/>
      <c r="D26" s="3"/>
      <c r="E26" s="3"/>
      <c r="F26" s="3"/>
      <c r="G26" s="6" t="s">
        <v>36</v>
      </c>
      <c r="H26" s="2" t="s">
        <v>52</v>
      </c>
      <c r="I26" s="2" t="s">
        <v>96</v>
      </c>
    </row>
    <row r="27" spans="1:10" ht="15" thickBot="1" x14ac:dyDescent="0.35">
      <c r="A27" s="2" t="s">
        <v>22</v>
      </c>
      <c r="B27" s="3"/>
      <c r="C27" s="3"/>
      <c r="D27" s="3"/>
      <c r="E27" s="3"/>
      <c r="F27" s="48"/>
      <c r="G27" s="47"/>
      <c r="H27" s="49">
        <f>IF(G23&lt;&gt;0,G23,H25*H21/(33000*H15))</f>
        <v>10502.251285947927</v>
      </c>
      <c r="I27" s="5">
        <f>H25*I21/(33000*H15)</f>
        <v>10225.741383379293</v>
      </c>
    </row>
    <row r="28" spans="1:10" x14ac:dyDescent="0.3">
      <c r="A28" s="2" t="s">
        <v>23</v>
      </c>
      <c r="B28" s="3"/>
      <c r="C28" s="3"/>
      <c r="D28" s="3"/>
      <c r="E28" s="3"/>
      <c r="F28" s="3"/>
      <c r="H28" s="2" t="s">
        <v>53</v>
      </c>
      <c r="I28" s="2" t="s">
        <v>97</v>
      </c>
      <c r="J28" s="17" t="s">
        <v>75</v>
      </c>
    </row>
    <row r="29" spans="1:10" x14ac:dyDescent="0.3">
      <c r="H29" s="5">
        <f>(H7*32.1768*(1545/C2)*(G13*1.8+491.67)*G5)^(0.5)</f>
        <v>984.36007511090065</v>
      </c>
      <c r="I29" s="5">
        <f>I21*32.2/((H31^2)*D39)</f>
        <v>20.425871325076315</v>
      </c>
      <c r="J29" s="5">
        <f>_xlfn.FLOOR.PRECISE(I29,1)+1</f>
        <v>21</v>
      </c>
    </row>
    <row r="30" spans="1:10" x14ac:dyDescent="0.3">
      <c r="A30" s="2" t="s">
        <v>54</v>
      </c>
      <c r="B30" s="2" t="s">
        <v>55</v>
      </c>
      <c r="C30" s="2" t="s">
        <v>56</v>
      </c>
      <c r="D30" s="2" t="s">
        <v>57</v>
      </c>
      <c r="E30" s="2" t="s">
        <v>76</v>
      </c>
      <c r="F30" s="2" t="s">
        <v>77</v>
      </c>
      <c r="H30" s="2" t="s">
        <v>72</v>
      </c>
    </row>
    <row r="31" spans="1:10" x14ac:dyDescent="0.3">
      <c r="A31" s="19">
        <v>800</v>
      </c>
      <c r="B31" s="19">
        <v>2000</v>
      </c>
      <c r="C31" s="19">
        <v>0.48</v>
      </c>
      <c r="D31" s="19">
        <v>0.48</v>
      </c>
      <c r="E31" s="19">
        <v>14</v>
      </c>
      <c r="F31" s="19">
        <v>16</v>
      </c>
      <c r="H31" s="5">
        <f>IF((0.9*H29)&gt;900,900,H29*0.9)</f>
        <v>885.92406759981066</v>
      </c>
    </row>
    <row r="32" spans="1:10" x14ac:dyDescent="0.3">
      <c r="A32" s="19">
        <v>1500</v>
      </c>
      <c r="B32" s="19">
        <v>7000</v>
      </c>
      <c r="C32" s="19">
        <v>0.49</v>
      </c>
      <c r="D32" s="19">
        <v>0.5</v>
      </c>
      <c r="E32" s="19">
        <v>17</v>
      </c>
      <c r="F32" s="19">
        <v>19</v>
      </c>
      <c r="H32" s="21" t="s">
        <v>73</v>
      </c>
      <c r="I32" s="17" t="s">
        <v>75</v>
      </c>
      <c r="J32" s="12"/>
    </row>
    <row r="33" spans="1:10" x14ac:dyDescent="0.3">
      <c r="A33" s="19">
        <v>4000</v>
      </c>
      <c r="B33" s="19">
        <v>12000</v>
      </c>
      <c r="C33" s="19">
        <v>0.5</v>
      </c>
      <c r="D33" s="19">
        <v>0.51</v>
      </c>
      <c r="E33" s="19">
        <v>21</v>
      </c>
      <c r="F33" s="19">
        <v>22</v>
      </c>
      <c r="H33" s="5">
        <f>H21*32.2/((H31^2)*D39)</f>
        <v>20.978198582164623</v>
      </c>
      <c r="I33" s="5">
        <f>_xlfn.FLOOR.PRECISE(H33,1)+1</f>
        <v>21</v>
      </c>
    </row>
    <row r="34" spans="1:10" x14ac:dyDescent="0.3">
      <c r="A34" s="19">
        <v>6000</v>
      </c>
      <c r="B34" s="19">
        <v>17000</v>
      </c>
      <c r="C34" s="19">
        <v>0.51</v>
      </c>
      <c r="D34" s="19">
        <v>0.52</v>
      </c>
      <c r="E34" s="19">
        <v>24</v>
      </c>
      <c r="F34" s="19">
        <v>24</v>
      </c>
      <c r="H34" s="2" t="s">
        <v>102</v>
      </c>
      <c r="I34" s="2" t="s">
        <v>98</v>
      </c>
    </row>
    <row r="35" spans="1:10" x14ac:dyDescent="0.3">
      <c r="A35" s="19">
        <v>8000</v>
      </c>
      <c r="B35" s="19">
        <v>35000</v>
      </c>
      <c r="C35" s="19">
        <v>0.51</v>
      </c>
      <c r="D35" s="19">
        <v>0.52</v>
      </c>
      <c r="E35" s="19">
        <v>32</v>
      </c>
      <c r="F35" s="19">
        <v>32</v>
      </c>
      <c r="H35" s="5">
        <f>(H21*32.2/(I33*D39))^0.5</f>
        <v>885.46408149874367</v>
      </c>
      <c r="I35" s="5">
        <f>(I21*32.2/(J29*D39))^0.5</f>
        <v>873.72980072782673</v>
      </c>
    </row>
    <row r="36" spans="1:10" x14ac:dyDescent="0.3">
      <c r="A36" s="19">
        <v>35000</v>
      </c>
      <c r="B36" s="19">
        <v>65000</v>
      </c>
      <c r="C36" s="19">
        <v>0.53</v>
      </c>
      <c r="D36" s="19">
        <v>0.53</v>
      </c>
      <c r="E36" s="19">
        <v>42</v>
      </c>
      <c r="F36" s="19">
        <v>45</v>
      </c>
      <c r="H36" s="2" t="s">
        <v>79</v>
      </c>
      <c r="I36" s="2" t="s">
        <v>99</v>
      </c>
    </row>
    <row r="37" spans="1:10" x14ac:dyDescent="0.3">
      <c r="A37" s="19">
        <v>65000</v>
      </c>
      <c r="B37" s="19">
        <v>100000</v>
      </c>
      <c r="C37" s="19">
        <v>0.54</v>
      </c>
      <c r="D37" s="19">
        <v>0.54</v>
      </c>
      <c r="E37" s="19">
        <v>54</v>
      </c>
      <c r="F37" s="19">
        <v>60</v>
      </c>
      <c r="H37" s="5">
        <f>229*H35/F39</f>
        <v>6336.6023332253844</v>
      </c>
      <c r="I37" s="5">
        <f>229*I35/F39</f>
        <v>6252.6288864585104</v>
      </c>
    </row>
    <row r="38" spans="1:10" ht="15" thickBot="1" x14ac:dyDescent="0.35">
      <c r="A38" s="18" t="s">
        <v>60</v>
      </c>
      <c r="B38" s="5">
        <f>VLOOKUP($B$39,$A$31:$D$37,1,TRUE)</f>
        <v>8000</v>
      </c>
      <c r="C38" s="5">
        <f>VLOOKUP($B$39,$A$31:$D$37,2,TRUE)</f>
        <v>35000</v>
      </c>
      <c r="D38" s="20">
        <f>VLOOKUP($B$39,$A$31:$D$37,3,TRUE)</f>
        <v>0.51</v>
      </c>
      <c r="E38" s="5">
        <f>VLOOKUP($B$39,$A$31:$D$37,4,TRUE)</f>
        <v>0.52</v>
      </c>
      <c r="F38" s="5">
        <f>VLOOKUP($B$39,$A$31:$F$37,5,TRUE)</f>
        <v>32</v>
      </c>
      <c r="G38" s="25">
        <f>VLOOKUP($B$39,$A$31:$F$37,6,TRUE)</f>
        <v>32</v>
      </c>
      <c r="H38" s="2" t="s">
        <v>80</v>
      </c>
      <c r="I38" s="2" t="s">
        <v>100</v>
      </c>
    </row>
    <row r="39" spans="1:10" ht="15" thickBot="1" x14ac:dyDescent="0.35">
      <c r="A39" s="2" t="s">
        <v>70</v>
      </c>
      <c r="B39" s="20">
        <f>(H25/H23)/0.0624279605761446</f>
        <v>11153.430151136892</v>
      </c>
      <c r="C39" s="23" t="s">
        <v>74</v>
      </c>
      <c r="D39" s="44">
        <f>E38-((E38-D38)/((C38-B38)/(C38-B39)))</f>
        <v>0.51116793709301367</v>
      </c>
      <c r="E39" s="24" t="s">
        <v>78</v>
      </c>
      <c r="F39" s="44">
        <f>G38-((G38-F38)/((C38-B38)/(C38-B39)))</f>
        <v>32</v>
      </c>
      <c r="H39" s="5">
        <f>H37*((B39/60)^0.5)/(H21^(0.75))</f>
        <v>7.4736603911753265</v>
      </c>
      <c r="I39" s="5">
        <f>I37*((B39/60)^0.5)/(I21^(0.75))</f>
        <v>7.523679024943374</v>
      </c>
      <c r="J39" t="s">
        <v>82</v>
      </c>
    </row>
    <row r="40" spans="1:10" x14ac:dyDescent="0.3">
      <c r="A40" s="2" t="s">
        <v>71</v>
      </c>
      <c r="B40" s="5">
        <f>IF(B38=A31,A32,IF(B38=A32,A33,IF(B38=A33,A34,IF(B38=A34,A35,IF(B38=A35,A36,A37)))))</f>
        <v>35000</v>
      </c>
      <c r="C40" s="5"/>
      <c r="D40" s="22"/>
      <c r="E40" s="5"/>
      <c r="F40" s="22"/>
      <c r="G40" s="25"/>
      <c r="H40" s="2" t="s">
        <v>81</v>
      </c>
      <c r="I40" s="2" t="s">
        <v>101</v>
      </c>
    </row>
    <row r="41" spans="1:10" x14ac:dyDescent="0.3">
      <c r="H41" s="5">
        <f>(F39/12)*(H21^0.25)/((B39/60)^0.5)</f>
        <v>4.4223932959618715</v>
      </c>
      <c r="I41" s="5">
        <f>(F39/12)*(I21^0.25)/((B39/60)^0.5)</f>
        <v>4.3929925107987113</v>
      </c>
      <c r="J41" t="s">
        <v>82</v>
      </c>
    </row>
    <row r="43" spans="1:10" ht="15" hidden="1" thickBot="1" x14ac:dyDescent="0.35">
      <c r="A43" s="54" t="s">
        <v>83</v>
      </c>
      <c r="B43" s="55"/>
      <c r="C43" s="42" t="s">
        <v>91</v>
      </c>
      <c r="E43" s="33" t="s">
        <v>92</v>
      </c>
    </row>
    <row r="44" spans="1:10" ht="15" hidden="1" thickBot="1" x14ac:dyDescent="0.35">
      <c r="A44" s="21" t="s">
        <v>84</v>
      </c>
      <c r="B44" s="28"/>
      <c r="C44" s="29"/>
      <c r="D44" s="39">
        <f>B44</f>
        <v>0</v>
      </c>
      <c r="E44" s="29"/>
      <c r="F44" s="36" t="s">
        <v>89</v>
      </c>
    </row>
    <row r="45" spans="1:10" ht="15" hidden="1" thickBot="1" x14ac:dyDescent="0.35">
      <c r="A45" s="21" t="s">
        <v>85</v>
      </c>
      <c r="B45" s="30"/>
      <c r="C45" s="27" t="e">
        <f>C46-((C46-C44)/((B46-B44)/(B46-B45)))</f>
        <v>#DIV/0!</v>
      </c>
      <c r="D45" s="41">
        <f>B45</f>
        <v>0</v>
      </c>
      <c r="E45" s="27" t="e">
        <f>E46-((E46-E44)/((D46-D44)/(D46-D45)))</f>
        <v>#DIV/0!</v>
      </c>
      <c r="F45" s="35"/>
    </row>
    <row r="46" spans="1:10" ht="15" hidden="1" thickBot="1" x14ac:dyDescent="0.35">
      <c r="A46" s="21" t="s">
        <v>86</v>
      </c>
      <c r="B46" s="31"/>
      <c r="C46" s="32"/>
      <c r="D46" s="40">
        <f>B46</f>
        <v>0</v>
      </c>
      <c r="E46" s="32"/>
      <c r="F46" s="38" t="s">
        <v>88</v>
      </c>
    </row>
    <row r="47" spans="1:10" ht="15" hidden="1" thickBot="1" x14ac:dyDescent="0.35">
      <c r="A47" s="2" t="s">
        <v>87</v>
      </c>
      <c r="B47" s="43" t="s">
        <v>93</v>
      </c>
      <c r="C47" s="35"/>
      <c r="D47" s="34" t="s">
        <v>94</v>
      </c>
      <c r="E47" s="26"/>
      <c r="F47" s="37" t="e">
        <f>E45-((E45-C45)/((E47-C47)/(E47-F45)))</f>
        <v>#DIV/0!</v>
      </c>
    </row>
    <row r="48" spans="1:10" hidden="1" x14ac:dyDescent="0.3">
      <c r="A48" s="2" t="s">
        <v>90</v>
      </c>
      <c r="B48" s="3">
        <v>1.7656104079999999</v>
      </c>
    </row>
  </sheetData>
  <mergeCells count="2">
    <mergeCell ref="H1:I1"/>
    <mergeCell ref="A43:B4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2021-06-25T18:37:06Z</dcterms:created>
  <dcterms:modified xsi:type="dcterms:W3CDTF">2025-06-23T01:16:42Z</dcterms:modified>
</cp:coreProperties>
</file>