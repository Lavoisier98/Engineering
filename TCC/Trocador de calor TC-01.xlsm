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75f947a81b6fffb/Área de Trabalho/TCC/"/>
    </mc:Choice>
  </mc:AlternateContent>
  <xr:revisionPtr revIDLastSave="0" documentId="8_{0C5EFBA6-40FB-48D3-B4EF-3FD1F503FC5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Trocador" sheetId="1" r:id="rId1"/>
    <sheet name="Tabela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" i="1" l="1"/>
  <c r="H12" i="1" s="1"/>
  <c r="F14" i="1"/>
  <c r="G14" i="1" s="1"/>
  <c r="E12" i="1"/>
  <c r="G12" i="1" s="1"/>
  <c r="B12" i="1"/>
  <c r="G10" i="1"/>
  <c r="A12" i="1" s="1"/>
  <c r="H10" i="1"/>
  <c r="L6" i="1"/>
  <c r="A6" i="1" s="1"/>
  <c r="A7" i="1" s="1"/>
  <c r="B14" i="1"/>
  <c r="D12" i="1" l="1"/>
  <c r="B6" i="1"/>
  <c r="B7" i="1" s="1"/>
  <c r="B18" i="1"/>
  <c r="A18" i="1" l="1"/>
  <c r="B30" i="1" s="1"/>
  <c r="H765" i="2"/>
  <c r="H764" i="2"/>
  <c r="H763" i="2"/>
  <c r="H762" i="2"/>
  <c r="H761" i="2"/>
  <c r="H760" i="2"/>
  <c r="H759" i="2"/>
  <c r="H758" i="2"/>
  <c r="H757" i="2"/>
  <c r="H754" i="2"/>
  <c r="F10" i="1"/>
  <c r="M10" i="1"/>
  <c r="I10" i="1"/>
  <c r="I6" i="1"/>
  <c r="H6" i="1"/>
  <c r="H7" i="1" s="1"/>
  <c r="G6" i="1"/>
  <c r="G7" i="1" s="1"/>
  <c r="A26" i="1" s="1"/>
  <c r="F6" i="1"/>
  <c r="F7" i="1" s="1"/>
  <c r="E6" i="1"/>
  <c r="E7" i="1" s="1"/>
  <c r="D6" i="1"/>
  <c r="D7" i="1" s="1"/>
  <c r="C6" i="1"/>
  <c r="C7" i="1" s="1"/>
  <c r="B26" i="1" s="1"/>
  <c r="I7" i="1" l="1"/>
  <c r="C10" i="1"/>
  <c r="A10" i="1"/>
  <c r="B10" i="1" s="1"/>
  <c r="D10" i="1"/>
  <c r="E10" i="1" l="1"/>
  <c r="C12" i="1" s="1"/>
  <c r="A14" i="1" l="1"/>
  <c r="I12" i="1" l="1"/>
  <c r="C14" i="1" s="1"/>
  <c r="D14" i="1" l="1"/>
  <c r="B20" i="1" s="1"/>
  <c r="B22" i="1" s="1"/>
  <c r="E14" i="1"/>
  <c r="I14" i="1" l="1"/>
  <c r="B24" i="1"/>
  <c r="B28" i="1" s="1"/>
  <c r="A20" i="1"/>
  <c r="A22" i="1" s="1"/>
  <c r="A24" i="1" s="1"/>
  <c r="H14" i="1"/>
  <c r="A32" i="1" l="1"/>
  <c r="A34" i="1" s="1"/>
  <c r="A28" i="1"/>
  <c r="A30" i="1" s="1"/>
  <c r="C16" i="1" s="1"/>
  <c r="B32" i="1"/>
  <c r="B34" i="1" s="1"/>
  <c r="A36" i="1" l="1"/>
  <c r="D16" i="1"/>
  <c r="E16" i="1" s="1"/>
  <c r="B36" i="1"/>
</calcChain>
</file>

<file path=xl/sharedStrings.xml><?xml version="1.0" encoding="utf-8"?>
<sst xmlns="http://schemas.openxmlformats.org/spreadsheetml/2006/main" count="1774" uniqueCount="132">
  <si>
    <t>Fluído quente</t>
  </si>
  <si>
    <t>Fluído frio</t>
  </si>
  <si>
    <t>W [kg/h]</t>
  </si>
  <si>
    <t>Transcrição e homogeneização dos dados</t>
  </si>
  <si>
    <t>Inserção de dados</t>
  </si>
  <si>
    <t>Cp [kcal/(kgK)]</t>
  </si>
  <si>
    <t>Qtrocador [kcal/h]</t>
  </si>
  <si>
    <t>LMDT [°F]</t>
  </si>
  <si>
    <t>R</t>
  </si>
  <si>
    <t>P</t>
  </si>
  <si>
    <t>Ft</t>
  </si>
  <si>
    <t>Passes (casco)</t>
  </si>
  <si>
    <t>Fator de Fuligem</t>
  </si>
  <si>
    <t>Fluído 1</t>
  </si>
  <si>
    <t>Fluído 2</t>
  </si>
  <si>
    <t>Água</t>
  </si>
  <si>
    <t>Gás (10 psig)</t>
  </si>
  <si>
    <t>Pressão [psig]</t>
  </si>
  <si>
    <t>Gás (100 psig)</t>
  </si>
  <si>
    <t>Gás (1000 psig)</t>
  </si>
  <si>
    <t>Orgânico Leve (Líq.)</t>
  </si>
  <si>
    <t>Orgânico Médio (Líq.)</t>
  </si>
  <si>
    <t>Orgânico Pesado (Líq.)</t>
  </si>
  <si>
    <t>Orgânico Muito Pesado (Líq.)</t>
  </si>
  <si>
    <t>Aquecimento</t>
  </si>
  <si>
    <t>Resfriamento</t>
  </si>
  <si>
    <t>Rd [h.ft²°F/BTU]</t>
  </si>
  <si>
    <t>Ud [BTU/(h.ft²°F)]</t>
  </si>
  <si>
    <t>(Condensação) Vap. Org. leve puro</t>
  </si>
  <si>
    <t>(Condensação) Vap. Org. médio puro</t>
  </si>
  <si>
    <t>(Condensação) Vap. Org. pesado puro</t>
  </si>
  <si>
    <t>Vapor</t>
  </si>
  <si>
    <r>
      <t xml:space="preserve">Leve: </t>
    </r>
    <r>
      <rPr>
        <sz val="11"/>
        <color theme="1"/>
        <rFont val="Calibri"/>
        <family val="2"/>
      </rPr>
      <t>μ&lt; 0,5Cp ; Médio: 0,5Cp&lt;μ&lt;Cp ; Pesado: Cp&lt;μ&lt;100Cp ; Muito Pesado: μ&gt;100Cp</t>
    </r>
  </si>
  <si>
    <t>Trocador</t>
  </si>
  <si>
    <t>Lista</t>
  </si>
  <si>
    <t>Te [°C]</t>
  </si>
  <si>
    <t>Ts [°C]</t>
  </si>
  <si>
    <t>te [°C]</t>
  </si>
  <si>
    <t>ts [°C]</t>
  </si>
  <si>
    <t>LMDT [°C]</t>
  </si>
  <si>
    <t>rd [h.ft²°F/BTU]</t>
  </si>
  <si>
    <t>ud [BTU/(h.ft²°F)]</t>
  </si>
  <si>
    <t>Uc [BTU/(h.ft²°F)]</t>
  </si>
  <si>
    <r>
      <rPr>
        <b/>
        <sz val="11"/>
        <color theme="0"/>
        <rFont val="Calibri"/>
        <family val="2"/>
      </rPr>
      <t>←</t>
    </r>
    <r>
      <rPr>
        <b/>
        <sz val="11"/>
        <color theme="0"/>
        <rFont val="Calibri"/>
        <family val="2"/>
        <scheme val="minor"/>
      </rPr>
      <t>ING</t>
    </r>
  </si>
  <si>
    <t>Tabelados</t>
  </si>
  <si>
    <t>A [ft²]</t>
  </si>
  <si>
    <t>Localização:</t>
  </si>
  <si>
    <t>Rd(req.) [h.ft²°F/BTU]</t>
  </si>
  <si>
    <t>Local:</t>
  </si>
  <si>
    <t>Casco</t>
  </si>
  <si>
    <t>Tubos</t>
  </si>
  <si>
    <t>DE (in.)</t>
  </si>
  <si>
    <t>BWG</t>
  </si>
  <si>
    <t>DI (in.)</t>
  </si>
  <si>
    <t xml:space="preserve">Área a't de escoamento por tubo [in²] </t>
  </si>
  <si>
    <t>Área externa por ft linear [ft²/ft]</t>
  </si>
  <si>
    <t>Tubo   [in]</t>
  </si>
  <si>
    <t>di [in]</t>
  </si>
  <si>
    <t>a't [in²]</t>
  </si>
  <si>
    <t>a''t [in²]</t>
  </si>
  <si>
    <t>v [ft/s]</t>
  </si>
  <si>
    <t>ρ [Lb/ft³]</t>
  </si>
  <si>
    <t>Ntubos / passe</t>
  </si>
  <si>
    <t>Ltrocador [ft]</t>
  </si>
  <si>
    <t>Passes (tubos)</t>
  </si>
  <si>
    <r>
      <t xml:space="preserve">Rd </t>
    </r>
    <r>
      <rPr>
        <b/>
        <sz val="10"/>
        <color theme="0"/>
        <rFont val="Calibri"/>
        <family val="2"/>
        <scheme val="minor"/>
      </rPr>
      <t>[h.ft²°F/BTU]</t>
    </r>
  </si>
  <si>
    <t>Di (casco) [in]</t>
  </si>
  <si>
    <t>Dotl do feixe [in]</t>
  </si>
  <si>
    <t>De do tubo [in]</t>
  </si>
  <si>
    <t>Arranjo</t>
  </si>
  <si>
    <t>Arranjo [in]</t>
  </si>
  <si>
    <t>Número de passes nos tubos</t>
  </si>
  <si>
    <t>15/16T</t>
  </si>
  <si>
    <t>1Q</t>
  </si>
  <si>
    <t>1T</t>
  </si>
  <si>
    <t>5/4Q</t>
  </si>
  <si>
    <t>5/4T</t>
  </si>
  <si>
    <t>3/4</t>
  </si>
  <si>
    <t>1</t>
  </si>
  <si>
    <t>Pitch</t>
  </si>
  <si>
    <t>Pitch [in]</t>
  </si>
  <si>
    <t>Passes:</t>
  </si>
  <si>
    <t>Passes (tabela)</t>
  </si>
  <si>
    <t>Maior</t>
  </si>
  <si>
    <t>Nreal</t>
  </si>
  <si>
    <t>Dcasco [in]</t>
  </si>
  <si>
    <r>
      <t>D</t>
    </r>
    <r>
      <rPr>
        <b/>
        <sz val="9"/>
        <color theme="0"/>
        <rFont val="Calibri"/>
        <family val="2"/>
        <scheme val="minor"/>
      </rPr>
      <t>otl</t>
    </r>
    <r>
      <rPr>
        <b/>
        <sz val="11"/>
        <color theme="0"/>
        <rFont val="Calibri"/>
        <family val="2"/>
        <scheme val="minor"/>
      </rPr>
      <t xml:space="preserve"> do feixe [in]</t>
    </r>
  </si>
  <si>
    <t>De(tubo) [in]</t>
  </si>
  <si>
    <t>Deq(casco) [in]</t>
  </si>
  <si>
    <t>3/4Q</t>
  </si>
  <si>
    <t>15/16Q</t>
  </si>
  <si>
    <t>25/16Q</t>
  </si>
  <si>
    <t>15/8Q</t>
  </si>
  <si>
    <t>3/4T</t>
  </si>
  <si>
    <t>25/16T</t>
  </si>
  <si>
    <t>15/8T</t>
  </si>
  <si>
    <t>Q</t>
  </si>
  <si>
    <t>T</t>
  </si>
  <si>
    <t>Dcasco [ft]</t>
  </si>
  <si>
    <t>Rating</t>
  </si>
  <si>
    <t>Casco:</t>
  </si>
  <si>
    <t>Tubos:</t>
  </si>
  <si>
    <t>At [ft²]</t>
  </si>
  <si>
    <t>B [in]</t>
  </si>
  <si>
    <t>Bmax [ft]</t>
  </si>
  <si>
    <t>Bmin [ft]</t>
  </si>
  <si>
    <t>Ret</t>
  </si>
  <si>
    <t>Res</t>
  </si>
  <si>
    <t>Prt</t>
  </si>
  <si>
    <t>Prs</t>
  </si>
  <si>
    <t>μ [cP]</t>
  </si>
  <si>
    <t>k [BTU/(h.ft²°F)</t>
  </si>
  <si>
    <t>Água de resfriamento nos tubos?</t>
  </si>
  <si>
    <t>Sim</t>
  </si>
  <si>
    <t>Não</t>
  </si>
  <si>
    <t>Resp:</t>
  </si>
  <si>
    <t>hio [BTU/(h.ft²°F)</t>
  </si>
  <si>
    <t>ho [BTU/(h.ft²°F)</t>
  </si>
  <si>
    <t xml:space="preserve">Rd </t>
  </si>
  <si>
    <t>ft</t>
  </si>
  <si>
    <t>fs</t>
  </si>
  <si>
    <t>Status (Rd)</t>
  </si>
  <si>
    <t>N chicanas</t>
  </si>
  <si>
    <t>hi [BTU/(h.ft²°F)</t>
  </si>
  <si>
    <t>As [ft²]</t>
  </si>
  <si>
    <t>C' [in]</t>
  </si>
  <si>
    <t>Gt [Lb/(hft²)]</t>
  </si>
  <si>
    <t>Gs [Lb/(hft²)]</t>
  </si>
  <si>
    <r>
      <rPr>
        <b/>
        <sz val="11"/>
        <color theme="0"/>
        <rFont val="Calibri"/>
        <family val="2"/>
      </rPr>
      <t>∆</t>
    </r>
    <r>
      <rPr>
        <b/>
        <sz val="11"/>
        <color theme="0"/>
        <rFont val="Calibri"/>
        <family val="2"/>
        <scheme val="minor"/>
      </rPr>
      <t>Pt [psi]</t>
    </r>
  </si>
  <si>
    <t>∆Ps [psi]</t>
  </si>
  <si>
    <t>Status (∆Pt)</t>
  </si>
  <si>
    <t>Status (∆Ps)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</si>
</sst>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"/>
    <numFmt numFmtId="166" formatCode="0.000000"/>
    <numFmt numFmtId="167" formatCode="0.0000000"/>
    <numFmt numFmtId="168" formatCode="0.00000000"/>
    <numFmt numFmtId="169" formatCode="#,##0.000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3" fillId="4" borderId="0" xfId="0" applyFont="1" applyFill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0" fontId="1" fillId="4" borderId="0" xfId="0" applyFont="1" applyFill="1"/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9" fontId="1" fillId="5" borderId="0" xfId="0" applyNumberFormat="1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4" borderId="1" xfId="0" applyFont="1" applyFill="1" applyBorder="1"/>
    <xf numFmtId="0" fontId="0" fillId="0" borderId="0" xfId="0" applyAlignment="1">
      <alignment horizontal="center" wrapText="1"/>
    </xf>
    <xf numFmtId="0" fontId="5" fillId="4" borderId="0" xfId="0" applyFont="1" applyFill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165" fontId="1" fillId="5" borderId="0" xfId="0" applyNumberFormat="1" applyFont="1" applyFill="1" applyAlignment="1">
      <alignment horizontal="center"/>
    </xf>
    <xf numFmtId="168" fontId="1" fillId="5" borderId="0" xfId="0" applyNumberFormat="1" applyFont="1" applyFill="1" applyAlignment="1">
      <alignment horizontal="center"/>
    </xf>
    <xf numFmtId="167" fontId="1" fillId="5" borderId="0" xfId="0" applyNumberFormat="1" applyFont="1" applyFill="1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horizontal="center"/>
    </xf>
    <xf numFmtId="2" fontId="1" fillId="5" borderId="0" xfId="0" applyNumberFormat="1" applyFont="1" applyFill="1" applyAlignment="1">
      <alignment horizontal="center"/>
    </xf>
    <xf numFmtId="0" fontId="1" fillId="5" borderId="0" xfId="0" applyFont="1" applyFill="1"/>
    <xf numFmtId="166" fontId="1" fillId="5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left"/>
    </xf>
    <xf numFmtId="0" fontId="0" fillId="0" borderId="12" xfId="0" applyBorder="1" applyAlignment="1">
      <alignment horizontal="center"/>
    </xf>
    <xf numFmtId="0" fontId="0" fillId="0" borderId="4" xfId="0" applyBorder="1"/>
    <xf numFmtId="0" fontId="1" fillId="4" borderId="7" xfId="0" applyFont="1" applyFill="1" applyBorder="1"/>
    <xf numFmtId="0" fontId="0" fillId="0" borderId="12" xfId="0" applyBorder="1"/>
    <xf numFmtId="164" fontId="0" fillId="0" borderId="12" xfId="0" applyNumberFormat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12" xfId="0" applyBorder="1" applyAlignment="1">
      <alignment horizontal="center"/>
    </xf>
    <xf numFmtId="0" fontId="1" fillId="4" borderId="0" xfId="0" applyFont="1" applyFill="1" applyAlignment="1">
      <alignment horizontal="center" vertical="center" wrapText="1"/>
    </xf>
    <xf numFmtId="0" fontId="1" fillId="4" borderId="5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 vertical="center" wrapText="1"/>
    </xf>
    <xf numFmtId="0" fontId="1" fillId="4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1" fontId="0" fillId="0" borderId="12" xfId="0" applyNumberFormat="1" applyBorder="1"/>
    <xf numFmtId="0" fontId="0" fillId="0" borderId="2" xfId="0" quotePrefix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S36"/>
  <sheetViews>
    <sheetView tabSelected="1" workbookViewId="0">
      <selection activeCell="H18" sqref="H18"/>
    </sheetView>
  </sheetViews>
  <sheetFormatPr defaultRowHeight="14.4" x14ac:dyDescent="0.3"/>
  <cols>
    <col min="1" max="1" width="17.44140625" bestFit="1" customWidth="1"/>
    <col min="2" max="2" width="17" bestFit="1" customWidth="1"/>
    <col min="3" max="3" width="15.6640625" customWidth="1"/>
    <col min="4" max="4" width="10.6640625" customWidth="1"/>
    <col min="5" max="5" width="15.5546875" bestFit="1" customWidth="1"/>
    <col min="6" max="6" width="15.33203125" bestFit="1" customWidth="1"/>
    <col min="7" max="7" width="17" bestFit="1" customWidth="1"/>
    <col min="8" max="8" width="15.33203125" bestFit="1" customWidth="1"/>
    <col min="9" max="9" width="17" bestFit="1" customWidth="1"/>
    <col min="11" max="11" width="14.44140625" customWidth="1"/>
    <col min="12" max="12" width="17.5546875" customWidth="1"/>
    <col min="13" max="13" width="20.44140625" customWidth="1"/>
    <col min="14" max="14" width="12.33203125" customWidth="1"/>
    <col min="16" max="16" width="20.109375" customWidth="1"/>
    <col min="17" max="17" width="20.44140625" customWidth="1"/>
    <col min="18" max="18" width="9.44140625" customWidth="1"/>
  </cols>
  <sheetData>
    <row r="2" spans="1:19" s="1" customFormat="1" ht="15" thickBot="1" x14ac:dyDescent="0.35"/>
    <row r="3" spans="1:19" ht="15" thickBot="1" x14ac:dyDescent="0.35">
      <c r="A3" s="4"/>
      <c r="B3" s="38" t="s">
        <v>3</v>
      </c>
      <c r="C3" s="38"/>
      <c r="D3" s="38"/>
      <c r="E3" s="38"/>
      <c r="F3" s="38"/>
      <c r="G3" s="38"/>
      <c r="H3" s="38"/>
      <c r="I3" s="38"/>
      <c r="L3" s="41" t="s">
        <v>4</v>
      </c>
      <c r="M3" s="42"/>
      <c r="N3" s="42"/>
      <c r="O3" s="42"/>
      <c r="P3" s="42"/>
      <c r="Q3" s="42"/>
      <c r="R3" s="42"/>
      <c r="S3" s="43"/>
    </row>
    <row r="4" spans="1:19" x14ac:dyDescent="0.3">
      <c r="A4" s="40" t="s">
        <v>6</v>
      </c>
      <c r="B4" s="46" t="s">
        <v>0</v>
      </c>
      <c r="C4" s="46"/>
      <c r="D4" s="46"/>
      <c r="E4" s="46"/>
      <c r="F4" s="47" t="s">
        <v>1</v>
      </c>
      <c r="G4" s="47"/>
      <c r="H4" s="47"/>
      <c r="I4" s="47"/>
      <c r="K4" s="50" t="s">
        <v>6</v>
      </c>
      <c r="L4" s="48" t="s">
        <v>0</v>
      </c>
      <c r="M4" s="46"/>
      <c r="N4" s="46"/>
      <c r="O4" s="46"/>
      <c r="P4" s="47" t="s">
        <v>1</v>
      </c>
      <c r="Q4" s="47"/>
      <c r="R4" s="47"/>
      <c r="S4" s="49"/>
    </row>
    <row r="5" spans="1:19" ht="15" thickBot="1" x14ac:dyDescent="0.35">
      <c r="A5" s="40"/>
      <c r="B5" s="9" t="s">
        <v>2</v>
      </c>
      <c r="C5" s="9" t="s">
        <v>5</v>
      </c>
      <c r="D5" s="9" t="s">
        <v>35</v>
      </c>
      <c r="E5" s="9" t="s">
        <v>36</v>
      </c>
      <c r="F5" s="10" t="s">
        <v>2</v>
      </c>
      <c r="G5" s="10" t="s">
        <v>5</v>
      </c>
      <c r="H5" s="10" t="s">
        <v>37</v>
      </c>
      <c r="I5" s="10" t="s">
        <v>38</v>
      </c>
      <c r="K5" s="51"/>
      <c r="L5" s="19" t="s">
        <v>2</v>
      </c>
      <c r="M5" s="20" t="s">
        <v>5</v>
      </c>
      <c r="N5" s="20" t="s">
        <v>35</v>
      </c>
      <c r="O5" s="20" t="s">
        <v>36</v>
      </c>
      <c r="P5" s="21" t="s">
        <v>2</v>
      </c>
      <c r="Q5" s="21" t="s">
        <v>5</v>
      </c>
      <c r="R5" s="21" t="s">
        <v>37</v>
      </c>
      <c r="S5" s="22" t="s">
        <v>38</v>
      </c>
    </row>
    <row r="6" spans="1:19" s="1" customFormat="1" ht="15" thickBot="1" x14ac:dyDescent="0.35">
      <c r="A6" s="11">
        <f>IF(K6&lt;&gt;0,K6,IF(L6*M6*(N6-O6)&lt;&gt;0,L6*M6*(N6-O6),P6*Q6*(S6-R6)))</f>
        <v>12711609.878754478</v>
      </c>
      <c r="B6" s="11">
        <f>IFERROR(IF(L6&lt;&gt;0,L6,IF(K6&lt;&gt;0,K6,P6*Q6*(S6-R6)/(M6*(N6-O6)))),0)</f>
        <v>50045.708184072748</v>
      </c>
      <c r="C6" s="12">
        <f>IFERROR(IF(M6&lt;&gt;0,M6,IF(K6&lt;&gt;0,K6,P6*Q6*(S6-R6)/(L6*(N6-O6)))),0)</f>
        <v>1</v>
      </c>
      <c r="D6" s="12">
        <f>IFERROR(IF(N6&lt;&gt;0,N6,IF(K6&lt;&gt;0,K6,O6+P6*Q6*(S6-R6)/(L6*M6))),0)</f>
        <v>254</v>
      </c>
      <c r="E6" s="12">
        <f>IFERROR(IF(O6&lt;&gt;0,O6,IF(K6&lt;&gt;0,K6,N6-P6*Q6*(S6-R6)/(L6*M6))),0)</f>
        <v>-108.89999999999998</v>
      </c>
      <c r="F6" s="11">
        <f>IFERROR(IF(P6&lt;&gt;0,P6,IF(K6&lt;&gt;0,K6,L6*M6*(O6-N6)/(Q6*(R6-S6)))),0)</f>
        <v>337890</v>
      </c>
      <c r="G6" s="12">
        <f>IFERROR(IF(Q6&lt;&gt;0,Q6,IF(K6&lt;&gt;0,K6,L6*M6*(O6-N6)/(P6*(R6-S6)))),0)</f>
        <v>0.25</v>
      </c>
      <c r="H6" s="12">
        <f>IFERROR(IF(R6&lt;&gt;0,R6,IF(K6&lt;&gt;0,K6,S6+L6*M6*(O6-N6)/(P6*Q6))),0)</f>
        <v>25</v>
      </c>
      <c r="I6" s="12">
        <f>IFERROR(IF(S6&lt;&gt;0,S6,IF(K6&lt;&gt;0,K6,R6-L6*M6*(O6-N6)/(P6*Q6))),0)</f>
        <v>240</v>
      </c>
      <c r="K6" s="13"/>
      <c r="L6" s="54">
        <f>P6*Q6*(S6-R6)/362.9</f>
        <v>50045.708184072748</v>
      </c>
      <c r="M6" s="14">
        <v>1</v>
      </c>
      <c r="N6" s="14">
        <v>254</v>
      </c>
      <c r="O6" s="14"/>
      <c r="P6" s="14">
        <v>337890</v>
      </c>
      <c r="Q6" s="14">
        <v>0.25</v>
      </c>
      <c r="R6" s="14">
        <v>25</v>
      </c>
      <c r="S6" s="15">
        <v>240</v>
      </c>
    </row>
    <row r="7" spans="1:19" s="1" customFormat="1" x14ac:dyDescent="0.3">
      <c r="A7" s="11">
        <f>A6*4.184*1000/1055.05585261999</f>
        <v>50410009.66975826</v>
      </c>
      <c r="B7" s="11">
        <f>2.20462262184877*B6</f>
        <v>110331.9003890489</v>
      </c>
      <c r="C7" s="12">
        <f>C6</f>
        <v>1</v>
      </c>
      <c r="D7" s="12">
        <f>D6*1.8+32</f>
        <v>489.2</v>
      </c>
      <c r="E7" s="12">
        <f>E6*1.8+32</f>
        <v>-164.01999999999995</v>
      </c>
      <c r="F7" s="11">
        <f>2.20462262184877*F6</f>
        <v>744919.93769648089</v>
      </c>
      <c r="G7" s="12">
        <f>G6</f>
        <v>0.25</v>
      </c>
      <c r="H7" s="12">
        <f>H6*1.8+32</f>
        <v>77</v>
      </c>
      <c r="I7" s="12">
        <f>I6*1.8+32</f>
        <v>464</v>
      </c>
      <c r="J7" s="3" t="s">
        <v>43</v>
      </c>
      <c r="K7" s="40" t="s">
        <v>11</v>
      </c>
      <c r="L7" s="38" t="s">
        <v>33</v>
      </c>
      <c r="M7" s="38"/>
      <c r="N7" s="40" t="s">
        <v>47</v>
      </c>
      <c r="O7" s="44" t="s">
        <v>56</v>
      </c>
      <c r="P7" s="2"/>
      <c r="Q7" s="2"/>
      <c r="R7" s="42" t="s">
        <v>80</v>
      </c>
      <c r="S7" s="2"/>
    </row>
    <row r="8" spans="1:19" x14ac:dyDescent="0.3">
      <c r="F8" s="38" t="s">
        <v>44</v>
      </c>
      <c r="G8" s="38"/>
      <c r="H8" s="38"/>
      <c r="I8" s="38"/>
      <c r="K8" s="40"/>
      <c r="L8" s="3" t="s">
        <v>13</v>
      </c>
      <c r="M8" s="3" t="s">
        <v>14</v>
      </c>
      <c r="N8" s="40"/>
      <c r="O8" s="45"/>
      <c r="P8" s="3" t="s">
        <v>52</v>
      </c>
      <c r="Q8" s="3" t="s">
        <v>63</v>
      </c>
      <c r="R8" s="38"/>
      <c r="S8" s="3" t="s">
        <v>103</v>
      </c>
    </row>
    <row r="9" spans="1:19" ht="15" thickBot="1" x14ac:dyDescent="0.35">
      <c r="A9" s="3" t="s">
        <v>39</v>
      </c>
      <c r="B9" s="3" t="s">
        <v>7</v>
      </c>
      <c r="C9" s="3" t="s">
        <v>9</v>
      </c>
      <c r="D9" s="3" t="s">
        <v>8</v>
      </c>
      <c r="E9" s="3" t="s">
        <v>10</v>
      </c>
      <c r="F9" s="3" t="s">
        <v>65</v>
      </c>
      <c r="G9" s="3" t="s">
        <v>27</v>
      </c>
      <c r="H9" s="3" t="s">
        <v>40</v>
      </c>
      <c r="I9" s="3" t="s">
        <v>41</v>
      </c>
      <c r="K9" s="1">
        <v>1</v>
      </c>
      <c r="L9" t="s">
        <v>31</v>
      </c>
      <c r="M9" t="s">
        <v>20</v>
      </c>
      <c r="N9" s="1">
        <v>0.02</v>
      </c>
      <c r="O9" s="1">
        <v>1</v>
      </c>
      <c r="P9" s="1">
        <v>14</v>
      </c>
      <c r="Q9" s="1">
        <v>33.450000000000003</v>
      </c>
      <c r="R9" t="s">
        <v>76</v>
      </c>
      <c r="S9" s="1"/>
    </row>
    <row r="10" spans="1:19" ht="15" thickBot="1" x14ac:dyDescent="0.35">
      <c r="A10" s="23">
        <f>((I6-H6)-(D6-E6))/LN((I6-H6)/(D6-E6))</f>
        <v>282.52727215163628</v>
      </c>
      <c r="B10" s="23">
        <f>A10*1.8</f>
        <v>508.54908987294533</v>
      </c>
      <c r="C10" s="12">
        <f>(I6-H6)/(D6-H6)</f>
        <v>0.93886462882096067</v>
      </c>
      <c r="D10" s="24">
        <f>(D6-E6)/(I6-H6)</f>
        <v>1.6879069767441859</v>
      </c>
      <c r="E10" s="25">
        <f>IFERROR(IF(K9=1,(D10^2+1)^(0.5)*LN((1-C10)/(1-D10*C10))/((D10-1)*LN((2-C10*(D10+1-(D10^2+1)^0.5))/(2-C10*(D10+1+(D10^2+1)^0.5)))),IF(K9=2,(D10^2+1)^0.5*LN((1-C10)/(1-D10*C10))/(2*(D10-1)*LN((2/C10-1-D10+2/C10*((1-C10)*(1-D10*C10))^0.5+(D10^2+1)^0.5)/(2/C10-1-D10+2/C10*((1-C10)*(1-D10*C10))^0.5-(D10^2+1)^0.5))),((((1-D10*C10)/(1-C10))^(1/K9)-1)/(((1-D10*C10)/(1-C10))^(1/K9)-D10))*K9*(D10^2+1)^0.5*LN((1-((((1-D10*C10)/(1-C10))^(1/K9)-1)/(((1-D10*C10)/(1-C10))^(1/K9)-D10)))/(1-D10*((((1-D10*C10)/(1-C10))^(1/K9)-1)/(((1-D10*C10)/(1-C10))^(1/K9)-D10))))/((D10-1)*C10*LN((2-((((1-D10*C10)/(1-C10))^(1/K9)-1)/(((1-D10*C10)/(1-C10))^(1/K9)-D10))*(D10+1-(D10^2+1)^0.5))/(2-((((1-D10*C10)/(1-C10))^(1/K9)-1)/(((1-D10*C10)/(1-C10))^(1/K9)-D10))*(D10+1+(D10^2+1)^0.5)))))),1)</f>
        <v>1</v>
      </c>
      <c r="F10" s="12">
        <f>IFERROR(IF(L9=Tabelas!A3,VLOOKUP(M9,Tabelas!C3:H13,3,FALSE),IF(L9=Tabelas!A4,VLOOKUP(M9,Tabelas!C14:H21,3,FALSE),IF(L9=Tabelas!A5,VLOOKUP(M9,Tabelas!C22:H25,3,FALSE),IF(L9=Tabelas!A6,VLOOKUP(M9,Tabelas!C26:H28,3,FALSE),VLOOKUP(M9,Tabelas!C29:H129,3,FALSE))))),0)</f>
        <v>1E-3</v>
      </c>
      <c r="G10" s="12">
        <f>IFERROR(IF(L9=Tabelas!A3,VLOOKUP(M9,Tabelas!C3:H13,5,FALSE),IF(L9=Tabelas!A4,VLOOKUP(M9,Tabelas!C14:H21,5,FALSE),IF(L9=Tabelas!A5,VLOOKUP(M9,Tabelas!C22:H25,5,FALSE),IF(L9=Tabelas!A6,VLOOKUP(M9,Tabelas!C26:H28,5,FALSE),VLOOKUP(M9,Tabelas!C29:H129,5,FALSE))))),0)</f>
        <v>135</v>
      </c>
      <c r="H10" s="12">
        <f>IFERROR(IF(L9=Tabelas!A3,VLOOKUP(M9,Tabelas!C3:H13,4,FALSE),IF(L9=Tabelas!A4,VLOOKUP(M9,Tabelas!C14:H21,4,FALSE),IF(L9=Tabelas!A5,VLOOKUP(M9,Tabelas!C22:H25,4,FALSE),IF(L9=Tabelas!A6,VLOOKUP(M9,Tabelas!C26:H28,4,FALSE),VLOOKUP(M9,Tabelas!C29:H129,4,FALSE))))),0)</f>
        <v>1E-3</v>
      </c>
      <c r="I10" s="12">
        <f>IFERROR(IF(L9=Tabelas!A3,VLOOKUP(M9,Tabelas!C3:H13,6,FALSE),IF(L9=Tabelas!A4,VLOOKUP(M9,Tabelas!C14:H21,6,FALSE),IF(L9=Tabelas!A5,VLOOKUP(M9,Tabelas!C22:H25,6,FALSE),IF(L9=Tabelas!A6,VLOOKUP(M9,Tabelas!C26:H28,6,FALSE),VLOOKUP(M9,Tabelas!C29:H129,6,FALSE))))),0)</f>
        <v>135</v>
      </c>
      <c r="K10" s="16" t="s">
        <v>46</v>
      </c>
      <c r="L10" s="34" t="s">
        <v>49</v>
      </c>
      <c r="M10" s="35" t="str">
        <f>IF(L10="Casco","Tubos","Casco")</f>
        <v>Tubos</v>
      </c>
      <c r="N10" s="8" t="s">
        <v>112</v>
      </c>
      <c r="O10" s="8"/>
      <c r="P10" s="8"/>
    </row>
    <row r="11" spans="1:19" x14ac:dyDescent="0.3">
      <c r="A11" s="3" t="s">
        <v>42</v>
      </c>
      <c r="B11" s="3" t="s">
        <v>27</v>
      </c>
      <c r="C11" s="3" t="s">
        <v>45</v>
      </c>
      <c r="D11" s="3" t="s">
        <v>57</v>
      </c>
      <c r="E11" s="3" t="s">
        <v>58</v>
      </c>
      <c r="F11" s="3" t="s">
        <v>59</v>
      </c>
      <c r="G11" s="3" t="s">
        <v>62</v>
      </c>
      <c r="H11" s="3" t="s">
        <v>64</v>
      </c>
      <c r="I11" s="3" t="s">
        <v>50</v>
      </c>
      <c r="K11" s="3" t="s">
        <v>60</v>
      </c>
      <c r="L11" s="36"/>
      <c r="M11" s="37">
        <v>160</v>
      </c>
      <c r="N11" s="39" t="s">
        <v>114</v>
      </c>
      <c r="O11" s="39"/>
      <c r="P11" s="39"/>
    </row>
    <row r="12" spans="1:19" x14ac:dyDescent="0.3">
      <c r="A12" s="12">
        <f>(1/G10-H10)^-1</f>
        <v>156.06936416184971</v>
      </c>
      <c r="B12" s="12">
        <f>(1/A12+IF(N9=0,F10,N9))^-1</f>
        <v>37.868162692847122</v>
      </c>
      <c r="C12" s="23">
        <f>A7/(B12*B10*E10)</f>
        <v>2617.6384724102772</v>
      </c>
      <c r="D12" s="23">
        <f>IFERROR(IF(O9=Tabelas!A34,VLOOKUP(P9,Tabelas!C34:H38,2,FALSE),IF(O9=Tabelas!A35,VLOOKUP(P9,Tabelas!C39:H47,2,FALSE),IF(O9=Tabelas!A36,VLOOKUP(P9,Tabelas!C48:H58,2,FALSE),IF(O9=Tabelas!A37,VLOOKUP(P9,Tabelas!C59:H69,2,FALSE),VLOOKUP(P9,Tabelas!C70:H80,2,FALSE))))),0)</f>
        <v>0.83399999999999996</v>
      </c>
      <c r="E12" s="12">
        <f>IFERROR(IF(O9=Tabelas!A34,VLOOKUP(P9,Tabelas!C34:H38,3,FALSE),IF(O9=Tabelas!A35,VLOOKUP(P9,Tabelas!C39:H47,3,FALSE),IF(O9=Tabelas!A36,VLOOKUP(P9,Tabelas!C48:H58,3,FALSE),IF(O9=Tabelas!A37,VLOOKUP(P9,Tabelas!C59:H69,3,FALSE),VLOOKUP(P9,Tabelas!C70:H80,3,FALSE))))),0)*2</f>
        <v>1.0920000000000001</v>
      </c>
      <c r="F12" s="12">
        <f>IFERROR(IF(O9=Tabelas!A34,VLOOKUP(P9,Tabelas!C34:H38,4,FALSE),IF(O9=Tabelas!A35,VLOOKUP(P9,Tabelas!C39:H47,4,FALSE),IF(O9=Tabelas!A36,VLOOKUP(P9,Tabelas!C48:H58,4,FALSE),IF(O9=Tabelas!A37,VLOOKUP(P9,Tabelas!C59:H69,4,FALSE),VLOOKUP(P9,Tabelas!C70:H80,4,FALSE))))),0)*2</f>
        <v>0.52359999999999995</v>
      </c>
      <c r="G12" s="12">
        <f>ROUNDUP((F7/(3600*M12*M11))/(E12/12),0)</f>
        <v>97</v>
      </c>
      <c r="H12" s="12">
        <f>ROUND((C12/(F12*G12))/Q9,0)</f>
        <v>2</v>
      </c>
      <c r="I12" s="12">
        <f>G12*H12</f>
        <v>194</v>
      </c>
      <c r="K12" s="18" t="s">
        <v>61</v>
      </c>
      <c r="L12" s="53">
        <v>5.7299999999999997E-5</v>
      </c>
      <c r="M12" s="33">
        <v>0.14799999999999999</v>
      </c>
    </row>
    <row r="13" spans="1:19" x14ac:dyDescent="0.3">
      <c r="A13" s="3" t="s">
        <v>82</v>
      </c>
      <c r="B13" s="3" t="s">
        <v>50</v>
      </c>
      <c r="C13" s="3" t="s">
        <v>84</v>
      </c>
      <c r="D13" s="3" t="s">
        <v>85</v>
      </c>
      <c r="E13" s="3" t="s">
        <v>86</v>
      </c>
      <c r="F13" s="8" t="s">
        <v>88</v>
      </c>
      <c r="G13" s="3" t="s">
        <v>98</v>
      </c>
      <c r="H13" s="3" t="s">
        <v>104</v>
      </c>
      <c r="I13" s="3" t="s">
        <v>105</v>
      </c>
      <c r="K13" s="3" t="s">
        <v>110</v>
      </c>
      <c r="L13" s="33">
        <v>0.02</v>
      </c>
      <c r="M13" s="33">
        <v>1.4999999999999999E-2</v>
      </c>
    </row>
    <row r="14" spans="1:19" x14ac:dyDescent="0.3">
      <c r="A14" s="12">
        <f>IF(VLOOKUP(H12,Tabelas!K2:K6,1,TRUE)&lt;H12,IF(VLOOKUP(H12,Tabelas!K2:K6,1,TRUE)=1,VLOOKUP(H12,Tabelas!K2:K6,1,TRUE)+1,IF(VLOOKUP(H12,Tabelas!K2:K6,1,TRUE)&lt;8,VLOOKUP(H12,Tabelas!K2:K6,1,TRUE)+2,8)),H12)</f>
        <v>2</v>
      </c>
      <c r="B14" s="12">
        <f>IF(O9&gt;=1,1,"3/4")</f>
        <v>1</v>
      </c>
      <c r="C14" s="12">
        <f>VLOOKUP(I12,IF(A14=1,IF(B14="3/4",IF(R9="1T",Tabelas!D197:I218,IF(R9="1Q",Tabelas!D219:I240,Tabelas!D241:I262)),IF(R9="5/4T",Tabelas!D263:I284,Tabelas!D285:I306)),IF(A14=2,IF(B14="3/4",IF(R9="1T",Tabelas!D308:I329,IF(R9="1Q",Tabelas!D330:I351,Tabelas!D352:I373)),IF(R9="5/4T",Tabelas!D374:I395,Tabelas!D396:I417)),IF(A14=4,IF(B14="3/4",IF(R9="1T",Tabelas!D419:I440,IF(R9="1Q",Tabelas!D441:I462,Tabelas!D463:I484)),IF(R9="5/4T",Tabelas!D485:I506,Tabelas!D507:I528)),IF(A14=6,IF(B14="3/4",IF(R9="1T",Tabelas!D530:I551,IF(R9="1Q",Tabelas!D552:I573,Tabelas!D574:I595)),IF(R9="5/4T",Tabelas!D596:I617,Tabelas!D618:I639)),IF(B14="3/4",IF(R9="1T",Tabelas!D643:I662,IF(R9="1Q",Tabelas!D665:I684,Tabelas!D685:I706)),IF(R9="5/4T",Tabelas!D709:I728,Tabelas!D730:I750)))))),4,TRUE)</f>
        <v>230</v>
      </c>
      <c r="D14" s="29">
        <f>VLOOKUP(I12,IF(A14=1,IF(B14="3/4",IF(R9="1T",Tabelas!D197:I218,IF(R9="1Q",Tabelas!D219:I240,Tabelas!D241:I262)),IF(R9="5/4T",Tabelas!D263:I284,Tabelas!D285:I306)),IF(A14=2,IF(B14="3/4",IF(R9="1T",Tabelas!D308:I329,IF(R9="1Q",Tabelas!D330:I351,Tabelas!D352:I373)),IF(R9="5/4T",Tabelas!D374:I395,Tabelas!D396:I417)),IF(A14=4,IF(B14="3/4",IF(R9="1T",Tabelas!D419:I440,IF(R9="1Q",Tabelas!D441:I462,Tabelas!D463:I484)),IF(R9="5/4T",Tabelas!D485:I506,Tabelas!D507:I528)),IF(A14=6,IF(B14="3/4",IF(R9="1T",Tabelas!D530:I551,IF(R9="1Q",Tabelas!D552:I573,Tabelas!D574:I595)),IF(R9="5/4T",Tabelas!D596:I617,Tabelas!D618:I639)),IF(B14="3/4",IF(R9="1T",Tabelas!D643:I662,IF(R9="1Q",Tabelas!D665:I684,Tabelas!D685:I706)),IF(R9="5/4T",Tabelas!D709:I728,Tabelas!D730:I750)))))),5,TRUE)</f>
        <v>23.25</v>
      </c>
      <c r="E14" s="12">
        <f>VLOOKUP(I12,IF(A14=1,IF(B14="3/4",IF(R9="1T",Tabelas!D197:I218,IF(R9="1Q",Tabelas!D219:I240,Tabelas!D241:I262)),IF(R9="5/4T",Tabelas!D263:I284,Tabelas!D285:I306)),IF(A14=2,IF(B14="3/4",IF(R9="1T",Tabelas!D308:I329,IF(R9="1Q",Tabelas!D330:I351,Tabelas!D352:I373)),IF(R9="5/4T",Tabelas!D374:I395,Tabelas!D396:I417)),IF(A14=4,IF(B14="3/4",IF(R9="1T",Tabelas!D419:I440,IF(R9="1Q",Tabelas!D441:I462,Tabelas!D463:I484)),IF(R9="5/4T",Tabelas!D485:I506,Tabelas!D507:I528)),IF(A14=6,IF(B14="3/4",IF(R9="1T",Tabelas!D530:I551,IF(R9="1Q",Tabelas!D552:I573,Tabelas!D574:I595)),IF(R9="5/4T",Tabelas!D596:I617,Tabelas!D618:I639)),IF(B14="3/4",IF(R9="1T",Tabelas!D643:I662,IF(R9="1Q",Tabelas!D665:I684,Tabelas!D685:I706)),IF(R9="5/4T",Tabelas!D709:I728,Tabelas!D730:I750)))))),6,TRUE)</f>
        <v>21.5</v>
      </c>
      <c r="F14" s="12">
        <f>VLOOKUP(R9,IF(O9=Tabelas!B753,Tabelas!C753:E754,IF(O9=Tabelas!B755,Tabelas!C755:E758,IF(O9=Tabelas!B759,Tabelas!C759:E760,IF(O9=Tabelas!B761,Tabelas!C761:E762,Tabelas!C763:E764)))),3,TRUE)</f>
        <v>0.72</v>
      </c>
      <c r="G14" s="31">
        <f>F14/12</f>
        <v>0.06</v>
      </c>
      <c r="H14" s="29">
        <f>D14</f>
        <v>23.25</v>
      </c>
      <c r="I14" s="12">
        <f>D14/5</f>
        <v>4.6500000000000004</v>
      </c>
      <c r="K14" s="3" t="s">
        <v>111</v>
      </c>
      <c r="L14" s="33">
        <v>0.33</v>
      </c>
      <c r="M14" s="33">
        <v>2.3E-2</v>
      </c>
    </row>
    <row r="15" spans="1:19" x14ac:dyDescent="0.3">
      <c r="A15" s="38" t="s">
        <v>99</v>
      </c>
      <c r="B15" s="38"/>
      <c r="C15" s="8" t="s">
        <v>42</v>
      </c>
      <c r="D15" s="3" t="s">
        <v>118</v>
      </c>
      <c r="E15" s="3" t="s">
        <v>121</v>
      </c>
    </row>
    <row r="16" spans="1:19" x14ac:dyDescent="0.3">
      <c r="A16" s="8" t="s">
        <v>101</v>
      </c>
      <c r="B16" s="8" t="s">
        <v>100</v>
      </c>
      <c r="C16" s="12">
        <f>A30*B28/(A30+B28)</f>
        <v>43.503585349718286</v>
      </c>
      <c r="D16" s="30">
        <f>(C16-B12)/(C16*B12)</f>
        <v>3.4207962588971947E-3</v>
      </c>
      <c r="E16" s="12" t="str">
        <f>IF(D16&gt;0.002,"Aprovado","Reprovado")</f>
        <v>Aprovado</v>
      </c>
    </row>
    <row r="17" spans="1:4" x14ac:dyDescent="0.3">
      <c r="A17" s="8" t="s">
        <v>103</v>
      </c>
      <c r="B17" s="8" t="s">
        <v>125</v>
      </c>
    </row>
    <row r="18" spans="1:4" x14ac:dyDescent="0.3">
      <c r="A18" s="12">
        <f>IF(S9&lt;&gt;0,S9,2.5)</f>
        <v>2.5</v>
      </c>
      <c r="B18" s="12">
        <f>VLOOKUP(R9,Tabelas!G754:H765,2,FALSE)-O9</f>
        <v>0.25</v>
      </c>
    </row>
    <row r="19" spans="1:4" x14ac:dyDescent="0.3">
      <c r="A19" s="8" t="s">
        <v>102</v>
      </c>
      <c r="B19" s="8" t="s">
        <v>124</v>
      </c>
    </row>
    <row r="20" spans="1:4" x14ac:dyDescent="0.3">
      <c r="A20" s="12">
        <f>C14*E12/(144*H12)</f>
        <v>0.87208333333333343</v>
      </c>
      <c r="B20" s="12">
        <f>D14*B18*A18/(144*K9)</f>
        <v>0.10091145833333333</v>
      </c>
    </row>
    <row r="21" spans="1:4" x14ac:dyDescent="0.3">
      <c r="A21" s="8" t="s">
        <v>126</v>
      </c>
      <c r="B21" s="8" t="s">
        <v>127</v>
      </c>
    </row>
    <row r="22" spans="1:4" x14ac:dyDescent="0.3">
      <c r="A22" s="12">
        <f>F7/A20</f>
        <v>854184.35282921826</v>
      </c>
      <c r="B22" s="12">
        <f>B7/B20</f>
        <v>1093353.5419198652</v>
      </c>
    </row>
    <row r="23" spans="1:4" x14ac:dyDescent="0.3">
      <c r="A23" s="8" t="s">
        <v>106</v>
      </c>
      <c r="B23" s="8" t="s">
        <v>107</v>
      </c>
      <c r="D23" s="1"/>
    </row>
    <row r="24" spans="1:4" x14ac:dyDescent="0.3">
      <c r="A24" s="12">
        <f>D12/12*A22/(2.42*M13)</f>
        <v>1635421.832551809</v>
      </c>
      <c r="B24" s="12">
        <f>G14*B22/(L13*2.42)</f>
        <v>1355396.9527932212</v>
      </c>
    </row>
    <row r="25" spans="1:4" x14ac:dyDescent="0.3">
      <c r="A25" s="8" t="s">
        <v>108</v>
      </c>
      <c r="B25" s="8" t="s">
        <v>109</v>
      </c>
    </row>
    <row r="26" spans="1:4" x14ac:dyDescent="0.3">
      <c r="A26" s="12">
        <f>G7*2.42*M13/M14</f>
        <v>0.39456521739130435</v>
      </c>
      <c r="B26" s="12">
        <f>C7*L13*2.42/L14</f>
        <v>0.14666666666666667</v>
      </c>
    </row>
    <row r="27" spans="1:4" x14ac:dyDescent="0.3">
      <c r="A27" s="8" t="s">
        <v>123</v>
      </c>
      <c r="B27" s="8" t="s">
        <v>117</v>
      </c>
    </row>
    <row r="28" spans="1:4" x14ac:dyDescent="0.3">
      <c r="A28" s="12">
        <f>IF(N11="Sim",149.71*(0.9944+0.0111*(I7+H7)/2)*M11^0.8/D12^0.2,EXP(-4.287+0.85*LN(A24))*(M14/D12)*A26^(1/3))</f>
        <v>53.174032484320982</v>
      </c>
      <c r="B28" s="12">
        <f>EXP(-0.665+0.5195*LN(B24))*(L14/G14)*B26^(1/3)</f>
        <v>2287.0511738434966</v>
      </c>
    </row>
    <row r="29" spans="1:4" x14ac:dyDescent="0.3">
      <c r="A29" s="8" t="s">
        <v>116</v>
      </c>
      <c r="B29" s="8" t="s">
        <v>122</v>
      </c>
    </row>
    <row r="30" spans="1:4" x14ac:dyDescent="0.3">
      <c r="A30" s="12">
        <f>A28*D12/O9</f>
        <v>44.347143091923698</v>
      </c>
      <c r="B30" s="12">
        <f>ROUNDDOWN(12*Q9/A18,0)-1</f>
        <v>159</v>
      </c>
    </row>
    <row r="31" spans="1:4" x14ac:dyDescent="0.3">
      <c r="A31" s="8" t="s">
        <v>119</v>
      </c>
      <c r="B31" s="8" t="s">
        <v>120</v>
      </c>
    </row>
    <row r="32" spans="1:4" x14ac:dyDescent="0.3">
      <c r="A32" s="12">
        <f>0.0029*A24^-0.2562</f>
        <v>7.4210617510912666E-5</v>
      </c>
      <c r="B32" s="12">
        <f>0.01197*B24^-0.188</f>
        <v>8.4190996023547583E-4</v>
      </c>
    </row>
    <row r="33" spans="1:2" x14ac:dyDescent="0.3">
      <c r="A33" s="8" t="s">
        <v>128</v>
      </c>
      <c r="B33" s="8" t="s">
        <v>129</v>
      </c>
    </row>
    <row r="34" spans="1:2" x14ac:dyDescent="0.3">
      <c r="A34" s="12">
        <f>12*A32*Q9*H12*A22^2/(5.22*10^10*D12*M13/0.092)</f>
        <v>6.1240206597676101</v>
      </c>
      <c r="B34" s="12">
        <f>B32*D14*(B30+1)*B22^2/(522000000000*F14*(L13/M13))</f>
        <v>7.4711607993673512</v>
      </c>
    </row>
    <row r="35" spans="1:2" x14ac:dyDescent="0.3">
      <c r="A35" s="32" t="s">
        <v>130</v>
      </c>
      <c r="B35" s="32" t="s">
        <v>131</v>
      </c>
    </row>
    <row r="36" spans="1:2" x14ac:dyDescent="0.3">
      <c r="A36" s="30" t="str">
        <f>IF(A34&lt;10,"Aprovado","Reprovado")</f>
        <v>Aprovado</v>
      </c>
      <c r="B36" s="30" t="str">
        <f>IF(B34&lt;10,"Aprovado","Reprovado")</f>
        <v>Aprovado</v>
      </c>
    </row>
  </sheetData>
  <mergeCells count="16">
    <mergeCell ref="A15:B15"/>
    <mergeCell ref="N11:P11"/>
    <mergeCell ref="A4:A5"/>
    <mergeCell ref="L3:S3"/>
    <mergeCell ref="K7:K8"/>
    <mergeCell ref="L7:M7"/>
    <mergeCell ref="N7:N8"/>
    <mergeCell ref="F8:I8"/>
    <mergeCell ref="O7:O8"/>
    <mergeCell ref="R7:R8"/>
    <mergeCell ref="B4:E4"/>
    <mergeCell ref="F4:I4"/>
    <mergeCell ref="L4:O4"/>
    <mergeCell ref="P4:S4"/>
    <mergeCell ref="B3:I3"/>
    <mergeCell ref="K4:K5"/>
  </mergeCell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0000000}">
          <x14:formula1>
            <xm:f>Tabelas!$A$3:$A$7</xm:f>
          </x14:formula1>
          <xm:sqref>L9</xm:sqref>
        </x14:dataValidation>
        <x14:dataValidation type="list" allowBlank="1" showInputMessage="1" showErrorMessage="1" xr:uid="{00000000-0002-0000-0000-000001000000}">
          <x14:formula1>
            <xm:f>IF($L$9=Tabelas!$A$3,Tabelas!$C$3:$C$13,IF($L$9=Tabelas!$A$4,Tabelas!$C$14:$C$21,IF($L$9=Tabelas!$A$5,Tabelas!$C$22:$C$25,IF($L$9=Tabelas!$A$6,Tabelas!$C$26:$C$28,Tabelas!$C$29))))</xm:f>
          </x14:formula1>
          <xm:sqref>M9</xm:sqref>
        </x14:dataValidation>
        <x14:dataValidation type="list" allowBlank="1" showInputMessage="1" showErrorMessage="1" xr:uid="{00000000-0002-0000-0000-000002000000}">
          <x14:formula1>
            <xm:f>Tabelas!$J$2:$J$3</xm:f>
          </x14:formula1>
          <xm:sqref>L10</xm:sqref>
        </x14:dataValidation>
        <x14:dataValidation type="list" allowBlank="1" showInputMessage="1" showErrorMessage="1" xr:uid="{00000000-0002-0000-0000-000003000000}">
          <x14:formula1>
            <xm:f>Tabelas!$A$34:$A$38</xm:f>
          </x14:formula1>
          <xm:sqref>O9</xm:sqref>
        </x14:dataValidation>
        <x14:dataValidation type="list" allowBlank="1" showInputMessage="1" showErrorMessage="1" xr:uid="{00000000-0002-0000-0000-000004000000}">
          <x14:formula1>
            <xm:f>IF($O$9=Tabelas!$A$34,Tabelas!$C$34:$C$38,IF($O$9=Tabelas!$A$35,Tabelas!$C$39:$C$47,IF($O$9=Tabelas!$A$36,Tabelas!$C$48:$C$58,IF($O$9=Tabelas!$A$37,Tabelas!$C$59:$C$69,Tabelas!$C$70:$C$80))))</xm:f>
          </x14:formula1>
          <xm:sqref>P9</xm:sqref>
        </x14:dataValidation>
        <x14:dataValidation type="list" allowBlank="1" showInputMessage="1" showErrorMessage="1" xr:uid="{00000000-0002-0000-0000-000005000000}">
          <x14:formula1>
            <xm:f>Tabelas!$E$85:$E$89</xm:f>
          </x14:formula1>
          <xm:sqref>R9</xm:sqref>
        </x14:dataValidation>
        <x14:dataValidation type="list" allowBlank="1" showInputMessage="1" showErrorMessage="1" xr:uid="{00000000-0002-0000-0000-000006000000}">
          <x14:formula1>
            <xm:f>Tabelas!$L$2:$L$3</xm:f>
          </x14:formula1>
          <xm:sqref>N11:P11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D765"/>
  <sheetViews>
    <sheetView topLeftCell="A82" workbookViewId="0">
      <selection activeCell="F85" sqref="F85"/>
    </sheetView>
  </sheetViews>
  <sheetFormatPr defaultRowHeight="14.4" x14ac:dyDescent="0.3"/>
  <cols>
    <col min="2" max="2" width="12" customWidth="1"/>
    <col min="3" max="3" width="14.109375" bestFit="1" customWidth="1"/>
    <col min="4" max="4" width="13.44140625" bestFit="1" customWidth="1"/>
    <col min="5" max="5" width="14.44140625" bestFit="1" customWidth="1"/>
    <col min="6" max="8" width="13.109375" bestFit="1" customWidth="1"/>
    <col min="9" max="9" width="10.6640625" customWidth="1"/>
    <col min="10" max="10" width="14.5546875" customWidth="1"/>
  </cols>
  <sheetData>
    <row r="1" spans="1:12" x14ac:dyDescent="0.3">
      <c r="B1" t="s">
        <v>12</v>
      </c>
      <c r="E1" t="s">
        <v>24</v>
      </c>
      <c r="F1" t="s">
        <v>25</v>
      </c>
      <c r="G1" t="s">
        <v>24</v>
      </c>
      <c r="H1" t="s">
        <v>25</v>
      </c>
      <c r="J1" t="s">
        <v>48</v>
      </c>
      <c r="K1" t="s">
        <v>81</v>
      </c>
      <c r="L1" t="s">
        <v>115</v>
      </c>
    </row>
    <row r="2" spans="1:12" x14ac:dyDescent="0.3">
      <c r="A2" t="s">
        <v>34</v>
      </c>
      <c r="B2" t="s">
        <v>13</v>
      </c>
      <c r="C2" t="s">
        <v>14</v>
      </c>
      <c r="D2" t="s">
        <v>17</v>
      </c>
      <c r="E2" s="52" t="s">
        <v>26</v>
      </c>
      <c r="F2" s="52"/>
      <c r="G2" t="s">
        <v>27</v>
      </c>
      <c r="J2" t="s">
        <v>49</v>
      </c>
      <c r="K2">
        <v>1</v>
      </c>
      <c r="L2" t="s">
        <v>113</v>
      </c>
    </row>
    <row r="3" spans="1:12" x14ac:dyDescent="0.3">
      <c r="A3" t="s">
        <v>15</v>
      </c>
      <c r="B3" t="s">
        <v>15</v>
      </c>
      <c r="C3" t="s">
        <v>15</v>
      </c>
      <c r="E3">
        <v>1.5E-3</v>
      </c>
      <c r="F3">
        <v>1.5E-3</v>
      </c>
      <c r="G3">
        <v>250</v>
      </c>
      <c r="H3">
        <v>250</v>
      </c>
      <c r="J3" t="s">
        <v>50</v>
      </c>
      <c r="K3">
        <v>2</v>
      </c>
      <c r="L3" t="s">
        <v>114</v>
      </c>
    </row>
    <row r="4" spans="1:12" x14ac:dyDescent="0.3">
      <c r="A4" t="s">
        <v>31</v>
      </c>
      <c r="C4" t="s">
        <v>16</v>
      </c>
      <c r="D4">
        <v>10</v>
      </c>
      <c r="E4">
        <v>1E-3</v>
      </c>
      <c r="F4">
        <v>1E-3</v>
      </c>
      <c r="G4">
        <v>15</v>
      </c>
      <c r="H4">
        <v>15</v>
      </c>
      <c r="K4">
        <v>4</v>
      </c>
    </row>
    <row r="5" spans="1:12" x14ac:dyDescent="0.3">
      <c r="A5" t="s">
        <v>20</v>
      </c>
      <c r="C5" t="s">
        <v>18</v>
      </c>
      <c r="D5">
        <v>100</v>
      </c>
      <c r="E5">
        <v>1E-3</v>
      </c>
      <c r="F5">
        <v>1E-3</v>
      </c>
      <c r="G5">
        <v>30</v>
      </c>
      <c r="H5">
        <v>30</v>
      </c>
      <c r="K5">
        <v>6</v>
      </c>
    </row>
    <row r="6" spans="1:12" x14ac:dyDescent="0.3">
      <c r="A6" t="s">
        <v>21</v>
      </c>
      <c r="C6" t="s">
        <v>19</v>
      </c>
      <c r="D6">
        <v>1000</v>
      </c>
      <c r="E6">
        <v>1E-3</v>
      </c>
      <c r="F6">
        <v>1E-3</v>
      </c>
      <c r="G6">
        <v>60</v>
      </c>
      <c r="H6">
        <v>60</v>
      </c>
      <c r="K6">
        <v>8</v>
      </c>
    </row>
    <row r="7" spans="1:12" x14ac:dyDescent="0.3">
      <c r="A7" t="s">
        <v>19</v>
      </c>
      <c r="C7" t="s">
        <v>20</v>
      </c>
      <c r="E7">
        <v>1.5E-3</v>
      </c>
      <c r="F7">
        <v>1.5E-3</v>
      </c>
      <c r="G7">
        <v>125</v>
      </c>
      <c r="H7">
        <v>125</v>
      </c>
    </row>
    <row r="8" spans="1:12" x14ac:dyDescent="0.3">
      <c r="C8" t="s">
        <v>21</v>
      </c>
      <c r="E8">
        <v>2E-3</v>
      </c>
      <c r="F8">
        <v>2E-3</v>
      </c>
      <c r="G8">
        <v>75</v>
      </c>
      <c r="H8">
        <v>75</v>
      </c>
    </row>
    <row r="9" spans="1:12" x14ac:dyDescent="0.3">
      <c r="C9" t="s">
        <v>22</v>
      </c>
      <c r="E9">
        <v>2.5000000000000001E-3</v>
      </c>
      <c r="F9">
        <v>2.5000000000000001E-3</v>
      </c>
      <c r="G9">
        <v>40</v>
      </c>
      <c r="H9">
        <v>40</v>
      </c>
    </row>
    <row r="10" spans="1:12" x14ac:dyDescent="0.3">
      <c r="C10" t="s">
        <v>23</v>
      </c>
      <c r="E10">
        <v>4.0000000000000001E-3</v>
      </c>
      <c r="F10">
        <v>4.0000000000000001E-3</v>
      </c>
      <c r="G10">
        <v>40</v>
      </c>
      <c r="H10">
        <v>5</v>
      </c>
    </row>
    <row r="11" spans="1:12" x14ac:dyDescent="0.3">
      <c r="C11" t="s">
        <v>28</v>
      </c>
      <c r="E11">
        <v>1E-3</v>
      </c>
      <c r="F11">
        <v>1E-3</v>
      </c>
      <c r="G11">
        <v>150</v>
      </c>
      <c r="H11">
        <v>150</v>
      </c>
    </row>
    <row r="12" spans="1:12" x14ac:dyDescent="0.3">
      <c r="C12" t="s">
        <v>29</v>
      </c>
      <c r="E12">
        <v>1E-3</v>
      </c>
      <c r="F12">
        <v>1E-3</v>
      </c>
      <c r="G12">
        <v>100</v>
      </c>
      <c r="H12">
        <v>100</v>
      </c>
    </row>
    <row r="13" spans="1:12" x14ac:dyDescent="0.3">
      <c r="C13" t="s">
        <v>30</v>
      </c>
      <c r="E13">
        <v>1E-3</v>
      </c>
      <c r="F13">
        <v>1E-3</v>
      </c>
      <c r="G13">
        <v>75</v>
      </c>
      <c r="H13">
        <v>75</v>
      </c>
    </row>
    <row r="14" spans="1:12" x14ac:dyDescent="0.3">
      <c r="B14" t="s">
        <v>31</v>
      </c>
      <c r="C14" t="s">
        <v>15</v>
      </c>
      <c r="E14">
        <v>1E-3</v>
      </c>
      <c r="F14">
        <v>1E-3</v>
      </c>
      <c r="G14">
        <v>300</v>
      </c>
      <c r="H14">
        <v>300</v>
      </c>
    </row>
    <row r="15" spans="1:12" x14ac:dyDescent="0.3">
      <c r="C15" t="s">
        <v>16</v>
      </c>
      <c r="D15">
        <v>10</v>
      </c>
      <c r="E15">
        <v>5.0000000000000001E-4</v>
      </c>
      <c r="F15">
        <v>5.0000000000000001E-4</v>
      </c>
      <c r="G15">
        <v>15</v>
      </c>
      <c r="H15">
        <v>15</v>
      </c>
    </row>
    <row r="16" spans="1:12" x14ac:dyDescent="0.3">
      <c r="C16" t="s">
        <v>18</v>
      </c>
      <c r="D16">
        <v>100</v>
      </c>
      <c r="E16">
        <v>5.0000000000000001E-4</v>
      </c>
      <c r="F16">
        <v>5.0000000000000001E-4</v>
      </c>
      <c r="G16">
        <v>35</v>
      </c>
      <c r="H16">
        <v>35</v>
      </c>
    </row>
    <row r="17" spans="2:8" x14ac:dyDescent="0.3">
      <c r="C17" t="s">
        <v>19</v>
      </c>
      <c r="D17">
        <v>1000</v>
      </c>
      <c r="E17">
        <v>5.0000000000000001E-4</v>
      </c>
      <c r="F17">
        <v>5.0000000000000001E-4</v>
      </c>
      <c r="G17">
        <v>70</v>
      </c>
      <c r="H17">
        <v>70</v>
      </c>
    </row>
    <row r="18" spans="2:8" x14ac:dyDescent="0.3">
      <c r="C18" t="s">
        <v>20</v>
      </c>
      <c r="E18">
        <v>1E-3</v>
      </c>
      <c r="F18">
        <v>1E-3</v>
      </c>
      <c r="G18">
        <v>135</v>
      </c>
      <c r="H18">
        <v>135</v>
      </c>
    </row>
    <row r="19" spans="2:8" x14ac:dyDescent="0.3">
      <c r="C19" t="s">
        <v>21</v>
      </c>
      <c r="E19">
        <v>1.5E-3</v>
      </c>
      <c r="F19">
        <v>1.5E-3</v>
      </c>
      <c r="G19">
        <v>80</v>
      </c>
      <c r="H19">
        <v>80</v>
      </c>
    </row>
    <row r="20" spans="2:8" x14ac:dyDescent="0.3">
      <c r="C20" t="s">
        <v>22</v>
      </c>
      <c r="E20">
        <v>2E-3</v>
      </c>
      <c r="F20">
        <v>2E-3</v>
      </c>
      <c r="G20">
        <v>45</v>
      </c>
      <c r="H20">
        <v>45</v>
      </c>
    </row>
    <row r="21" spans="2:8" x14ac:dyDescent="0.3">
      <c r="C21" t="s">
        <v>23</v>
      </c>
      <c r="E21">
        <v>3.5000000000000001E-3</v>
      </c>
      <c r="F21">
        <v>3.5000000000000001E-3</v>
      </c>
      <c r="G21">
        <v>15</v>
      </c>
      <c r="H21">
        <v>15</v>
      </c>
    </row>
    <row r="22" spans="2:8" x14ac:dyDescent="0.3">
      <c r="B22" t="s">
        <v>20</v>
      </c>
      <c r="C22" t="s">
        <v>20</v>
      </c>
      <c r="E22">
        <v>2E-3</v>
      </c>
      <c r="F22">
        <v>2E-3</v>
      </c>
      <c r="G22">
        <v>100</v>
      </c>
      <c r="H22">
        <v>100</v>
      </c>
    </row>
    <row r="23" spans="2:8" x14ac:dyDescent="0.3">
      <c r="C23" t="s">
        <v>21</v>
      </c>
      <c r="E23">
        <v>2.5000000000000001E-3</v>
      </c>
      <c r="F23">
        <v>2.5000000000000001E-3</v>
      </c>
      <c r="G23">
        <v>70</v>
      </c>
      <c r="H23">
        <v>70</v>
      </c>
    </row>
    <row r="24" spans="2:8" x14ac:dyDescent="0.3">
      <c r="C24" t="s">
        <v>22</v>
      </c>
      <c r="E24">
        <v>3.0000000000000001E-3</v>
      </c>
      <c r="F24">
        <v>3.0000000000000001E-3</v>
      </c>
      <c r="G24">
        <v>40</v>
      </c>
      <c r="H24">
        <v>25</v>
      </c>
    </row>
    <row r="25" spans="2:8" x14ac:dyDescent="0.3">
      <c r="C25" t="s">
        <v>23</v>
      </c>
      <c r="E25">
        <v>4.0000000000000001E-3</v>
      </c>
      <c r="F25">
        <v>4.0000000000000001E-3</v>
      </c>
      <c r="G25">
        <v>20</v>
      </c>
      <c r="H25">
        <v>5</v>
      </c>
    </row>
    <row r="26" spans="2:8" x14ac:dyDescent="0.3">
      <c r="B26" t="s">
        <v>21</v>
      </c>
      <c r="C26" t="s">
        <v>21</v>
      </c>
      <c r="E26">
        <v>3.0000000000000001E-3</v>
      </c>
      <c r="F26">
        <v>3.0000000000000001E-3</v>
      </c>
      <c r="G26">
        <v>50</v>
      </c>
      <c r="H26">
        <v>50</v>
      </c>
    </row>
    <row r="27" spans="2:8" x14ac:dyDescent="0.3">
      <c r="C27" t="s">
        <v>22</v>
      </c>
      <c r="E27">
        <v>3.5000000000000001E-3</v>
      </c>
      <c r="F27">
        <v>3.5000000000000001E-3</v>
      </c>
      <c r="G27">
        <v>30</v>
      </c>
      <c r="H27">
        <v>15</v>
      </c>
    </row>
    <row r="28" spans="2:8" x14ac:dyDescent="0.3">
      <c r="C28" t="s">
        <v>23</v>
      </c>
      <c r="E28">
        <v>4.4999999999999997E-3</v>
      </c>
      <c r="F28">
        <v>4.4999999999999997E-3</v>
      </c>
      <c r="G28">
        <v>15</v>
      </c>
      <c r="H28">
        <v>5</v>
      </c>
    </row>
    <row r="29" spans="2:8" x14ac:dyDescent="0.3">
      <c r="B29" t="s">
        <v>19</v>
      </c>
      <c r="C29" t="s">
        <v>19</v>
      </c>
      <c r="D29">
        <v>1000</v>
      </c>
      <c r="E29">
        <v>0</v>
      </c>
      <c r="F29">
        <v>0</v>
      </c>
      <c r="G29">
        <v>35</v>
      </c>
      <c r="H29">
        <v>35</v>
      </c>
    </row>
    <row r="31" spans="2:8" x14ac:dyDescent="0.3">
      <c r="B31" t="s">
        <v>32</v>
      </c>
    </row>
    <row r="33" spans="1:6" ht="46.5" customHeight="1" x14ac:dyDescent="0.3">
      <c r="A33" t="s">
        <v>34</v>
      </c>
      <c r="B33" s="1" t="s">
        <v>51</v>
      </c>
      <c r="C33" s="1" t="s">
        <v>52</v>
      </c>
      <c r="D33" s="1" t="s">
        <v>53</v>
      </c>
      <c r="E33" s="17" t="s">
        <v>54</v>
      </c>
      <c r="F33" s="17" t="s">
        <v>55</v>
      </c>
    </row>
    <row r="34" spans="1:6" x14ac:dyDescent="0.3">
      <c r="A34" s="7">
        <v>0.5</v>
      </c>
      <c r="B34">
        <v>0.5</v>
      </c>
      <c r="C34">
        <v>12</v>
      </c>
      <c r="D34" s="6">
        <v>0.28199999999999997</v>
      </c>
      <c r="E34">
        <v>6.25E-2</v>
      </c>
      <c r="F34">
        <v>0.13089999999999999</v>
      </c>
    </row>
    <row r="35" spans="1:6" x14ac:dyDescent="0.3">
      <c r="A35" s="7">
        <v>0.75</v>
      </c>
      <c r="C35">
        <v>14</v>
      </c>
      <c r="D35" s="6">
        <v>0.33400000000000002</v>
      </c>
      <c r="E35">
        <v>8.7599999999999997E-2</v>
      </c>
      <c r="F35">
        <v>0.13089999999999999</v>
      </c>
    </row>
    <row r="36" spans="1:6" x14ac:dyDescent="0.3">
      <c r="A36" s="7">
        <v>1</v>
      </c>
      <c r="C36">
        <v>16</v>
      </c>
      <c r="D36" s="6">
        <v>0.37</v>
      </c>
      <c r="E36">
        <v>0.1076</v>
      </c>
      <c r="F36">
        <v>0.13089999999999999</v>
      </c>
    </row>
    <row r="37" spans="1:6" x14ac:dyDescent="0.3">
      <c r="A37" s="7">
        <v>1.25</v>
      </c>
      <c r="C37">
        <v>18</v>
      </c>
      <c r="D37" s="6">
        <v>0.40200000000000002</v>
      </c>
      <c r="E37" s="5">
        <v>0.127</v>
      </c>
      <c r="F37">
        <v>0.13089999999999999</v>
      </c>
    </row>
    <row r="38" spans="1:6" x14ac:dyDescent="0.3">
      <c r="A38" s="7">
        <v>1.5</v>
      </c>
      <c r="C38">
        <v>20</v>
      </c>
      <c r="D38" s="6">
        <v>0.43</v>
      </c>
      <c r="E38" s="5">
        <v>0.14499999999999999</v>
      </c>
      <c r="F38">
        <v>0.13089999999999999</v>
      </c>
    </row>
    <row r="39" spans="1:6" x14ac:dyDescent="0.3">
      <c r="B39">
        <v>0.75</v>
      </c>
      <c r="C39">
        <v>10</v>
      </c>
      <c r="D39" s="6">
        <v>0.48199999999999998</v>
      </c>
      <c r="E39">
        <v>0.182</v>
      </c>
      <c r="F39">
        <v>0.1963</v>
      </c>
    </row>
    <row r="40" spans="1:6" x14ac:dyDescent="0.3">
      <c r="C40">
        <v>11</v>
      </c>
      <c r="D40" s="6">
        <v>0.51</v>
      </c>
      <c r="E40">
        <v>0.20399999999999999</v>
      </c>
      <c r="F40">
        <v>0.1963</v>
      </c>
    </row>
    <row r="41" spans="1:6" x14ac:dyDescent="0.3">
      <c r="C41">
        <v>12</v>
      </c>
      <c r="D41" s="6">
        <v>0.53200000000000003</v>
      </c>
      <c r="E41">
        <v>0.223</v>
      </c>
      <c r="F41">
        <v>0.1963</v>
      </c>
    </row>
    <row r="42" spans="1:6" x14ac:dyDescent="0.3">
      <c r="C42">
        <v>13</v>
      </c>
      <c r="D42" s="6">
        <v>0.56000000000000005</v>
      </c>
      <c r="E42">
        <v>0.247</v>
      </c>
      <c r="F42">
        <v>0.1963</v>
      </c>
    </row>
    <row r="43" spans="1:6" x14ac:dyDescent="0.3">
      <c r="C43">
        <v>14</v>
      </c>
      <c r="D43" s="6">
        <v>0.58399999999999996</v>
      </c>
      <c r="E43">
        <v>0.26800000000000002</v>
      </c>
      <c r="F43">
        <v>0.1963</v>
      </c>
    </row>
    <row r="44" spans="1:6" x14ac:dyDescent="0.3">
      <c r="C44">
        <v>15</v>
      </c>
      <c r="D44" s="6">
        <v>0.60599999999999998</v>
      </c>
      <c r="E44">
        <v>0.28899999999999998</v>
      </c>
      <c r="F44">
        <v>0.1963</v>
      </c>
    </row>
    <row r="45" spans="1:6" x14ac:dyDescent="0.3">
      <c r="C45">
        <v>16</v>
      </c>
      <c r="D45" s="6">
        <v>0.62</v>
      </c>
      <c r="E45">
        <v>0.30199999999999999</v>
      </c>
      <c r="F45">
        <v>0.1963</v>
      </c>
    </row>
    <row r="46" spans="1:6" x14ac:dyDescent="0.3">
      <c r="C46">
        <v>17</v>
      </c>
      <c r="D46" s="6">
        <v>0.63400000000000001</v>
      </c>
      <c r="E46">
        <v>0.314</v>
      </c>
      <c r="F46">
        <v>0.1963</v>
      </c>
    </row>
    <row r="47" spans="1:6" x14ac:dyDescent="0.3">
      <c r="C47">
        <v>18</v>
      </c>
      <c r="D47" s="6">
        <v>0.65200000000000002</v>
      </c>
      <c r="E47">
        <v>0.33400000000000002</v>
      </c>
      <c r="F47">
        <v>0.1963</v>
      </c>
    </row>
    <row r="48" spans="1:6" x14ac:dyDescent="0.3">
      <c r="B48">
        <v>1</v>
      </c>
      <c r="C48">
        <v>8</v>
      </c>
      <c r="D48" s="6">
        <v>0.67</v>
      </c>
      <c r="E48">
        <v>0.35499999999999998</v>
      </c>
      <c r="F48">
        <v>0.26179999999999998</v>
      </c>
    </row>
    <row r="49" spans="2:6" x14ac:dyDescent="0.3">
      <c r="C49">
        <v>9</v>
      </c>
      <c r="D49" s="6">
        <v>0.70399999999999996</v>
      </c>
      <c r="E49">
        <v>0.38900000000000001</v>
      </c>
      <c r="F49">
        <v>0.26179999999999998</v>
      </c>
    </row>
    <row r="50" spans="2:6" x14ac:dyDescent="0.3">
      <c r="C50">
        <v>10</v>
      </c>
      <c r="D50" s="6">
        <v>0.73199999999999998</v>
      </c>
      <c r="E50">
        <v>0.42099999999999999</v>
      </c>
      <c r="F50">
        <v>0.26179999999999998</v>
      </c>
    </row>
    <row r="51" spans="2:6" x14ac:dyDescent="0.3">
      <c r="C51">
        <v>11</v>
      </c>
      <c r="D51" s="6">
        <v>0.76</v>
      </c>
      <c r="E51">
        <v>0.45500000000000002</v>
      </c>
      <c r="F51">
        <v>0.26179999999999998</v>
      </c>
    </row>
    <row r="52" spans="2:6" x14ac:dyDescent="0.3">
      <c r="C52">
        <v>12</v>
      </c>
      <c r="D52" s="6">
        <v>0.78200000000000003</v>
      </c>
      <c r="E52">
        <v>0.47899999999999998</v>
      </c>
      <c r="F52">
        <v>0.26179999999999998</v>
      </c>
    </row>
    <row r="53" spans="2:6" x14ac:dyDescent="0.3">
      <c r="C53">
        <v>13</v>
      </c>
      <c r="D53" s="6">
        <v>0.81</v>
      </c>
      <c r="E53">
        <v>0.51500000000000001</v>
      </c>
      <c r="F53">
        <v>0.26179999999999998</v>
      </c>
    </row>
    <row r="54" spans="2:6" x14ac:dyDescent="0.3">
      <c r="C54">
        <v>14</v>
      </c>
      <c r="D54" s="6">
        <v>0.83399999999999996</v>
      </c>
      <c r="E54">
        <v>0.54600000000000004</v>
      </c>
      <c r="F54">
        <v>0.26179999999999998</v>
      </c>
    </row>
    <row r="55" spans="2:6" x14ac:dyDescent="0.3">
      <c r="C55">
        <v>15</v>
      </c>
      <c r="D55" s="6">
        <v>0.85599999999999998</v>
      </c>
      <c r="E55">
        <v>0.57599999999999996</v>
      </c>
      <c r="F55">
        <v>0.26179999999999998</v>
      </c>
    </row>
    <row r="56" spans="2:6" x14ac:dyDescent="0.3">
      <c r="C56">
        <v>16</v>
      </c>
      <c r="D56" s="6">
        <v>0.87</v>
      </c>
      <c r="E56">
        <v>0.59399999999999997</v>
      </c>
      <c r="F56">
        <v>0.26179999999999998</v>
      </c>
    </row>
    <row r="57" spans="2:6" x14ac:dyDescent="0.3">
      <c r="C57">
        <v>17</v>
      </c>
      <c r="D57" s="6">
        <v>0.88400000000000001</v>
      </c>
      <c r="E57">
        <v>0.61299999999999999</v>
      </c>
      <c r="F57">
        <v>0.26179999999999998</v>
      </c>
    </row>
    <row r="58" spans="2:6" x14ac:dyDescent="0.3">
      <c r="C58">
        <v>18</v>
      </c>
      <c r="D58" s="6">
        <v>0.90200000000000002</v>
      </c>
      <c r="E58">
        <v>0.63900000000000001</v>
      </c>
      <c r="F58">
        <v>0.26179999999999998</v>
      </c>
    </row>
    <row r="59" spans="2:6" x14ac:dyDescent="0.3">
      <c r="B59">
        <v>1.25</v>
      </c>
      <c r="C59">
        <v>8</v>
      </c>
      <c r="D59" s="6">
        <v>0.92</v>
      </c>
      <c r="E59">
        <v>0.66500000000000004</v>
      </c>
      <c r="F59">
        <v>0.3271</v>
      </c>
    </row>
    <row r="60" spans="2:6" x14ac:dyDescent="0.3">
      <c r="C60">
        <v>9</v>
      </c>
      <c r="D60" s="6">
        <v>0.95399999999999996</v>
      </c>
      <c r="E60">
        <v>0.71399999999999997</v>
      </c>
      <c r="F60">
        <v>0.3271</v>
      </c>
    </row>
    <row r="61" spans="2:6" x14ac:dyDescent="0.3">
      <c r="C61">
        <v>10</v>
      </c>
      <c r="D61" s="6">
        <v>0.98199999999999998</v>
      </c>
      <c r="E61">
        <v>0.75700000000000001</v>
      </c>
      <c r="F61">
        <v>0.3271</v>
      </c>
    </row>
    <row r="62" spans="2:6" x14ac:dyDescent="0.3">
      <c r="C62">
        <v>11</v>
      </c>
      <c r="D62" s="6">
        <v>1.01</v>
      </c>
      <c r="E62">
        <v>0.8</v>
      </c>
      <c r="F62">
        <v>0.3271</v>
      </c>
    </row>
    <row r="63" spans="2:6" x14ac:dyDescent="0.3">
      <c r="C63">
        <v>12</v>
      </c>
      <c r="D63" s="6">
        <v>1.03</v>
      </c>
      <c r="E63">
        <v>0.83599999999999997</v>
      </c>
      <c r="F63">
        <v>0.3271</v>
      </c>
    </row>
    <row r="64" spans="2:6" x14ac:dyDescent="0.3">
      <c r="C64">
        <v>13</v>
      </c>
      <c r="D64" s="6">
        <v>1.06</v>
      </c>
      <c r="E64">
        <v>0.88400000000000001</v>
      </c>
      <c r="F64">
        <v>0.3271</v>
      </c>
    </row>
    <row r="65" spans="2:6" x14ac:dyDescent="0.3">
      <c r="C65">
        <v>14</v>
      </c>
      <c r="D65" s="6">
        <v>1.08</v>
      </c>
      <c r="E65">
        <v>0.92300000000000004</v>
      </c>
      <c r="F65">
        <v>0.3271</v>
      </c>
    </row>
    <row r="66" spans="2:6" x14ac:dyDescent="0.3">
      <c r="C66">
        <v>15</v>
      </c>
      <c r="D66" s="6">
        <v>1.1100000000000001</v>
      </c>
      <c r="E66">
        <v>0.96</v>
      </c>
      <c r="F66">
        <v>0.3271</v>
      </c>
    </row>
    <row r="67" spans="2:6" x14ac:dyDescent="0.3">
      <c r="C67">
        <v>16</v>
      </c>
      <c r="D67" s="6">
        <v>1.1200000000000001</v>
      </c>
      <c r="E67">
        <v>0.98499999999999999</v>
      </c>
      <c r="F67">
        <v>0.3271</v>
      </c>
    </row>
    <row r="68" spans="2:6" x14ac:dyDescent="0.3">
      <c r="C68">
        <v>17</v>
      </c>
      <c r="D68" s="6">
        <v>1.1299999999999999</v>
      </c>
      <c r="E68">
        <v>1.01</v>
      </c>
      <c r="F68">
        <v>0.3271</v>
      </c>
    </row>
    <row r="69" spans="2:6" x14ac:dyDescent="0.3">
      <c r="C69">
        <v>18</v>
      </c>
      <c r="D69" s="6">
        <v>1.1499999999999999</v>
      </c>
      <c r="E69">
        <v>1.04</v>
      </c>
      <c r="F69">
        <v>0.3271</v>
      </c>
    </row>
    <row r="70" spans="2:6" x14ac:dyDescent="0.3">
      <c r="B70">
        <v>1.5</v>
      </c>
      <c r="C70">
        <v>8</v>
      </c>
      <c r="D70" s="6">
        <v>1.17</v>
      </c>
      <c r="E70">
        <v>1.075</v>
      </c>
      <c r="F70">
        <v>0.39250000000000002</v>
      </c>
    </row>
    <row r="71" spans="2:6" x14ac:dyDescent="0.3">
      <c r="C71">
        <v>9</v>
      </c>
      <c r="D71" s="6">
        <v>1.2</v>
      </c>
      <c r="E71">
        <v>1.1399999999999999</v>
      </c>
      <c r="F71">
        <v>0.39250000000000002</v>
      </c>
    </row>
    <row r="72" spans="2:6" x14ac:dyDescent="0.3">
      <c r="C72">
        <v>10</v>
      </c>
      <c r="D72" s="6">
        <v>1.23</v>
      </c>
      <c r="E72">
        <v>1.19</v>
      </c>
      <c r="F72">
        <v>0.39250000000000002</v>
      </c>
    </row>
    <row r="73" spans="2:6" x14ac:dyDescent="0.3">
      <c r="C73">
        <v>11</v>
      </c>
      <c r="D73" s="6">
        <v>1.26</v>
      </c>
      <c r="E73">
        <v>1.25</v>
      </c>
      <c r="F73">
        <v>0.39250000000000002</v>
      </c>
    </row>
    <row r="74" spans="2:6" x14ac:dyDescent="0.3">
      <c r="C74">
        <v>12</v>
      </c>
      <c r="D74" s="6">
        <v>1.28</v>
      </c>
      <c r="E74">
        <v>1.29</v>
      </c>
      <c r="F74">
        <v>0.39250000000000002</v>
      </c>
    </row>
    <row r="75" spans="2:6" x14ac:dyDescent="0.3">
      <c r="C75">
        <v>13</v>
      </c>
      <c r="D75" s="6">
        <v>1.31</v>
      </c>
      <c r="E75">
        <v>1.35</v>
      </c>
      <c r="F75">
        <v>0.39250000000000002</v>
      </c>
    </row>
    <row r="76" spans="2:6" x14ac:dyDescent="0.3">
      <c r="C76">
        <v>14</v>
      </c>
      <c r="D76" s="6">
        <v>1.33</v>
      </c>
      <c r="E76">
        <v>1.4</v>
      </c>
      <c r="F76">
        <v>0.39250000000000002</v>
      </c>
    </row>
    <row r="77" spans="2:6" x14ac:dyDescent="0.3">
      <c r="C77">
        <v>15</v>
      </c>
      <c r="D77" s="6">
        <v>1.36</v>
      </c>
      <c r="E77">
        <v>1.44</v>
      </c>
      <c r="F77">
        <v>0.39250000000000002</v>
      </c>
    </row>
    <row r="78" spans="2:6" x14ac:dyDescent="0.3">
      <c r="C78">
        <v>16</v>
      </c>
      <c r="D78" s="6">
        <v>1.37</v>
      </c>
      <c r="E78">
        <v>1.47</v>
      </c>
      <c r="F78">
        <v>0.39250000000000002</v>
      </c>
    </row>
    <row r="79" spans="2:6" x14ac:dyDescent="0.3">
      <c r="C79">
        <v>17</v>
      </c>
      <c r="D79" s="6">
        <v>1.38</v>
      </c>
      <c r="E79">
        <v>1.5</v>
      </c>
      <c r="F79">
        <v>0.39250000000000002</v>
      </c>
    </row>
    <row r="80" spans="2:6" x14ac:dyDescent="0.3">
      <c r="C80">
        <v>18</v>
      </c>
      <c r="D80" s="6">
        <v>1.4</v>
      </c>
      <c r="E80">
        <v>1.54</v>
      </c>
      <c r="F80">
        <v>0.39250000000000002</v>
      </c>
    </row>
    <row r="83" spans="1:10" x14ac:dyDescent="0.3">
      <c r="F83" s="52" t="s">
        <v>71</v>
      </c>
      <c r="G83" s="52"/>
      <c r="H83" s="52"/>
      <c r="I83" s="52"/>
      <c r="J83" s="52"/>
    </row>
    <row r="84" spans="1:10" ht="34.5" customHeight="1" x14ac:dyDescent="0.3">
      <c r="A84" s="26" t="s">
        <v>34</v>
      </c>
      <c r="B84" s="26" t="s">
        <v>66</v>
      </c>
      <c r="C84" s="26" t="s">
        <v>67</v>
      </c>
      <c r="D84" s="26" t="s">
        <v>68</v>
      </c>
      <c r="E84" s="26" t="s">
        <v>70</v>
      </c>
      <c r="F84" s="26">
        <v>1</v>
      </c>
      <c r="G84" s="26">
        <v>2</v>
      </c>
      <c r="H84">
        <v>4</v>
      </c>
      <c r="I84" s="26">
        <v>6</v>
      </c>
      <c r="J84" s="26">
        <v>8</v>
      </c>
    </row>
    <row r="85" spans="1:10" x14ac:dyDescent="0.3">
      <c r="B85">
        <v>8.0709999999999997</v>
      </c>
      <c r="C85">
        <v>6.8209999999999997</v>
      </c>
      <c r="D85" s="28" t="s">
        <v>77</v>
      </c>
      <c r="E85" t="s">
        <v>72</v>
      </c>
      <c r="F85">
        <v>38</v>
      </c>
      <c r="G85">
        <v>32</v>
      </c>
      <c r="H85">
        <v>26</v>
      </c>
      <c r="I85">
        <v>24</v>
      </c>
      <c r="J85">
        <v>18</v>
      </c>
    </row>
    <row r="86" spans="1:10" x14ac:dyDescent="0.3">
      <c r="D86" s="28" t="s">
        <v>77</v>
      </c>
      <c r="E86" t="s">
        <v>73</v>
      </c>
      <c r="F86">
        <v>32</v>
      </c>
      <c r="G86">
        <v>26</v>
      </c>
      <c r="H86">
        <v>20</v>
      </c>
      <c r="I86">
        <v>20</v>
      </c>
      <c r="J86">
        <v>0</v>
      </c>
    </row>
    <row r="87" spans="1:10" x14ac:dyDescent="0.3">
      <c r="D87" s="28" t="s">
        <v>77</v>
      </c>
      <c r="E87" t="s">
        <v>74</v>
      </c>
      <c r="F87">
        <v>37</v>
      </c>
      <c r="G87">
        <v>30</v>
      </c>
      <c r="H87">
        <v>24</v>
      </c>
      <c r="I87">
        <v>24</v>
      </c>
      <c r="J87">
        <v>0</v>
      </c>
    </row>
    <row r="88" spans="1:10" x14ac:dyDescent="0.3">
      <c r="D88" s="28" t="s">
        <v>78</v>
      </c>
      <c r="E88" t="s">
        <v>75</v>
      </c>
      <c r="F88">
        <v>21</v>
      </c>
      <c r="G88">
        <v>15</v>
      </c>
      <c r="H88">
        <v>16</v>
      </c>
      <c r="I88">
        <v>14</v>
      </c>
      <c r="J88">
        <v>0</v>
      </c>
    </row>
    <row r="89" spans="1:10" x14ac:dyDescent="0.3">
      <c r="D89" s="28" t="s">
        <v>78</v>
      </c>
      <c r="E89" t="s">
        <v>76</v>
      </c>
      <c r="F89">
        <v>22</v>
      </c>
      <c r="G89">
        <v>18</v>
      </c>
      <c r="H89">
        <v>16</v>
      </c>
      <c r="I89">
        <v>14</v>
      </c>
      <c r="J89">
        <v>0</v>
      </c>
    </row>
    <row r="90" spans="1:10" x14ac:dyDescent="0.3">
      <c r="B90">
        <v>10</v>
      </c>
      <c r="C90">
        <v>8.77</v>
      </c>
      <c r="D90" s="28" t="s">
        <v>77</v>
      </c>
      <c r="E90" t="s">
        <v>72</v>
      </c>
      <c r="F90">
        <v>62</v>
      </c>
      <c r="G90">
        <v>56</v>
      </c>
      <c r="H90">
        <v>47</v>
      </c>
      <c r="I90">
        <v>42</v>
      </c>
      <c r="J90">
        <v>36</v>
      </c>
    </row>
    <row r="91" spans="1:10" x14ac:dyDescent="0.3">
      <c r="D91" s="28" t="s">
        <v>77</v>
      </c>
      <c r="E91" t="s">
        <v>73</v>
      </c>
      <c r="F91">
        <v>52</v>
      </c>
      <c r="G91">
        <v>52</v>
      </c>
      <c r="H91">
        <v>40</v>
      </c>
      <c r="I91">
        <v>36</v>
      </c>
      <c r="J91">
        <v>0</v>
      </c>
    </row>
    <row r="92" spans="1:10" x14ac:dyDescent="0.3">
      <c r="D92" s="28" t="s">
        <v>77</v>
      </c>
      <c r="E92" t="s">
        <v>74</v>
      </c>
      <c r="F92">
        <v>61</v>
      </c>
      <c r="G92">
        <v>52</v>
      </c>
      <c r="H92">
        <v>48</v>
      </c>
      <c r="I92">
        <v>48</v>
      </c>
      <c r="J92">
        <v>0</v>
      </c>
    </row>
    <row r="93" spans="1:10" x14ac:dyDescent="0.3">
      <c r="D93" s="28" t="s">
        <v>78</v>
      </c>
      <c r="E93" t="s">
        <v>75</v>
      </c>
      <c r="F93">
        <v>32</v>
      </c>
      <c r="G93">
        <v>32</v>
      </c>
      <c r="H93">
        <v>26</v>
      </c>
      <c r="I93">
        <v>24</v>
      </c>
      <c r="J93">
        <v>0</v>
      </c>
    </row>
    <row r="94" spans="1:10" x14ac:dyDescent="0.3">
      <c r="D94" s="28" t="s">
        <v>78</v>
      </c>
      <c r="E94" t="s">
        <v>76</v>
      </c>
      <c r="F94">
        <v>37</v>
      </c>
      <c r="G94">
        <v>32</v>
      </c>
      <c r="H94">
        <v>28</v>
      </c>
      <c r="I94">
        <v>28</v>
      </c>
      <c r="J94">
        <v>0</v>
      </c>
    </row>
    <row r="95" spans="1:10" x14ac:dyDescent="0.3">
      <c r="B95">
        <v>12</v>
      </c>
      <c r="C95">
        <v>10.75</v>
      </c>
      <c r="D95" s="28" t="s">
        <v>77</v>
      </c>
      <c r="E95" t="s">
        <v>72</v>
      </c>
      <c r="F95">
        <v>109</v>
      </c>
      <c r="G95">
        <v>98</v>
      </c>
      <c r="H95">
        <v>86</v>
      </c>
      <c r="I95">
        <v>82</v>
      </c>
      <c r="J95">
        <v>78</v>
      </c>
    </row>
    <row r="96" spans="1:10" x14ac:dyDescent="0.3">
      <c r="D96" s="28" t="s">
        <v>77</v>
      </c>
      <c r="E96" t="s">
        <v>73</v>
      </c>
      <c r="F96">
        <v>80</v>
      </c>
      <c r="G96">
        <v>72</v>
      </c>
      <c r="H96">
        <v>68</v>
      </c>
      <c r="I96">
        <v>68</v>
      </c>
      <c r="J96">
        <v>60</v>
      </c>
    </row>
    <row r="97" spans="2:10" x14ac:dyDescent="0.3">
      <c r="D97" s="28" t="s">
        <v>77</v>
      </c>
      <c r="E97" t="s">
        <v>74</v>
      </c>
      <c r="F97">
        <v>90</v>
      </c>
      <c r="G97">
        <v>84</v>
      </c>
      <c r="H97">
        <v>72</v>
      </c>
      <c r="I97">
        <v>70</v>
      </c>
      <c r="J97">
        <v>68</v>
      </c>
    </row>
    <row r="98" spans="2:10" x14ac:dyDescent="0.3">
      <c r="D98" s="28" t="s">
        <v>78</v>
      </c>
      <c r="E98" t="s">
        <v>75</v>
      </c>
      <c r="F98">
        <v>48</v>
      </c>
      <c r="G98">
        <v>44</v>
      </c>
      <c r="H98">
        <v>40</v>
      </c>
      <c r="I98">
        <v>38</v>
      </c>
      <c r="J98">
        <v>36</v>
      </c>
    </row>
    <row r="99" spans="2:10" x14ac:dyDescent="0.3">
      <c r="D99" s="28" t="s">
        <v>78</v>
      </c>
      <c r="E99" t="s">
        <v>76</v>
      </c>
      <c r="F99">
        <v>57</v>
      </c>
      <c r="G99">
        <v>52</v>
      </c>
      <c r="H99">
        <v>44</v>
      </c>
      <c r="I99">
        <v>42</v>
      </c>
      <c r="J99">
        <v>40</v>
      </c>
    </row>
    <row r="100" spans="2:10" x14ac:dyDescent="0.3">
      <c r="B100">
        <v>13.25</v>
      </c>
      <c r="C100">
        <v>12</v>
      </c>
      <c r="D100" s="28" t="s">
        <v>77</v>
      </c>
      <c r="E100" t="s">
        <v>72</v>
      </c>
      <c r="F100">
        <v>127</v>
      </c>
      <c r="G100">
        <v>114</v>
      </c>
      <c r="H100">
        <v>96</v>
      </c>
      <c r="I100">
        <v>90</v>
      </c>
      <c r="J100">
        <v>86</v>
      </c>
    </row>
    <row r="101" spans="2:10" x14ac:dyDescent="0.3">
      <c r="D101" s="28" t="s">
        <v>77</v>
      </c>
      <c r="E101" t="s">
        <v>73</v>
      </c>
      <c r="F101">
        <v>95</v>
      </c>
      <c r="G101">
        <v>90</v>
      </c>
      <c r="H101">
        <v>81</v>
      </c>
      <c r="I101">
        <v>77</v>
      </c>
      <c r="J101">
        <v>70</v>
      </c>
    </row>
    <row r="102" spans="2:10" x14ac:dyDescent="0.3">
      <c r="D102" s="28" t="s">
        <v>77</v>
      </c>
      <c r="E102" t="s">
        <v>74</v>
      </c>
      <c r="F102">
        <v>110</v>
      </c>
      <c r="G102">
        <v>404</v>
      </c>
      <c r="H102">
        <v>90</v>
      </c>
      <c r="I102">
        <v>88</v>
      </c>
      <c r="J102">
        <v>74</v>
      </c>
    </row>
    <row r="103" spans="2:10" x14ac:dyDescent="0.3">
      <c r="D103" s="28" t="s">
        <v>78</v>
      </c>
      <c r="E103" t="s">
        <v>75</v>
      </c>
      <c r="F103">
        <v>60</v>
      </c>
      <c r="G103">
        <v>54</v>
      </c>
      <c r="H103">
        <v>51</v>
      </c>
      <c r="I103">
        <v>46</v>
      </c>
      <c r="J103">
        <v>44</v>
      </c>
    </row>
    <row r="104" spans="2:10" x14ac:dyDescent="0.3">
      <c r="D104" s="28" t="s">
        <v>78</v>
      </c>
      <c r="E104" t="s">
        <v>76</v>
      </c>
      <c r="F104">
        <v>67</v>
      </c>
      <c r="G104">
        <v>63</v>
      </c>
      <c r="H104">
        <v>56</v>
      </c>
      <c r="I104">
        <v>54</v>
      </c>
      <c r="J104">
        <v>50</v>
      </c>
    </row>
    <row r="105" spans="2:10" x14ac:dyDescent="0.3">
      <c r="B105">
        <v>15.25</v>
      </c>
      <c r="C105">
        <v>14</v>
      </c>
      <c r="D105" s="28" t="s">
        <v>77</v>
      </c>
      <c r="E105" t="s">
        <v>72</v>
      </c>
      <c r="F105">
        <v>170</v>
      </c>
      <c r="G105">
        <v>160</v>
      </c>
      <c r="H105">
        <v>140</v>
      </c>
      <c r="I105">
        <v>136</v>
      </c>
      <c r="J105">
        <v>128</v>
      </c>
    </row>
    <row r="106" spans="2:10" x14ac:dyDescent="0.3">
      <c r="D106" s="28" t="s">
        <v>77</v>
      </c>
      <c r="E106" t="s">
        <v>73</v>
      </c>
      <c r="F106">
        <v>138</v>
      </c>
      <c r="G106">
        <v>132</v>
      </c>
      <c r="H106">
        <v>116</v>
      </c>
      <c r="I106">
        <v>115</v>
      </c>
      <c r="J106">
        <v>108</v>
      </c>
    </row>
    <row r="107" spans="2:10" x14ac:dyDescent="0.3">
      <c r="D107" s="28" t="s">
        <v>77</v>
      </c>
      <c r="E107" t="s">
        <v>74</v>
      </c>
      <c r="F107">
        <v>163</v>
      </c>
      <c r="G107">
        <v>152</v>
      </c>
      <c r="H107">
        <v>136</v>
      </c>
      <c r="I107">
        <v>133</v>
      </c>
      <c r="J107">
        <v>110</v>
      </c>
    </row>
    <row r="108" spans="2:10" x14ac:dyDescent="0.3">
      <c r="D108" s="28" t="s">
        <v>78</v>
      </c>
      <c r="E108" t="s">
        <v>75</v>
      </c>
      <c r="F108">
        <v>88</v>
      </c>
      <c r="G108">
        <v>82</v>
      </c>
      <c r="H108">
        <v>75</v>
      </c>
      <c r="I108">
        <v>70</v>
      </c>
      <c r="J108">
        <v>64</v>
      </c>
    </row>
    <row r="109" spans="2:10" x14ac:dyDescent="0.3">
      <c r="D109" s="28" t="s">
        <v>78</v>
      </c>
      <c r="E109" t="s">
        <v>76</v>
      </c>
      <c r="F109">
        <v>96</v>
      </c>
      <c r="G109">
        <v>92</v>
      </c>
      <c r="H109">
        <v>86</v>
      </c>
      <c r="I109">
        <v>84</v>
      </c>
      <c r="J109">
        <v>72</v>
      </c>
    </row>
    <row r="110" spans="2:10" x14ac:dyDescent="0.3">
      <c r="B110">
        <v>15.25</v>
      </c>
      <c r="C110">
        <v>16</v>
      </c>
      <c r="D110" s="28" t="s">
        <v>77</v>
      </c>
      <c r="E110" t="s">
        <v>72</v>
      </c>
      <c r="F110">
        <v>239</v>
      </c>
      <c r="G110">
        <v>224</v>
      </c>
      <c r="H110">
        <v>194</v>
      </c>
      <c r="I110">
        <v>188</v>
      </c>
      <c r="J110">
        <v>178</v>
      </c>
    </row>
    <row r="111" spans="2:10" x14ac:dyDescent="0.3">
      <c r="D111" s="28" t="s">
        <v>77</v>
      </c>
      <c r="E111" t="s">
        <v>73</v>
      </c>
      <c r="F111">
        <v>188</v>
      </c>
      <c r="G111">
        <v>178</v>
      </c>
      <c r="H111">
        <v>168</v>
      </c>
      <c r="I111">
        <v>164</v>
      </c>
      <c r="J111">
        <v>142</v>
      </c>
    </row>
    <row r="112" spans="2:10" x14ac:dyDescent="0.3">
      <c r="D112" s="28" t="s">
        <v>77</v>
      </c>
      <c r="E112" t="s">
        <v>74</v>
      </c>
      <c r="F112">
        <v>211</v>
      </c>
      <c r="G112">
        <v>201</v>
      </c>
      <c r="H112">
        <v>181</v>
      </c>
      <c r="I112">
        <v>176</v>
      </c>
      <c r="J112">
        <v>166</v>
      </c>
    </row>
    <row r="113" spans="2:10" x14ac:dyDescent="0.3">
      <c r="D113" s="28" t="s">
        <v>78</v>
      </c>
      <c r="E113" t="s">
        <v>75</v>
      </c>
      <c r="F113">
        <v>112</v>
      </c>
      <c r="G113">
        <v>110</v>
      </c>
      <c r="H113">
        <v>102</v>
      </c>
      <c r="I113">
        <v>98</v>
      </c>
      <c r="J113">
        <v>82</v>
      </c>
    </row>
    <row r="114" spans="2:10" x14ac:dyDescent="0.3">
      <c r="D114" s="28" t="s">
        <v>78</v>
      </c>
      <c r="E114" t="s">
        <v>76</v>
      </c>
      <c r="F114">
        <v>130</v>
      </c>
      <c r="G114">
        <v>124</v>
      </c>
      <c r="H114">
        <v>116</v>
      </c>
      <c r="I114">
        <v>110</v>
      </c>
      <c r="J114">
        <v>94</v>
      </c>
    </row>
    <row r="115" spans="2:10" x14ac:dyDescent="0.3">
      <c r="B115">
        <v>19.25</v>
      </c>
      <c r="C115">
        <v>18</v>
      </c>
      <c r="D115" s="28" t="s">
        <v>77</v>
      </c>
      <c r="E115" t="s">
        <v>72</v>
      </c>
      <c r="F115">
        <v>301</v>
      </c>
      <c r="G115">
        <v>282</v>
      </c>
      <c r="H115">
        <v>252</v>
      </c>
      <c r="I115">
        <v>244</v>
      </c>
      <c r="J115">
        <v>234</v>
      </c>
    </row>
    <row r="116" spans="2:10" x14ac:dyDescent="0.3">
      <c r="D116" s="28" t="s">
        <v>77</v>
      </c>
      <c r="E116" t="s">
        <v>73</v>
      </c>
      <c r="F116">
        <v>236</v>
      </c>
      <c r="G116">
        <v>224</v>
      </c>
      <c r="H116">
        <v>216</v>
      </c>
      <c r="I116">
        <v>208</v>
      </c>
      <c r="J116">
        <v>188</v>
      </c>
    </row>
    <row r="117" spans="2:10" x14ac:dyDescent="0.3">
      <c r="D117" s="28" t="s">
        <v>77</v>
      </c>
      <c r="E117" t="s">
        <v>74</v>
      </c>
      <c r="F117">
        <v>273</v>
      </c>
      <c r="G117">
        <v>256</v>
      </c>
      <c r="H117">
        <v>242</v>
      </c>
      <c r="I117">
        <v>236</v>
      </c>
      <c r="J117">
        <v>210</v>
      </c>
    </row>
    <row r="118" spans="2:10" x14ac:dyDescent="0.3">
      <c r="D118" s="28" t="s">
        <v>78</v>
      </c>
      <c r="E118" t="s">
        <v>75</v>
      </c>
      <c r="F118">
        <v>148</v>
      </c>
      <c r="G118">
        <v>142</v>
      </c>
      <c r="H118">
        <v>136</v>
      </c>
      <c r="I118">
        <v>129</v>
      </c>
      <c r="J118">
        <v>116</v>
      </c>
    </row>
    <row r="119" spans="2:10" x14ac:dyDescent="0.3">
      <c r="D119" s="28" t="s">
        <v>78</v>
      </c>
      <c r="E119" t="s">
        <v>76</v>
      </c>
      <c r="F119">
        <v>172</v>
      </c>
      <c r="G119">
        <v>162</v>
      </c>
      <c r="H119">
        <v>152</v>
      </c>
      <c r="I119">
        <v>148</v>
      </c>
      <c r="J119">
        <v>128</v>
      </c>
    </row>
    <row r="120" spans="2:10" x14ac:dyDescent="0.3">
      <c r="B120">
        <v>21.25</v>
      </c>
      <c r="C120">
        <v>19.25</v>
      </c>
      <c r="D120" s="28" t="s">
        <v>77</v>
      </c>
      <c r="E120" t="s">
        <v>72</v>
      </c>
      <c r="F120">
        <v>361</v>
      </c>
      <c r="G120">
        <v>342</v>
      </c>
      <c r="H120">
        <v>314</v>
      </c>
      <c r="I120">
        <v>306</v>
      </c>
      <c r="J120">
        <v>290</v>
      </c>
    </row>
    <row r="121" spans="2:10" x14ac:dyDescent="0.3">
      <c r="D121" s="28" t="s">
        <v>77</v>
      </c>
      <c r="E121" t="s">
        <v>73</v>
      </c>
      <c r="F121">
        <v>276</v>
      </c>
      <c r="G121">
        <v>264</v>
      </c>
      <c r="H121">
        <v>246</v>
      </c>
      <c r="I121">
        <v>240</v>
      </c>
      <c r="J121">
        <v>234</v>
      </c>
    </row>
    <row r="122" spans="2:10" x14ac:dyDescent="0.3">
      <c r="D122" s="28" t="s">
        <v>77</v>
      </c>
      <c r="E122" t="s">
        <v>74</v>
      </c>
      <c r="F122">
        <v>318</v>
      </c>
      <c r="G122">
        <v>308</v>
      </c>
      <c r="H122">
        <v>279</v>
      </c>
      <c r="I122">
        <v>269</v>
      </c>
      <c r="J122">
        <v>260</v>
      </c>
    </row>
    <row r="123" spans="2:10" x14ac:dyDescent="0.3">
      <c r="D123" s="28" t="s">
        <v>78</v>
      </c>
      <c r="E123" t="s">
        <v>75</v>
      </c>
      <c r="F123">
        <v>170</v>
      </c>
      <c r="G123">
        <v>168</v>
      </c>
      <c r="H123">
        <v>257</v>
      </c>
      <c r="I123">
        <v>150</v>
      </c>
      <c r="J123">
        <v>148</v>
      </c>
    </row>
    <row r="124" spans="2:10" x14ac:dyDescent="0.3">
      <c r="D124" s="28" t="s">
        <v>78</v>
      </c>
      <c r="E124" t="s">
        <v>76</v>
      </c>
      <c r="F124">
        <v>199</v>
      </c>
      <c r="G124">
        <v>188</v>
      </c>
      <c r="H124">
        <v>170</v>
      </c>
      <c r="I124">
        <v>166</v>
      </c>
      <c r="J124">
        <v>160</v>
      </c>
    </row>
    <row r="125" spans="2:10" x14ac:dyDescent="0.3">
      <c r="B125">
        <v>23.25</v>
      </c>
      <c r="C125">
        <v>21.5</v>
      </c>
      <c r="D125" s="28" t="s">
        <v>77</v>
      </c>
      <c r="E125" t="s">
        <v>72</v>
      </c>
      <c r="F125">
        <v>442</v>
      </c>
      <c r="G125">
        <v>420</v>
      </c>
      <c r="H125">
        <v>386</v>
      </c>
      <c r="I125">
        <v>378</v>
      </c>
      <c r="J125">
        <v>364</v>
      </c>
    </row>
    <row r="126" spans="2:10" x14ac:dyDescent="0.3">
      <c r="D126" s="28" t="s">
        <v>77</v>
      </c>
      <c r="E126" t="s">
        <v>73</v>
      </c>
      <c r="F126">
        <v>341</v>
      </c>
      <c r="G126">
        <v>321</v>
      </c>
      <c r="H126">
        <v>308</v>
      </c>
      <c r="I126">
        <v>296</v>
      </c>
      <c r="J126">
        <v>292</v>
      </c>
    </row>
    <row r="127" spans="2:10" x14ac:dyDescent="0.3">
      <c r="D127" s="28" t="s">
        <v>77</v>
      </c>
      <c r="E127" t="s">
        <v>74</v>
      </c>
      <c r="F127">
        <v>381</v>
      </c>
      <c r="G127">
        <v>369</v>
      </c>
      <c r="H127">
        <v>349</v>
      </c>
      <c r="I127">
        <v>326</v>
      </c>
      <c r="J127">
        <v>328</v>
      </c>
    </row>
    <row r="128" spans="2:10" x14ac:dyDescent="0.3">
      <c r="D128" s="28" t="s">
        <v>78</v>
      </c>
      <c r="E128" t="s">
        <v>75</v>
      </c>
      <c r="F128">
        <v>210</v>
      </c>
      <c r="G128">
        <v>199</v>
      </c>
      <c r="H128">
        <v>197</v>
      </c>
      <c r="I128">
        <v>186</v>
      </c>
      <c r="J128">
        <v>184</v>
      </c>
    </row>
    <row r="129" spans="2:10" x14ac:dyDescent="0.3">
      <c r="D129" s="28" t="s">
        <v>78</v>
      </c>
      <c r="E129" t="s">
        <v>76</v>
      </c>
      <c r="F129">
        <v>247</v>
      </c>
      <c r="G129">
        <v>230</v>
      </c>
      <c r="H129">
        <v>216</v>
      </c>
      <c r="I129">
        <v>208</v>
      </c>
      <c r="J129">
        <v>202</v>
      </c>
    </row>
    <row r="130" spans="2:10" x14ac:dyDescent="0.3">
      <c r="B130">
        <v>25</v>
      </c>
      <c r="C130">
        <v>23.375</v>
      </c>
      <c r="D130" s="28" t="s">
        <v>77</v>
      </c>
      <c r="E130" t="s">
        <v>72</v>
      </c>
      <c r="F130">
        <v>531</v>
      </c>
      <c r="G130">
        <v>506</v>
      </c>
      <c r="H130">
        <v>468</v>
      </c>
      <c r="I130">
        <v>446</v>
      </c>
      <c r="J130">
        <v>434</v>
      </c>
    </row>
    <row r="131" spans="2:10" x14ac:dyDescent="0.3">
      <c r="D131" s="28" t="s">
        <v>77</v>
      </c>
      <c r="E131" t="s">
        <v>73</v>
      </c>
      <c r="F131">
        <v>397</v>
      </c>
      <c r="G131">
        <v>391</v>
      </c>
      <c r="H131">
        <v>370</v>
      </c>
      <c r="I131">
        <v>360</v>
      </c>
      <c r="J131">
        <v>343</v>
      </c>
    </row>
    <row r="132" spans="2:10" x14ac:dyDescent="0.3">
      <c r="D132" s="28" t="s">
        <v>77</v>
      </c>
      <c r="E132" t="s">
        <v>74</v>
      </c>
      <c r="F132">
        <v>452</v>
      </c>
      <c r="G132">
        <v>452</v>
      </c>
      <c r="H132">
        <v>422</v>
      </c>
      <c r="I132">
        <v>394</v>
      </c>
      <c r="J132">
        <v>382</v>
      </c>
    </row>
    <row r="133" spans="2:10" x14ac:dyDescent="0.3">
      <c r="D133" s="28" t="s">
        <v>78</v>
      </c>
      <c r="E133" t="s">
        <v>75</v>
      </c>
      <c r="F133">
        <v>248</v>
      </c>
      <c r="G133">
        <v>248</v>
      </c>
      <c r="H133">
        <v>224</v>
      </c>
      <c r="I133">
        <v>216</v>
      </c>
      <c r="J133">
        <v>210</v>
      </c>
    </row>
    <row r="134" spans="2:10" x14ac:dyDescent="0.3">
      <c r="D134" s="28" t="s">
        <v>78</v>
      </c>
      <c r="E134" t="s">
        <v>76</v>
      </c>
      <c r="F134">
        <v>282</v>
      </c>
      <c r="G134">
        <v>282</v>
      </c>
      <c r="H134">
        <v>256</v>
      </c>
      <c r="I134">
        <v>252</v>
      </c>
      <c r="J134">
        <v>242</v>
      </c>
    </row>
    <row r="135" spans="2:10" x14ac:dyDescent="0.3">
      <c r="B135">
        <v>27</v>
      </c>
      <c r="C135">
        <v>25.375</v>
      </c>
      <c r="D135" s="28" t="s">
        <v>77</v>
      </c>
      <c r="E135" t="s">
        <v>72</v>
      </c>
      <c r="F135">
        <v>637</v>
      </c>
      <c r="G135">
        <v>602</v>
      </c>
      <c r="H135">
        <v>550</v>
      </c>
      <c r="I135">
        <v>536</v>
      </c>
      <c r="J135">
        <v>524</v>
      </c>
    </row>
    <row r="136" spans="2:10" x14ac:dyDescent="0.3">
      <c r="D136" s="28" t="s">
        <v>77</v>
      </c>
      <c r="E136" t="s">
        <v>73</v>
      </c>
      <c r="F136">
        <v>465</v>
      </c>
      <c r="G136">
        <v>452</v>
      </c>
      <c r="H136">
        <v>427</v>
      </c>
      <c r="I136">
        <v>418</v>
      </c>
      <c r="J136">
        <v>408</v>
      </c>
    </row>
    <row r="137" spans="2:10" x14ac:dyDescent="0.3">
      <c r="D137" s="28" t="s">
        <v>77</v>
      </c>
      <c r="E137" t="s">
        <v>74</v>
      </c>
      <c r="F137">
        <v>559</v>
      </c>
      <c r="G137">
        <v>534</v>
      </c>
      <c r="H137">
        <v>488</v>
      </c>
      <c r="I137">
        <v>474</v>
      </c>
      <c r="J137">
        <v>464</v>
      </c>
    </row>
    <row r="138" spans="2:10" x14ac:dyDescent="0.3">
      <c r="D138" s="28" t="s">
        <v>78</v>
      </c>
      <c r="E138" t="s">
        <v>75</v>
      </c>
      <c r="F138">
        <v>286</v>
      </c>
      <c r="G138">
        <v>275</v>
      </c>
      <c r="H138">
        <v>267</v>
      </c>
      <c r="I138">
        <v>257</v>
      </c>
      <c r="J138">
        <v>250</v>
      </c>
    </row>
    <row r="139" spans="2:10" x14ac:dyDescent="0.3">
      <c r="D139" s="28" t="s">
        <v>78</v>
      </c>
      <c r="E139" t="s">
        <v>76</v>
      </c>
      <c r="F139">
        <v>349</v>
      </c>
      <c r="G139">
        <v>334</v>
      </c>
      <c r="H139">
        <v>302</v>
      </c>
      <c r="I139">
        <v>296</v>
      </c>
      <c r="J139">
        <v>286</v>
      </c>
    </row>
    <row r="140" spans="2:10" x14ac:dyDescent="0.3">
      <c r="B140">
        <v>29</v>
      </c>
      <c r="C140">
        <v>27.375</v>
      </c>
      <c r="D140" s="28" t="s">
        <v>77</v>
      </c>
      <c r="E140" t="s">
        <v>72</v>
      </c>
      <c r="F140">
        <v>721</v>
      </c>
      <c r="G140">
        <v>692</v>
      </c>
      <c r="H140">
        <v>640</v>
      </c>
      <c r="I140">
        <v>620</v>
      </c>
      <c r="J140">
        <v>594</v>
      </c>
    </row>
    <row r="141" spans="2:10" x14ac:dyDescent="0.3">
      <c r="D141" s="28" t="s">
        <v>77</v>
      </c>
      <c r="E141" t="s">
        <v>73</v>
      </c>
      <c r="F141">
        <v>554</v>
      </c>
      <c r="G141">
        <v>542</v>
      </c>
      <c r="H141">
        <v>525</v>
      </c>
      <c r="I141">
        <v>509</v>
      </c>
      <c r="J141">
        <v>500</v>
      </c>
    </row>
    <row r="142" spans="2:10" x14ac:dyDescent="0.3">
      <c r="D142" s="28" t="s">
        <v>77</v>
      </c>
      <c r="E142" t="s">
        <v>74</v>
      </c>
      <c r="F142">
        <v>630</v>
      </c>
      <c r="G142">
        <v>604</v>
      </c>
      <c r="H142">
        <v>556</v>
      </c>
      <c r="I142">
        <v>538</v>
      </c>
      <c r="J142">
        <v>508</v>
      </c>
    </row>
    <row r="143" spans="2:10" x14ac:dyDescent="0.3">
      <c r="D143" s="28" t="s">
        <v>78</v>
      </c>
      <c r="E143" t="s">
        <v>75</v>
      </c>
      <c r="F143">
        <v>348</v>
      </c>
      <c r="G143">
        <v>340</v>
      </c>
      <c r="H143">
        <v>322</v>
      </c>
      <c r="I143">
        <v>314</v>
      </c>
      <c r="J143">
        <v>310</v>
      </c>
    </row>
    <row r="144" spans="2:10" x14ac:dyDescent="0.3">
      <c r="D144" s="28" t="s">
        <v>78</v>
      </c>
      <c r="E144" t="s">
        <v>76</v>
      </c>
      <c r="F144">
        <v>397</v>
      </c>
      <c r="G144">
        <v>376</v>
      </c>
      <c r="H144">
        <v>354</v>
      </c>
      <c r="I144">
        <v>334</v>
      </c>
      <c r="J144">
        <v>316</v>
      </c>
    </row>
    <row r="145" spans="2:10" x14ac:dyDescent="0.3">
      <c r="B145">
        <v>31</v>
      </c>
      <c r="C145">
        <v>29.375</v>
      </c>
      <c r="D145" s="28" t="s">
        <v>77</v>
      </c>
      <c r="E145" t="s">
        <v>72</v>
      </c>
      <c r="F145">
        <v>847</v>
      </c>
      <c r="G145">
        <v>822</v>
      </c>
      <c r="H145">
        <v>766</v>
      </c>
      <c r="I145">
        <v>722</v>
      </c>
      <c r="J145">
        <v>720</v>
      </c>
    </row>
    <row r="146" spans="2:10" x14ac:dyDescent="0.3">
      <c r="D146" s="28" t="s">
        <v>77</v>
      </c>
      <c r="E146" t="s">
        <v>73</v>
      </c>
      <c r="F146">
        <v>633</v>
      </c>
      <c r="G146">
        <v>616</v>
      </c>
      <c r="H146">
        <v>590</v>
      </c>
      <c r="I146">
        <v>586</v>
      </c>
      <c r="J146">
        <v>570</v>
      </c>
    </row>
    <row r="147" spans="2:10" x14ac:dyDescent="0.3">
      <c r="D147" s="28" t="s">
        <v>77</v>
      </c>
      <c r="E147" t="s">
        <v>74</v>
      </c>
      <c r="F147">
        <v>745</v>
      </c>
      <c r="G147">
        <v>728</v>
      </c>
      <c r="H147">
        <v>678</v>
      </c>
      <c r="I147">
        <v>666</v>
      </c>
      <c r="J147">
        <v>640</v>
      </c>
    </row>
    <row r="148" spans="2:10" x14ac:dyDescent="0.3">
      <c r="D148" s="28" t="s">
        <v>78</v>
      </c>
      <c r="E148" t="s">
        <v>75</v>
      </c>
      <c r="F148">
        <v>402</v>
      </c>
      <c r="G148">
        <v>390</v>
      </c>
      <c r="H148">
        <v>366</v>
      </c>
      <c r="I148">
        <v>360</v>
      </c>
      <c r="J148">
        <v>348</v>
      </c>
    </row>
    <row r="149" spans="2:10" x14ac:dyDescent="0.3">
      <c r="D149" s="28" t="s">
        <v>78</v>
      </c>
      <c r="E149" t="s">
        <v>76</v>
      </c>
      <c r="F149">
        <v>472</v>
      </c>
      <c r="G149">
        <v>454</v>
      </c>
      <c r="H149">
        <v>430</v>
      </c>
      <c r="I149">
        <v>420</v>
      </c>
      <c r="J149">
        <v>400</v>
      </c>
    </row>
    <row r="150" spans="2:10" x14ac:dyDescent="0.3">
      <c r="B150">
        <v>33</v>
      </c>
      <c r="C150">
        <v>31.375</v>
      </c>
      <c r="D150" s="28" t="s">
        <v>77</v>
      </c>
      <c r="E150" t="s">
        <v>72</v>
      </c>
      <c r="F150">
        <v>974</v>
      </c>
      <c r="G150">
        <v>938</v>
      </c>
      <c r="H150">
        <v>872</v>
      </c>
      <c r="I150">
        <v>852</v>
      </c>
      <c r="J150">
        <v>826</v>
      </c>
    </row>
    <row r="151" spans="2:10" x14ac:dyDescent="0.3">
      <c r="D151" s="28" t="s">
        <v>77</v>
      </c>
      <c r="E151" t="s">
        <v>73</v>
      </c>
      <c r="F151">
        <v>742</v>
      </c>
      <c r="G151">
        <v>713</v>
      </c>
      <c r="H151">
        <v>687</v>
      </c>
      <c r="I151">
        <v>683</v>
      </c>
      <c r="J151">
        <v>672</v>
      </c>
    </row>
    <row r="152" spans="2:10" x14ac:dyDescent="0.3">
      <c r="D152" s="28" t="s">
        <v>77</v>
      </c>
      <c r="E152" t="s">
        <v>74</v>
      </c>
      <c r="F152">
        <v>856</v>
      </c>
      <c r="G152">
        <v>830</v>
      </c>
      <c r="H152">
        <v>774</v>
      </c>
      <c r="I152">
        <v>760</v>
      </c>
      <c r="J152">
        <v>732</v>
      </c>
    </row>
    <row r="153" spans="2:10" x14ac:dyDescent="0.3">
      <c r="D153" s="28" t="s">
        <v>78</v>
      </c>
      <c r="E153" t="s">
        <v>75</v>
      </c>
      <c r="F153">
        <v>460</v>
      </c>
      <c r="G153">
        <v>453</v>
      </c>
      <c r="H153">
        <v>430</v>
      </c>
      <c r="I153">
        <v>420</v>
      </c>
      <c r="J153">
        <v>414</v>
      </c>
    </row>
    <row r="154" spans="2:10" x14ac:dyDescent="0.3">
      <c r="D154" s="28" t="s">
        <v>78</v>
      </c>
      <c r="E154" t="s">
        <v>76</v>
      </c>
      <c r="F154">
        <v>538</v>
      </c>
      <c r="G154">
        <v>522</v>
      </c>
      <c r="H154">
        <v>486</v>
      </c>
      <c r="I154">
        <v>470</v>
      </c>
      <c r="J154">
        <v>454</v>
      </c>
    </row>
    <row r="155" spans="2:10" x14ac:dyDescent="0.3">
      <c r="B155">
        <v>35</v>
      </c>
      <c r="C155">
        <v>33.375</v>
      </c>
      <c r="D155" s="28" t="s">
        <v>77</v>
      </c>
      <c r="E155" t="s">
        <v>72</v>
      </c>
      <c r="F155">
        <v>1102</v>
      </c>
      <c r="G155">
        <v>1068</v>
      </c>
      <c r="H155">
        <v>1004</v>
      </c>
      <c r="I155">
        <v>988</v>
      </c>
      <c r="J155">
        <v>958</v>
      </c>
    </row>
    <row r="156" spans="2:10" x14ac:dyDescent="0.3">
      <c r="D156" s="28" t="s">
        <v>77</v>
      </c>
      <c r="E156" t="s">
        <v>73</v>
      </c>
      <c r="F156">
        <v>827</v>
      </c>
      <c r="G156">
        <v>811</v>
      </c>
      <c r="H156">
        <v>773</v>
      </c>
      <c r="I156">
        <v>762</v>
      </c>
      <c r="J156">
        <v>756</v>
      </c>
    </row>
    <row r="157" spans="2:10" x14ac:dyDescent="0.3">
      <c r="D157" s="28" t="s">
        <v>77</v>
      </c>
      <c r="E157" t="s">
        <v>74</v>
      </c>
      <c r="F157">
        <v>970</v>
      </c>
      <c r="G157">
        <v>938</v>
      </c>
      <c r="H157">
        <v>882</v>
      </c>
      <c r="I157">
        <v>864</v>
      </c>
      <c r="J157">
        <v>848</v>
      </c>
    </row>
    <row r="158" spans="2:10" x14ac:dyDescent="0.3">
      <c r="D158" s="28" t="s">
        <v>78</v>
      </c>
      <c r="E158" t="s">
        <v>75</v>
      </c>
      <c r="F158">
        <v>517</v>
      </c>
      <c r="G158">
        <v>513</v>
      </c>
      <c r="H158">
        <v>487</v>
      </c>
      <c r="I158">
        <v>486</v>
      </c>
      <c r="J158">
        <v>480</v>
      </c>
    </row>
    <row r="159" spans="2:10" x14ac:dyDescent="0.3">
      <c r="D159" s="28" t="s">
        <v>78</v>
      </c>
      <c r="E159" t="s">
        <v>76</v>
      </c>
      <c r="F159">
        <v>608</v>
      </c>
      <c r="G159">
        <v>592</v>
      </c>
      <c r="H159">
        <v>566</v>
      </c>
      <c r="I159">
        <v>546</v>
      </c>
      <c r="J159">
        <v>532</v>
      </c>
    </row>
    <row r="160" spans="2:10" x14ac:dyDescent="0.3">
      <c r="B160">
        <v>37</v>
      </c>
      <c r="C160">
        <v>35.25</v>
      </c>
      <c r="D160" s="28" t="s">
        <v>77</v>
      </c>
      <c r="E160" t="s">
        <v>72</v>
      </c>
      <c r="F160">
        <v>1142</v>
      </c>
      <c r="G160">
        <v>1200</v>
      </c>
      <c r="H160">
        <v>1144</v>
      </c>
      <c r="I160">
        <v>1104</v>
      </c>
      <c r="J160">
        <v>1078</v>
      </c>
    </row>
    <row r="161" spans="2:10" x14ac:dyDescent="0.3">
      <c r="D161" s="28" t="s">
        <v>77</v>
      </c>
      <c r="E161" t="s">
        <v>73</v>
      </c>
      <c r="F161">
        <v>929</v>
      </c>
      <c r="G161">
        <v>902</v>
      </c>
      <c r="H161">
        <v>880</v>
      </c>
      <c r="I161">
        <v>870</v>
      </c>
      <c r="J161">
        <v>852</v>
      </c>
    </row>
    <row r="162" spans="2:10" x14ac:dyDescent="0.3">
      <c r="D162" s="28" t="s">
        <v>77</v>
      </c>
      <c r="E162" t="s">
        <v>74</v>
      </c>
      <c r="F162">
        <v>1090</v>
      </c>
      <c r="G162">
        <v>1042</v>
      </c>
      <c r="H162">
        <v>982</v>
      </c>
      <c r="I162">
        <v>966</v>
      </c>
      <c r="J162">
        <v>958</v>
      </c>
    </row>
    <row r="163" spans="2:10" x14ac:dyDescent="0.3">
      <c r="D163" s="28" t="s">
        <v>78</v>
      </c>
      <c r="E163" t="s">
        <v>75</v>
      </c>
      <c r="F163">
        <v>588</v>
      </c>
      <c r="G163">
        <v>580</v>
      </c>
      <c r="H163">
        <v>555</v>
      </c>
      <c r="I163">
        <v>544</v>
      </c>
      <c r="J163">
        <v>538</v>
      </c>
    </row>
    <row r="164" spans="2:10" x14ac:dyDescent="0.3">
      <c r="D164" s="28" t="s">
        <v>78</v>
      </c>
      <c r="E164" t="s">
        <v>76</v>
      </c>
      <c r="F164">
        <v>678</v>
      </c>
      <c r="G164">
        <v>664</v>
      </c>
      <c r="H164">
        <v>632</v>
      </c>
      <c r="I164">
        <v>614</v>
      </c>
      <c r="J164">
        <v>598</v>
      </c>
    </row>
    <row r="165" spans="2:10" x14ac:dyDescent="0.3">
      <c r="B165">
        <v>39</v>
      </c>
      <c r="C165">
        <v>37.25</v>
      </c>
      <c r="D165" s="28" t="s">
        <v>77</v>
      </c>
      <c r="E165" t="s">
        <v>72</v>
      </c>
      <c r="F165">
        <v>1377</v>
      </c>
      <c r="G165">
        <v>1330</v>
      </c>
      <c r="H165">
        <v>1258</v>
      </c>
      <c r="I165">
        <v>1248</v>
      </c>
      <c r="J165">
        <v>1212</v>
      </c>
    </row>
    <row r="166" spans="2:10" x14ac:dyDescent="0.3">
      <c r="D166" s="28" t="s">
        <v>77</v>
      </c>
      <c r="E166" t="s">
        <v>73</v>
      </c>
      <c r="F166">
        <v>1025</v>
      </c>
      <c r="G166">
        <v>1012</v>
      </c>
      <c r="H166">
        <v>984</v>
      </c>
      <c r="I166">
        <v>964</v>
      </c>
      <c r="J166">
        <v>952</v>
      </c>
    </row>
    <row r="167" spans="2:10" x14ac:dyDescent="0.3">
      <c r="D167" s="28" t="s">
        <v>77</v>
      </c>
      <c r="E167" t="s">
        <v>74</v>
      </c>
      <c r="F167">
        <v>1206</v>
      </c>
      <c r="G167">
        <v>1176</v>
      </c>
      <c r="H167">
        <v>1128</v>
      </c>
      <c r="I167">
        <v>1100</v>
      </c>
      <c r="J167">
        <v>1078</v>
      </c>
    </row>
    <row r="168" spans="2:10" x14ac:dyDescent="0.3">
      <c r="D168" s="28" t="s">
        <v>78</v>
      </c>
      <c r="E168" t="s">
        <v>75</v>
      </c>
      <c r="F168">
        <v>645</v>
      </c>
      <c r="G168">
        <v>637</v>
      </c>
      <c r="H168">
        <v>619</v>
      </c>
      <c r="I168">
        <v>610</v>
      </c>
      <c r="J168">
        <v>605</v>
      </c>
    </row>
    <row r="169" spans="2:10" x14ac:dyDescent="0.3">
      <c r="D169" s="28" t="s">
        <v>78</v>
      </c>
      <c r="E169" t="s">
        <v>76</v>
      </c>
      <c r="F169">
        <v>766</v>
      </c>
      <c r="G169">
        <v>736</v>
      </c>
      <c r="H169">
        <v>700</v>
      </c>
      <c r="I169">
        <v>688</v>
      </c>
      <c r="J169">
        <v>672</v>
      </c>
    </row>
    <row r="170" spans="2:10" x14ac:dyDescent="0.3">
      <c r="B170">
        <v>42</v>
      </c>
      <c r="C170">
        <v>40.25</v>
      </c>
      <c r="D170" s="28" t="s">
        <v>77</v>
      </c>
      <c r="E170" t="s">
        <v>72</v>
      </c>
      <c r="F170">
        <v>1611</v>
      </c>
      <c r="G170">
        <v>1580</v>
      </c>
      <c r="H170">
        <v>1498</v>
      </c>
      <c r="I170">
        <v>1464</v>
      </c>
      <c r="J170">
        <v>1456</v>
      </c>
    </row>
    <row r="171" spans="2:10" x14ac:dyDescent="0.3">
      <c r="D171" s="28" t="s">
        <v>77</v>
      </c>
      <c r="E171" t="s">
        <v>73</v>
      </c>
      <c r="F171">
        <v>1201</v>
      </c>
      <c r="G171">
        <v>1171</v>
      </c>
      <c r="H171">
        <v>1144</v>
      </c>
      <c r="I171">
        <v>1109</v>
      </c>
      <c r="J171">
        <v>1087</v>
      </c>
    </row>
    <row r="172" spans="2:10" x14ac:dyDescent="0.3">
      <c r="D172" s="28" t="s">
        <v>77</v>
      </c>
      <c r="E172" t="s">
        <v>74</v>
      </c>
      <c r="F172">
        <v>1409</v>
      </c>
      <c r="G172">
        <v>1378</v>
      </c>
      <c r="H172">
        <v>1314</v>
      </c>
      <c r="I172">
        <v>1296</v>
      </c>
      <c r="J172">
        <v>1280</v>
      </c>
    </row>
    <row r="173" spans="2:10" x14ac:dyDescent="0.3">
      <c r="D173" s="28" t="s">
        <v>78</v>
      </c>
      <c r="E173" t="s">
        <v>75</v>
      </c>
      <c r="F173">
        <v>745</v>
      </c>
      <c r="G173">
        <v>728</v>
      </c>
      <c r="H173">
        <v>708</v>
      </c>
      <c r="I173">
        <v>686</v>
      </c>
      <c r="J173">
        <v>680</v>
      </c>
    </row>
    <row r="174" spans="2:10" x14ac:dyDescent="0.3">
      <c r="D174" s="28" t="s">
        <v>78</v>
      </c>
      <c r="E174" t="s">
        <v>76</v>
      </c>
      <c r="F174">
        <v>890</v>
      </c>
      <c r="G174">
        <v>878</v>
      </c>
      <c r="H174">
        <v>834</v>
      </c>
      <c r="I174">
        <v>808</v>
      </c>
      <c r="J174">
        <v>800</v>
      </c>
    </row>
    <row r="175" spans="2:10" x14ac:dyDescent="0.3">
      <c r="B175">
        <v>44</v>
      </c>
      <c r="C175">
        <v>42.25</v>
      </c>
      <c r="D175" s="28" t="s">
        <v>77</v>
      </c>
      <c r="E175" t="s">
        <v>72</v>
      </c>
      <c r="F175">
        <v>1782</v>
      </c>
      <c r="G175">
        <v>1738</v>
      </c>
      <c r="H175">
        <v>1650</v>
      </c>
      <c r="I175">
        <v>1624</v>
      </c>
      <c r="J175">
        <v>1592</v>
      </c>
    </row>
    <row r="176" spans="2:10" x14ac:dyDescent="0.3">
      <c r="D176" s="28" t="s">
        <v>77</v>
      </c>
      <c r="E176" t="s">
        <v>73</v>
      </c>
      <c r="F176">
        <v>1349</v>
      </c>
      <c r="G176">
        <v>1327</v>
      </c>
      <c r="H176">
        <v>1286</v>
      </c>
      <c r="I176">
        <v>1270</v>
      </c>
      <c r="J176">
        <v>1252</v>
      </c>
    </row>
    <row r="177" spans="2:10" x14ac:dyDescent="0.3">
      <c r="D177" s="28" t="s">
        <v>77</v>
      </c>
      <c r="E177" t="s">
        <v>74</v>
      </c>
      <c r="F177">
        <v>1562</v>
      </c>
      <c r="G177">
        <v>1535</v>
      </c>
      <c r="H177">
        <v>1464</v>
      </c>
      <c r="I177">
        <v>1422</v>
      </c>
      <c r="J177">
        <v>1394</v>
      </c>
    </row>
    <row r="178" spans="2:10" x14ac:dyDescent="0.3">
      <c r="D178" s="28" t="s">
        <v>78</v>
      </c>
      <c r="E178" t="s">
        <v>75</v>
      </c>
      <c r="F178">
        <v>856</v>
      </c>
      <c r="G178">
        <v>837</v>
      </c>
      <c r="H178">
        <v>809</v>
      </c>
      <c r="I178">
        <v>778</v>
      </c>
      <c r="J178">
        <v>763</v>
      </c>
    </row>
    <row r="179" spans="2:10" x14ac:dyDescent="0.3">
      <c r="D179" s="28" t="s">
        <v>78</v>
      </c>
      <c r="E179" t="s">
        <v>76</v>
      </c>
      <c r="F179">
        <v>990</v>
      </c>
      <c r="G179">
        <v>966</v>
      </c>
      <c r="H179">
        <v>921</v>
      </c>
      <c r="I179">
        <v>888</v>
      </c>
      <c r="J179">
        <v>871</v>
      </c>
    </row>
    <row r="180" spans="2:10" x14ac:dyDescent="0.3">
      <c r="B180">
        <v>48</v>
      </c>
      <c r="C180">
        <v>46</v>
      </c>
      <c r="D180" s="28" t="s">
        <v>77</v>
      </c>
      <c r="E180" t="s">
        <v>72</v>
      </c>
      <c r="F180">
        <v>1965</v>
      </c>
      <c r="G180">
        <v>1908</v>
      </c>
      <c r="H180">
        <v>1834</v>
      </c>
      <c r="I180">
        <v>1801</v>
      </c>
      <c r="J180">
        <v>1766</v>
      </c>
    </row>
    <row r="181" spans="2:10" x14ac:dyDescent="0.3">
      <c r="D181" s="28" t="s">
        <v>77</v>
      </c>
      <c r="E181" t="s">
        <v>73</v>
      </c>
      <c r="F181">
        <v>1620</v>
      </c>
      <c r="G181">
        <v>1598</v>
      </c>
      <c r="H181">
        <v>1553</v>
      </c>
      <c r="I181">
        <v>1535</v>
      </c>
      <c r="J181">
        <v>1505</v>
      </c>
    </row>
    <row r="182" spans="2:10" x14ac:dyDescent="0.3">
      <c r="D182" s="28" t="s">
        <v>77</v>
      </c>
      <c r="E182" t="s">
        <v>74</v>
      </c>
      <c r="F182">
        <v>1887</v>
      </c>
      <c r="G182">
        <v>1845</v>
      </c>
      <c r="H182">
        <v>1766</v>
      </c>
      <c r="I182">
        <v>1724</v>
      </c>
      <c r="J182">
        <v>1690</v>
      </c>
    </row>
    <row r="183" spans="2:10" x14ac:dyDescent="0.3">
      <c r="D183" s="28" t="s">
        <v>78</v>
      </c>
      <c r="E183" t="s">
        <v>75</v>
      </c>
      <c r="F183">
        <v>1029</v>
      </c>
      <c r="G183">
        <v>1010</v>
      </c>
      <c r="H183">
        <v>975</v>
      </c>
      <c r="I183">
        <v>959</v>
      </c>
      <c r="J183">
        <v>940</v>
      </c>
    </row>
    <row r="184" spans="2:10" x14ac:dyDescent="0.3">
      <c r="D184" s="28" t="s">
        <v>78</v>
      </c>
      <c r="E184" t="s">
        <v>76</v>
      </c>
      <c r="F184">
        <v>1188</v>
      </c>
      <c r="G184">
        <v>1163</v>
      </c>
      <c r="H184">
        <v>1098</v>
      </c>
      <c r="I184">
        <v>1076</v>
      </c>
      <c r="J184">
        <v>1055</v>
      </c>
    </row>
    <row r="185" spans="2:10" x14ac:dyDescent="0.3">
      <c r="B185">
        <v>52</v>
      </c>
      <c r="C185">
        <v>50</v>
      </c>
      <c r="D185" s="28" t="s">
        <v>77</v>
      </c>
      <c r="E185" t="s">
        <v>72</v>
      </c>
      <c r="F185">
        <v>2347</v>
      </c>
      <c r="G185">
        <v>2273</v>
      </c>
      <c r="H185">
        <v>2178</v>
      </c>
      <c r="I185">
        <v>2152</v>
      </c>
      <c r="J185">
        <v>2110</v>
      </c>
    </row>
    <row r="186" spans="2:10" x14ac:dyDescent="0.3">
      <c r="D186" s="28" t="s">
        <v>77</v>
      </c>
      <c r="E186" t="s">
        <v>73</v>
      </c>
      <c r="F186">
        <v>1918</v>
      </c>
      <c r="G186">
        <v>1890</v>
      </c>
      <c r="H186">
        <v>1848</v>
      </c>
      <c r="I186">
        <v>1826</v>
      </c>
      <c r="J186">
        <v>1790</v>
      </c>
    </row>
    <row r="187" spans="2:10" x14ac:dyDescent="0.3">
      <c r="D187" s="28" t="s">
        <v>77</v>
      </c>
      <c r="E187" t="s">
        <v>74</v>
      </c>
      <c r="F187">
        <v>2212</v>
      </c>
      <c r="G187">
        <v>2183</v>
      </c>
      <c r="H187">
        <v>2092</v>
      </c>
      <c r="I187">
        <v>2050</v>
      </c>
      <c r="J187">
        <v>2010</v>
      </c>
    </row>
    <row r="188" spans="2:10" x14ac:dyDescent="0.3">
      <c r="D188" s="28" t="s">
        <v>78</v>
      </c>
      <c r="E188" t="s">
        <v>75</v>
      </c>
      <c r="F188">
        <v>1216</v>
      </c>
      <c r="G188">
        <v>1196</v>
      </c>
      <c r="H188">
        <v>1167</v>
      </c>
      <c r="I188">
        <v>1132</v>
      </c>
      <c r="J188">
        <v>1110</v>
      </c>
    </row>
    <row r="189" spans="2:10" x14ac:dyDescent="0.3">
      <c r="D189" s="28" t="s">
        <v>78</v>
      </c>
      <c r="E189" t="s">
        <v>76</v>
      </c>
      <c r="F189">
        <v>1405</v>
      </c>
      <c r="G189">
        <v>1375</v>
      </c>
      <c r="H189">
        <v>1323</v>
      </c>
      <c r="I189">
        <v>1287</v>
      </c>
      <c r="J189">
        <v>1262</v>
      </c>
    </row>
    <row r="190" spans="2:10" x14ac:dyDescent="0.3">
      <c r="B190">
        <v>56</v>
      </c>
      <c r="C190">
        <v>54</v>
      </c>
      <c r="D190" s="28" t="s">
        <v>77</v>
      </c>
      <c r="E190" t="s">
        <v>72</v>
      </c>
      <c r="F190">
        <v>2704</v>
      </c>
      <c r="G190">
        <v>2660</v>
      </c>
      <c r="H190">
        <v>2556</v>
      </c>
      <c r="I190">
        <v>2526</v>
      </c>
      <c r="J190">
        <v>2489</v>
      </c>
    </row>
    <row r="191" spans="2:10" x14ac:dyDescent="0.3">
      <c r="D191" s="28" t="s">
        <v>77</v>
      </c>
      <c r="E191" t="s">
        <v>73</v>
      </c>
      <c r="F191">
        <v>2241</v>
      </c>
      <c r="G191">
        <v>2214</v>
      </c>
      <c r="H191">
        <v>2167</v>
      </c>
      <c r="I191">
        <v>2142</v>
      </c>
      <c r="J191">
        <v>2110</v>
      </c>
    </row>
    <row r="192" spans="2:10" x14ac:dyDescent="0.3">
      <c r="D192" s="28" t="s">
        <v>77</v>
      </c>
      <c r="E192" t="s">
        <v>74</v>
      </c>
      <c r="F192">
        <v>2588</v>
      </c>
      <c r="G192">
        <v>2545</v>
      </c>
      <c r="H192">
        <v>2446</v>
      </c>
      <c r="I192">
        <v>2409</v>
      </c>
      <c r="J192">
        <v>2373</v>
      </c>
    </row>
    <row r="193" spans="1:30" x14ac:dyDescent="0.3">
      <c r="D193" s="28" t="s">
        <v>78</v>
      </c>
      <c r="E193" t="s">
        <v>75</v>
      </c>
      <c r="F193">
        <v>1420</v>
      </c>
      <c r="G193">
        <v>1400</v>
      </c>
      <c r="H193">
        <v>1371</v>
      </c>
      <c r="I193">
        <v>1333</v>
      </c>
      <c r="J193">
        <v>1307</v>
      </c>
    </row>
    <row r="194" spans="1:30" x14ac:dyDescent="0.3">
      <c r="D194" s="28" t="s">
        <v>78</v>
      </c>
      <c r="E194" t="s">
        <v>76</v>
      </c>
      <c r="F194">
        <v>1638</v>
      </c>
      <c r="G194">
        <v>1605</v>
      </c>
      <c r="H194">
        <v>1549</v>
      </c>
      <c r="I194">
        <v>1501</v>
      </c>
      <c r="J194">
        <v>1472</v>
      </c>
    </row>
    <row r="195" spans="1:30" x14ac:dyDescent="0.3">
      <c r="D195" s="27"/>
    </row>
    <row r="196" spans="1:30" ht="28.8" x14ac:dyDescent="0.3">
      <c r="A196">
        <v>1</v>
      </c>
      <c r="B196" s="26" t="s">
        <v>68</v>
      </c>
      <c r="C196" s="26" t="s">
        <v>70</v>
      </c>
      <c r="D196" s="26">
        <v>1</v>
      </c>
      <c r="E196" s="26" t="s">
        <v>66</v>
      </c>
      <c r="F196" s="26" t="s">
        <v>67</v>
      </c>
      <c r="G196" s="26" t="s">
        <v>83</v>
      </c>
      <c r="I196" s="26"/>
      <c r="J196" s="26"/>
      <c r="AA196" s="26" t="s">
        <v>66</v>
      </c>
      <c r="AB196" s="26" t="s">
        <v>67</v>
      </c>
      <c r="AC196" s="26" t="s">
        <v>68</v>
      </c>
      <c r="AD196" s="26" t="s">
        <v>70</v>
      </c>
    </row>
    <row r="197" spans="1:30" x14ac:dyDescent="0.3">
      <c r="B197" s="28" t="s">
        <v>77</v>
      </c>
      <c r="C197" t="s">
        <v>74</v>
      </c>
      <c r="D197">
        <v>37</v>
      </c>
      <c r="E197">
        <v>8.0709999999999997</v>
      </c>
      <c r="F197">
        <v>6.8209999999999997</v>
      </c>
      <c r="G197">
        <v>61</v>
      </c>
      <c r="H197">
        <v>10</v>
      </c>
      <c r="I197">
        <v>8.77</v>
      </c>
      <c r="AA197">
        <v>8.0709999999999997</v>
      </c>
      <c r="AB197">
        <v>6.8209999999999997</v>
      </c>
      <c r="AC197" s="28" t="s">
        <v>77</v>
      </c>
      <c r="AD197" t="s">
        <v>72</v>
      </c>
    </row>
    <row r="198" spans="1:30" x14ac:dyDescent="0.3">
      <c r="B198" s="28" t="s">
        <v>77</v>
      </c>
      <c r="C198" t="s">
        <v>74</v>
      </c>
      <c r="D198">
        <v>61</v>
      </c>
      <c r="E198">
        <v>10</v>
      </c>
      <c r="F198">
        <v>8.77</v>
      </c>
      <c r="G198">
        <v>90</v>
      </c>
      <c r="H198">
        <v>12</v>
      </c>
      <c r="I198">
        <v>10.75</v>
      </c>
      <c r="AA198">
        <v>8.0709999999999997</v>
      </c>
      <c r="AB198">
        <v>6.8209999999999997</v>
      </c>
      <c r="AC198" s="28" t="s">
        <v>77</v>
      </c>
      <c r="AD198" t="s">
        <v>73</v>
      </c>
    </row>
    <row r="199" spans="1:30" x14ac:dyDescent="0.3">
      <c r="B199" s="28" t="s">
        <v>77</v>
      </c>
      <c r="C199" t="s">
        <v>74</v>
      </c>
      <c r="D199">
        <v>90</v>
      </c>
      <c r="E199">
        <v>12</v>
      </c>
      <c r="F199">
        <v>10.75</v>
      </c>
      <c r="G199">
        <v>110</v>
      </c>
      <c r="H199">
        <v>13.25</v>
      </c>
      <c r="I199">
        <v>12</v>
      </c>
      <c r="AA199">
        <v>8.0709999999999997</v>
      </c>
      <c r="AB199">
        <v>6.8209999999999997</v>
      </c>
      <c r="AC199" s="28" t="s">
        <v>77</v>
      </c>
      <c r="AD199" t="s">
        <v>74</v>
      </c>
    </row>
    <row r="200" spans="1:30" x14ac:dyDescent="0.3">
      <c r="B200" s="28" t="s">
        <v>77</v>
      </c>
      <c r="C200" t="s">
        <v>74</v>
      </c>
      <c r="D200">
        <v>110</v>
      </c>
      <c r="E200">
        <v>13.25</v>
      </c>
      <c r="F200">
        <v>12</v>
      </c>
      <c r="G200">
        <v>163</v>
      </c>
      <c r="H200">
        <v>15.25</v>
      </c>
      <c r="I200">
        <v>14</v>
      </c>
      <c r="AA200">
        <v>8.0709999999999997</v>
      </c>
      <c r="AB200">
        <v>6.8209999999999997</v>
      </c>
      <c r="AC200" s="28" t="s">
        <v>78</v>
      </c>
      <c r="AD200" t="s">
        <v>75</v>
      </c>
    </row>
    <row r="201" spans="1:30" x14ac:dyDescent="0.3">
      <c r="B201" s="28" t="s">
        <v>77</v>
      </c>
      <c r="C201" t="s">
        <v>74</v>
      </c>
      <c r="D201">
        <v>163</v>
      </c>
      <c r="E201">
        <v>15.25</v>
      </c>
      <c r="F201">
        <v>14</v>
      </c>
      <c r="G201">
        <v>211</v>
      </c>
      <c r="H201">
        <v>15.25</v>
      </c>
      <c r="I201">
        <v>16</v>
      </c>
      <c r="AA201">
        <v>8.0709999999999997</v>
      </c>
      <c r="AB201">
        <v>6.8209999999999997</v>
      </c>
      <c r="AC201" s="28" t="s">
        <v>78</v>
      </c>
      <c r="AD201" t="s">
        <v>76</v>
      </c>
    </row>
    <row r="202" spans="1:30" x14ac:dyDescent="0.3">
      <c r="B202" s="28" t="s">
        <v>77</v>
      </c>
      <c r="C202" t="s">
        <v>74</v>
      </c>
      <c r="D202">
        <v>211</v>
      </c>
      <c r="E202">
        <v>15.25</v>
      </c>
      <c r="F202">
        <v>16</v>
      </c>
      <c r="G202">
        <v>273</v>
      </c>
      <c r="H202">
        <v>19.25</v>
      </c>
      <c r="I202">
        <v>18</v>
      </c>
      <c r="AA202">
        <v>10</v>
      </c>
      <c r="AB202">
        <v>8.77</v>
      </c>
      <c r="AC202" s="28" t="s">
        <v>77</v>
      </c>
      <c r="AD202" t="s">
        <v>72</v>
      </c>
    </row>
    <row r="203" spans="1:30" x14ac:dyDescent="0.3">
      <c r="B203" s="28" t="s">
        <v>77</v>
      </c>
      <c r="C203" t="s">
        <v>74</v>
      </c>
      <c r="D203">
        <v>273</v>
      </c>
      <c r="E203">
        <v>19.25</v>
      </c>
      <c r="F203">
        <v>18</v>
      </c>
      <c r="G203">
        <v>318</v>
      </c>
      <c r="H203">
        <v>21.25</v>
      </c>
      <c r="I203">
        <v>19.25</v>
      </c>
      <c r="AA203">
        <v>10</v>
      </c>
      <c r="AB203">
        <v>8.77</v>
      </c>
      <c r="AC203" s="28" t="s">
        <v>77</v>
      </c>
      <c r="AD203" t="s">
        <v>73</v>
      </c>
    </row>
    <row r="204" spans="1:30" x14ac:dyDescent="0.3">
      <c r="B204" s="28" t="s">
        <v>77</v>
      </c>
      <c r="C204" t="s">
        <v>74</v>
      </c>
      <c r="D204">
        <v>318</v>
      </c>
      <c r="E204">
        <v>21.25</v>
      </c>
      <c r="F204">
        <v>19.25</v>
      </c>
      <c r="G204">
        <v>381</v>
      </c>
      <c r="H204">
        <v>23.25</v>
      </c>
      <c r="I204">
        <v>21.5</v>
      </c>
      <c r="AA204">
        <v>10</v>
      </c>
      <c r="AB204">
        <v>8.77</v>
      </c>
      <c r="AC204" s="28" t="s">
        <v>77</v>
      </c>
      <c r="AD204" t="s">
        <v>74</v>
      </c>
    </row>
    <row r="205" spans="1:30" x14ac:dyDescent="0.3">
      <c r="B205" s="28" t="s">
        <v>77</v>
      </c>
      <c r="C205" t="s">
        <v>74</v>
      </c>
      <c r="D205">
        <v>381</v>
      </c>
      <c r="E205">
        <v>23.25</v>
      </c>
      <c r="F205">
        <v>21.5</v>
      </c>
      <c r="G205">
        <v>452</v>
      </c>
      <c r="H205">
        <v>25</v>
      </c>
      <c r="I205">
        <v>23.375</v>
      </c>
      <c r="AA205">
        <v>10</v>
      </c>
      <c r="AB205">
        <v>8.77</v>
      </c>
      <c r="AC205" s="28" t="s">
        <v>78</v>
      </c>
      <c r="AD205" t="s">
        <v>75</v>
      </c>
    </row>
    <row r="206" spans="1:30" x14ac:dyDescent="0.3">
      <c r="B206" s="28" t="s">
        <v>77</v>
      </c>
      <c r="C206" t="s">
        <v>74</v>
      </c>
      <c r="D206">
        <v>452</v>
      </c>
      <c r="E206">
        <v>25</v>
      </c>
      <c r="F206">
        <v>23.375</v>
      </c>
      <c r="G206">
        <v>559</v>
      </c>
      <c r="H206">
        <v>27</v>
      </c>
      <c r="I206">
        <v>25.375</v>
      </c>
      <c r="AA206">
        <v>10</v>
      </c>
      <c r="AB206">
        <v>8.77</v>
      </c>
      <c r="AC206" s="28" t="s">
        <v>78</v>
      </c>
      <c r="AD206" t="s">
        <v>76</v>
      </c>
    </row>
    <row r="207" spans="1:30" x14ac:dyDescent="0.3">
      <c r="B207" s="28" t="s">
        <v>77</v>
      </c>
      <c r="C207" t="s">
        <v>74</v>
      </c>
      <c r="D207">
        <v>559</v>
      </c>
      <c r="E207">
        <v>27</v>
      </c>
      <c r="F207">
        <v>25.375</v>
      </c>
      <c r="G207">
        <v>630</v>
      </c>
      <c r="H207">
        <v>29</v>
      </c>
      <c r="I207">
        <v>27.375</v>
      </c>
      <c r="AA207">
        <v>12</v>
      </c>
      <c r="AB207">
        <v>10.75</v>
      </c>
      <c r="AC207" s="28" t="s">
        <v>77</v>
      </c>
      <c r="AD207" t="s">
        <v>72</v>
      </c>
    </row>
    <row r="208" spans="1:30" x14ac:dyDescent="0.3">
      <c r="B208" s="28" t="s">
        <v>77</v>
      </c>
      <c r="C208" t="s">
        <v>74</v>
      </c>
      <c r="D208">
        <v>630</v>
      </c>
      <c r="E208">
        <v>29</v>
      </c>
      <c r="F208">
        <v>27.375</v>
      </c>
      <c r="G208">
        <v>745</v>
      </c>
      <c r="H208">
        <v>31</v>
      </c>
      <c r="I208">
        <v>29.375</v>
      </c>
      <c r="AA208">
        <v>12</v>
      </c>
      <c r="AB208">
        <v>10.75</v>
      </c>
      <c r="AC208" s="28" t="s">
        <v>77</v>
      </c>
      <c r="AD208" t="s">
        <v>73</v>
      </c>
    </row>
    <row r="209" spans="2:30" x14ac:dyDescent="0.3">
      <c r="B209" s="28" t="s">
        <v>77</v>
      </c>
      <c r="C209" t="s">
        <v>74</v>
      </c>
      <c r="D209">
        <v>745</v>
      </c>
      <c r="E209">
        <v>31</v>
      </c>
      <c r="F209">
        <v>29.375</v>
      </c>
      <c r="G209">
        <v>856</v>
      </c>
      <c r="H209">
        <v>33</v>
      </c>
      <c r="I209">
        <v>31.375</v>
      </c>
      <c r="AA209">
        <v>12</v>
      </c>
      <c r="AB209">
        <v>10.75</v>
      </c>
      <c r="AC209" s="28" t="s">
        <v>77</v>
      </c>
      <c r="AD209" t="s">
        <v>74</v>
      </c>
    </row>
    <row r="210" spans="2:30" x14ac:dyDescent="0.3">
      <c r="B210" s="28" t="s">
        <v>77</v>
      </c>
      <c r="C210" t="s">
        <v>74</v>
      </c>
      <c r="D210">
        <v>856</v>
      </c>
      <c r="E210">
        <v>33</v>
      </c>
      <c r="F210">
        <v>31.375</v>
      </c>
      <c r="G210">
        <v>970</v>
      </c>
      <c r="H210">
        <v>35</v>
      </c>
      <c r="I210">
        <v>33.375</v>
      </c>
      <c r="AA210">
        <v>12</v>
      </c>
      <c r="AB210">
        <v>10.75</v>
      </c>
      <c r="AC210" s="28" t="s">
        <v>78</v>
      </c>
      <c r="AD210" t="s">
        <v>75</v>
      </c>
    </row>
    <row r="211" spans="2:30" x14ac:dyDescent="0.3">
      <c r="B211" s="28" t="s">
        <v>77</v>
      </c>
      <c r="C211" t="s">
        <v>74</v>
      </c>
      <c r="D211">
        <v>970</v>
      </c>
      <c r="E211">
        <v>35</v>
      </c>
      <c r="F211">
        <v>33.375</v>
      </c>
      <c r="G211">
        <v>1090</v>
      </c>
      <c r="H211">
        <v>37</v>
      </c>
      <c r="I211">
        <v>35.25</v>
      </c>
      <c r="AA211">
        <v>12</v>
      </c>
      <c r="AB211">
        <v>10.75</v>
      </c>
      <c r="AC211" s="28" t="s">
        <v>78</v>
      </c>
      <c r="AD211" t="s">
        <v>76</v>
      </c>
    </row>
    <row r="212" spans="2:30" x14ac:dyDescent="0.3">
      <c r="B212" s="28" t="s">
        <v>77</v>
      </c>
      <c r="C212" t="s">
        <v>74</v>
      </c>
      <c r="D212">
        <v>1090</v>
      </c>
      <c r="E212">
        <v>37</v>
      </c>
      <c r="F212">
        <v>35.25</v>
      </c>
      <c r="G212">
        <v>1206</v>
      </c>
      <c r="H212">
        <v>39</v>
      </c>
      <c r="I212">
        <v>37.25</v>
      </c>
      <c r="AA212">
        <v>13.25</v>
      </c>
      <c r="AB212">
        <v>12</v>
      </c>
      <c r="AC212" s="28" t="s">
        <v>77</v>
      </c>
      <c r="AD212" t="s">
        <v>72</v>
      </c>
    </row>
    <row r="213" spans="2:30" x14ac:dyDescent="0.3">
      <c r="B213" s="28" t="s">
        <v>77</v>
      </c>
      <c r="C213" t="s">
        <v>74</v>
      </c>
      <c r="D213">
        <v>1206</v>
      </c>
      <c r="E213">
        <v>39</v>
      </c>
      <c r="F213">
        <v>37.25</v>
      </c>
      <c r="G213">
        <v>1409</v>
      </c>
      <c r="H213">
        <v>42</v>
      </c>
      <c r="I213">
        <v>40.25</v>
      </c>
      <c r="AA213">
        <v>13.25</v>
      </c>
      <c r="AB213">
        <v>12</v>
      </c>
      <c r="AC213" s="28" t="s">
        <v>77</v>
      </c>
      <c r="AD213" t="s">
        <v>73</v>
      </c>
    </row>
    <row r="214" spans="2:30" x14ac:dyDescent="0.3">
      <c r="B214" s="28" t="s">
        <v>77</v>
      </c>
      <c r="C214" t="s">
        <v>74</v>
      </c>
      <c r="D214">
        <v>1409</v>
      </c>
      <c r="E214">
        <v>42</v>
      </c>
      <c r="F214">
        <v>40.25</v>
      </c>
      <c r="G214">
        <v>1562</v>
      </c>
      <c r="H214">
        <v>44</v>
      </c>
      <c r="I214">
        <v>42.25</v>
      </c>
      <c r="AA214">
        <v>13.25</v>
      </c>
      <c r="AB214">
        <v>12</v>
      </c>
      <c r="AC214" s="28" t="s">
        <v>77</v>
      </c>
      <c r="AD214" t="s">
        <v>74</v>
      </c>
    </row>
    <row r="215" spans="2:30" x14ac:dyDescent="0.3">
      <c r="B215" s="28" t="s">
        <v>77</v>
      </c>
      <c r="C215" t="s">
        <v>74</v>
      </c>
      <c r="D215">
        <v>1562</v>
      </c>
      <c r="E215">
        <v>44</v>
      </c>
      <c r="F215">
        <v>42.25</v>
      </c>
      <c r="G215">
        <v>1887</v>
      </c>
      <c r="H215">
        <v>48</v>
      </c>
      <c r="I215">
        <v>46</v>
      </c>
      <c r="AA215">
        <v>13.25</v>
      </c>
      <c r="AB215">
        <v>12</v>
      </c>
      <c r="AC215" s="28" t="s">
        <v>78</v>
      </c>
      <c r="AD215" t="s">
        <v>75</v>
      </c>
    </row>
    <row r="216" spans="2:30" x14ac:dyDescent="0.3">
      <c r="B216" s="28" t="s">
        <v>77</v>
      </c>
      <c r="C216" t="s">
        <v>74</v>
      </c>
      <c r="D216">
        <v>1887</v>
      </c>
      <c r="E216">
        <v>48</v>
      </c>
      <c r="F216">
        <v>46</v>
      </c>
      <c r="G216">
        <v>2212</v>
      </c>
      <c r="H216">
        <v>52</v>
      </c>
      <c r="I216">
        <v>50</v>
      </c>
      <c r="AA216">
        <v>13.25</v>
      </c>
      <c r="AB216">
        <v>12</v>
      </c>
      <c r="AC216" s="28" t="s">
        <v>78</v>
      </c>
      <c r="AD216" t="s">
        <v>76</v>
      </c>
    </row>
    <row r="217" spans="2:30" x14ac:dyDescent="0.3">
      <c r="B217" s="28" t="s">
        <v>77</v>
      </c>
      <c r="C217" t="s">
        <v>74</v>
      </c>
      <c r="D217">
        <v>2212</v>
      </c>
      <c r="E217">
        <v>52</v>
      </c>
      <c r="F217">
        <v>50</v>
      </c>
      <c r="G217">
        <v>2588</v>
      </c>
      <c r="H217">
        <v>56</v>
      </c>
      <c r="I217">
        <v>54</v>
      </c>
      <c r="AA217">
        <v>15.25</v>
      </c>
      <c r="AB217">
        <v>14</v>
      </c>
      <c r="AC217" s="28" t="s">
        <v>77</v>
      </c>
      <c r="AD217" t="s">
        <v>72</v>
      </c>
    </row>
    <row r="218" spans="2:30" x14ac:dyDescent="0.3">
      <c r="B218" s="28" t="s">
        <v>77</v>
      </c>
      <c r="C218" t="s">
        <v>74</v>
      </c>
      <c r="D218">
        <v>2588</v>
      </c>
      <c r="E218">
        <v>56</v>
      </c>
      <c r="F218">
        <v>54</v>
      </c>
      <c r="G218">
        <v>32</v>
      </c>
      <c r="H218">
        <v>8.0709999999999997</v>
      </c>
      <c r="I218">
        <v>6.8209999999999997</v>
      </c>
      <c r="AA218">
        <v>15.25</v>
      </c>
      <c r="AB218">
        <v>14</v>
      </c>
      <c r="AC218" s="28" t="s">
        <v>77</v>
      </c>
      <c r="AD218" t="s">
        <v>73</v>
      </c>
    </row>
    <row r="219" spans="2:30" x14ac:dyDescent="0.3">
      <c r="B219" s="28" t="s">
        <v>77</v>
      </c>
      <c r="C219" t="s">
        <v>73</v>
      </c>
      <c r="D219">
        <v>32</v>
      </c>
      <c r="E219">
        <v>8.0709999999999997</v>
      </c>
      <c r="F219">
        <v>6.8209999999999997</v>
      </c>
      <c r="G219">
        <v>52</v>
      </c>
      <c r="H219">
        <v>10</v>
      </c>
      <c r="I219">
        <v>8.77</v>
      </c>
      <c r="AA219">
        <v>15.25</v>
      </c>
      <c r="AB219">
        <v>14</v>
      </c>
      <c r="AC219" s="28" t="s">
        <v>77</v>
      </c>
      <c r="AD219" t="s">
        <v>74</v>
      </c>
    </row>
    <row r="220" spans="2:30" x14ac:dyDescent="0.3">
      <c r="B220" s="28" t="s">
        <v>77</v>
      </c>
      <c r="C220" t="s">
        <v>73</v>
      </c>
      <c r="D220">
        <v>52</v>
      </c>
      <c r="E220">
        <v>10</v>
      </c>
      <c r="F220">
        <v>8.77</v>
      </c>
      <c r="G220">
        <v>80</v>
      </c>
      <c r="H220">
        <v>12</v>
      </c>
      <c r="I220">
        <v>10.75</v>
      </c>
      <c r="AA220">
        <v>15.25</v>
      </c>
      <c r="AB220">
        <v>14</v>
      </c>
      <c r="AC220" s="28" t="s">
        <v>78</v>
      </c>
      <c r="AD220" t="s">
        <v>75</v>
      </c>
    </row>
    <row r="221" spans="2:30" x14ac:dyDescent="0.3">
      <c r="B221" s="28" t="s">
        <v>77</v>
      </c>
      <c r="C221" t="s">
        <v>73</v>
      </c>
      <c r="D221">
        <v>80</v>
      </c>
      <c r="E221">
        <v>12</v>
      </c>
      <c r="F221">
        <v>10.75</v>
      </c>
      <c r="G221">
        <v>95</v>
      </c>
      <c r="H221">
        <v>13.25</v>
      </c>
      <c r="I221">
        <v>12</v>
      </c>
      <c r="AA221">
        <v>15.25</v>
      </c>
      <c r="AB221">
        <v>14</v>
      </c>
      <c r="AC221" s="28" t="s">
        <v>78</v>
      </c>
      <c r="AD221" t="s">
        <v>76</v>
      </c>
    </row>
    <row r="222" spans="2:30" x14ac:dyDescent="0.3">
      <c r="B222" s="28" t="s">
        <v>77</v>
      </c>
      <c r="C222" t="s">
        <v>73</v>
      </c>
      <c r="D222">
        <v>95</v>
      </c>
      <c r="E222">
        <v>13.25</v>
      </c>
      <c r="F222">
        <v>12</v>
      </c>
      <c r="G222">
        <v>138</v>
      </c>
      <c r="H222">
        <v>15.25</v>
      </c>
      <c r="I222">
        <v>14</v>
      </c>
      <c r="AA222">
        <v>15.25</v>
      </c>
      <c r="AB222">
        <v>16</v>
      </c>
      <c r="AC222" s="28" t="s">
        <v>77</v>
      </c>
      <c r="AD222" t="s">
        <v>72</v>
      </c>
    </row>
    <row r="223" spans="2:30" x14ac:dyDescent="0.3">
      <c r="B223" s="28" t="s">
        <v>77</v>
      </c>
      <c r="C223" t="s">
        <v>73</v>
      </c>
      <c r="D223">
        <v>138</v>
      </c>
      <c r="E223">
        <v>15.25</v>
      </c>
      <c r="F223">
        <v>14</v>
      </c>
      <c r="G223">
        <v>188</v>
      </c>
      <c r="H223">
        <v>15.25</v>
      </c>
      <c r="I223">
        <v>16</v>
      </c>
      <c r="AA223">
        <v>15.25</v>
      </c>
      <c r="AB223">
        <v>16</v>
      </c>
      <c r="AC223" s="28" t="s">
        <v>77</v>
      </c>
      <c r="AD223" t="s">
        <v>73</v>
      </c>
    </row>
    <row r="224" spans="2:30" x14ac:dyDescent="0.3">
      <c r="B224" s="28" t="s">
        <v>77</v>
      </c>
      <c r="C224" t="s">
        <v>73</v>
      </c>
      <c r="D224">
        <v>188</v>
      </c>
      <c r="E224">
        <v>15.25</v>
      </c>
      <c r="F224">
        <v>16</v>
      </c>
      <c r="G224">
        <v>236</v>
      </c>
      <c r="H224">
        <v>19.25</v>
      </c>
      <c r="I224">
        <v>18</v>
      </c>
      <c r="AA224">
        <v>15.25</v>
      </c>
      <c r="AB224">
        <v>16</v>
      </c>
      <c r="AC224" s="28" t="s">
        <v>77</v>
      </c>
      <c r="AD224" t="s">
        <v>74</v>
      </c>
    </row>
    <row r="225" spans="2:30" x14ac:dyDescent="0.3">
      <c r="B225" s="28" t="s">
        <v>77</v>
      </c>
      <c r="C225" t="s">
        <v>73</v>
      </c>
      <c r="D225">
        <v>236</v>
      </c>
      <c r="E225">
        <v>19.25</v>
      </c>
      <c r="F225">
        <v>18</v>
      </c>
      <c r="G225">
        <v>276</v>
      </c>
      <c r="H225">
        <v>21.25</v>
      </c>
      <c r="I225">
        <v>19.25</v>
      </c>
      <c r="AA225">
        <v>15.25</v>
      </c>
      <c r="AB225">
        <v>16</v>
      </c>
      <c r="AC225" s="28" t="s">
        <v>78</v>
      </c>
      <c r="AD225" t="s">
        <v>75</v>
      </c>
    </row>
    <row r="226" spans="2:30" x14ac:dyDescent="0.3">
      <c r="B226" s="28" t="s">
        <v>77</v>
      </c>
      <c r="C226" t="s">
        <v>73</v>
      </c>
      <c r="D226">
        <v>276</v>
      </c>
      <c r="E226">
        <v>21.25</v>
      </c>
      <c r="F226">
        <v>19.25</v>
      </c>
      <c r="G226">
        <v>341</v>
      </c>
      <c r="H226">
        <v>23.25</v>
      </c>
      <c r="I226">
        <v>21.5</v>
      </c>
      <c r="AA226">
        <v>15.25</v>
      </c>
      <c r="AB226">
        <v>16</v>
      </c>
      <c r="AC226" s="28" t="s">
        <v>78</v>
      </c>
      <c r="AD226" t="s">
        <v>76</v>
      </c>
    </row>
    <row r="227" spans="2:30" x14ac:dyDescent="0.3">
      <c r="B227" s="28" t="s">
        <v>77</v>
      </c>
      <c r="C227" t="s">
        <v>73</v>
      </c>
      <c r="D227">
        <v>341</v>
      </c>
      <c r="E227">
        <v>23.25</v>
      </c>
      <c r="F227">
        <v>21.5</v>
      </c>
      <c r="G227">
        <v>397</v>
      </c>
      <c r="H227">
        <v>25</v>
      </c>
      <c r="I227">
        <v>23.375</v>
      </c>
      <c r="AA227">
        <v>19.25</v>
      </c>
      <c r="AB227">
        <v>18</v>
      </c>
      <c r="AC227" s="28" t="s">
        <v>77</v>
      </c>
      <c r="AD227" t="s">
        <v>72</v>
      </c>
    </row>
    <row r="228" spans="2:30" x14ac:dyDescent="0.3">
      <c r="B228" s="28" t="s">
        <v>77</v>
      </c>
      <c r="C228" t="s">
        <v>73</v>
      </c>
      <c r="D228">
        <v>397</v>
      </c>
      <c r="E228">
        <v>25</v>
      </c>
      <c r="F228">
        <v>23.375</v>
      </c>
      <c r="G228">
        <v>465</v>
      </c>
      <c r="H228">
        <v>27</v>
      </c>
      <c r="I228">
        <v>25.375</v>
      </c>
      <c r="AA228">
        <v>19.25</v>
      </c>
      <c r="AB228">
        <v>18</v>
      </c>
      <c r="AC228" s="28" t="s">
        <v>77</v>
      </c>
      <c r="AD228" t="s">
        <v>73</v>
      </c>
    </row>
    <row r="229" spans="2:30" x14ac:dyDescent="0.3">
      <c r="B229" s="28" t="s">
        <v>77</v>
      </c>
      <c r="C229" t="s">
        <v>73</v>
      </c>
      <c r="D229">
        <v>465</v>
      </c>
      <c r="E229">
        <v>27</v>
      </c>
      <c r="F229">
        <v>25.375</v>
      </c>
      <c r="G229">
        <v>554</v>
      </c>
      <c r="H229">
        <v>29</v>
      </c>
      <c r="I229">
        <v>27.375</v>
      </c>
      <c r="AA229">
        <v>19.25</v>
      </c>
      <c r="AB229">
        <v>18</v>
      </c>
      <c r="AC229" s="28" t="s">
        <v>77</v>
      </c>
      <c r="AD229" t="s">
        <v>74</v>
      </c>
    </row>
    <row r="230" spans="2:30" x14ac:dyDescent="0.3">
      <c r="B230" s="28" t="s">
        <v>77</v>
      </c>
      <c r="C230" t="s">
        <v>73</v>
      </c>
      <c r="D230">
        <v>554</v>
      </c>
      <c r="E230">
        <v>29</v>
      </c>
      <c r="F230">
        <v>27.375</v>
      </c>
      <c r="G230">
        <v>633</v>
      </c>
      <c r="H230">
        <v>31</v>
      </c>
      <c r="I230">
        <v>29.375</v>
      </c>
      <c r="AA230">
        <v>19.25</v>
      </c>
      <c r="AB230">
        <v>18</v>
      </c>
      <c r="AC230" s="28" t="s">
        <v>78</v>
      </c>
      <c r="AD230" t="s">
        <v>75</v>
      </c>
    </row>
    <row r="231" spans="2:30" x14ac:dyDescent="0.3">
      <c r="B231" s="28" t="s">
        <v>77</v>
      </c>
      <c r="C231" t="s">
        <v>73</v>
      </c>
      <c r="D231">
        <v>633</v>
      </c>
      <c r="E231">
        <v>31</v>
      </c>
      <c r="F231">
        <v>29.375</v>
      </c>
      <c r="G231">
        <v>742</v>
      </c>
      <c r="H231">
        <v>33</v>
      </c>
      <c r="I231">
        <v>31.375</v>
      </c>
      <c r="AA231">
        <v>19.25</v>
      </c>
      <c r="AB231">
        <v>18</v>
      </c>
      <c r="AC231" s="28" t="s">
        <v>78</v>
      </c>
      <c r="AD231" t="s">
        <v>76</v>
      </c>
    </row>
    <row r="232" spans="2:30" x14ac:dyDescent="0.3">
      <c r="B232" s="28" t="s">
        <v>77</v>
      </c>
      <c r="C232" t="s">
        <v>73</v>
      </c>
      <c r="D232">
        <v>742</v>
      </c>
      <c r="E232">
        <v>33</v>
      </c>
      <c r="F232">
        <v>31.375</v>
      </c>
      <c r="G232">
        <v>827</v>
      </c>
      <c r="H232">
        <v>35</v>
      </c>
      <c r="I232">
        <v>33.375</v>
      </c>
      <c r="AA232">
        <v>21.25</v>
      </c>
      <c r="AB232">
        <v>19.25</v>
      </c>
      <c r="AC232" s="28" t="s">
        <v>77</v>
      </c>
      <c r="AD232" t="s">
        <v>72</v>
      </c>
    </row>
    <row r="233" spans="2:30" x14ac:dyDescent="0.3">
      <c r="B233" s="28" t="s">
        <v>77</v>
      </c>
      <c r="C233" t="s">
        <v>73</v>
      </c>
      <c r="D233">
        <v>827</v>
      </c>
      <c r="E233">
        <v>35</v>
      </c>
      <c r="F233">
        <v>33.375</v>
      </c>
      <c r="G233">
        <v>929</v>
      </c>
      <c r="H233">
        <v>37</v>
      </c>
      <c r="I233">
        <v>35.25</v>
      </c>
      <c r="AA233">
        <v>21.25</v>
      </c>
      <c r="AB233">
        <v>19.25</v>
      </c>
      <c r="AC233" s="28" t="s">
        <v>77</v>
      </c>
      <c r="AD233" t="s">
        <v>73</v>
      </c>
    </row>
    <row r="234" spans="2:30" x14ac:dyDescent="0.3">
      <c r="B234" s="28" t="s">
        <v>77</v>
      </c>
      <c r="C234" t="s">
        <v>73</v>
      </c>
      <c r="D234">
        <v>929</v>
      </c>
      <c r="E234">
        <v>37</v>
      </c>
      <c r="F234">
        <v>35.25</v>
      </c>
      <c r="G234">
        <v>1025</v>
      </c>
      <c r="H234">
        <v>39</v>
      </c>
      <c r="I234">
        <v>37.25</v>
      </c>
      <c r="AA234">
        <v>21.25</v>
      </c>
      <c r="AB234">
        <v>19.25</v>
      </c>
      <c r="AC234" s="28" t="s">
        <v>77</v>
      </c>
      <c r="AD234" t="s">
        <v>74</v>
      </c>
    </row>
    <row r="235" spans="2:30" x14ac:dyDescent="0.3">
      <c r="B235" s="28" t="s">
        <v>77</v>
      </c>
      <c r="C235" t="s">
        <v>73</v>
      </c>
      <c r="D235">
        <v>1025</v>
      </c>
      <c r="E235">
        <v>39</v>
      </c>
      <c r="F235">
        <v>37.25</v>
      </c>
      <c r="G235">
        <v>1201</v>
      </c>
      <c r="H235">
        <v>42</v>
      </c>
      <c r="I235">
        <v>40.25</v>
      </c>
      <c r="AA235">
        <v>21.25</v>
      </c>
      <c r="AB235">
        <v>19.25</v>
      </c>
      <c r="AC235" s="28" t="s">
        <v>78</v>
      </c>
      <c r="AD235" t="s">
        <v>75</v>
      </c>
    </row>
    <row r="236" spans="2:30" x14ac:dyDescent="0.3">
      <c r="B236" s="28" t="s">
        <v>77</v>
      </c>
      <c r="C236" t="s">
        <v>73</v>
      </c>
      <c r="D236">
        <v>1201</v>
      </c>
      <c r="E236">
        <v>42</v>
      </c>
      <c r="F236">
        <v>40.25</v>
      </c>
      <c r="G236">
        <v>1349</v>
      </c>
      <c r="H236">
        <v>44</v>
      </c>
      <c r="I236">
        <v>42.25</v>
      </c>
      <c r="AA236">
        <v>21.25</v>
      </c>
      <c r="AB236">
        <v>19.25</v>
      </c>
      <c r="AC236" s="28" t="s">
        <v>78</v>
      </c>
      <c r="AD236" t="s">
        <v>76</v>
      </c>
    </row>
    <row r="237" spans="2:30" x14ac:dyDescent="0.3">
      <c r="B237" s="28" t="s">
        <v>77</v>
      </c>
      <c r="C237" t="s">
        <v>73</v>
      </c>
      <c r="D237">
        <v>1349</v>
      </c>
      <c r="E237">
        <v>44</v>
      </c>
      <c r="F237">
        <v>42.25</v>
      </c>
      <c r="G237">
        <v>1620</v>
      </c>
      <c r="H237">
        <v>48</v>
      </c>
      <c r="I237">
        <v>46</v>
      </c>
      <c r="AA237">
        <v>23.25</v>
      </c>
      <c r="AB237">
        <v>21.5</v>
      </c>
      <c r="AC237" s="28" t="s">
        <v>77</v>
      </c>
      <c r="AD237" t="s">
        <v>72</v>
      </c>
    </row>
    <row r="238" spans="2:30" x14ac:dyDescent="0.3">
      <c r="B238" s="28" t="s">
        <v>77</v>
      </c>
      <c r="C238" t="s">
        <v>73</v>
      </c>
      <c r="D238">
        <v>1620</v>
      </c>
      <c r="E238">
        <v>48</v>
      </c>
      <c r="F238">
        <v>46</v>
      </c>
      <c r="G238">
        <v>1918</v>
      </c>
      <c r="H238">
        <v>52</v>
      </c>
      <c r="I238">
        <v>50</v>
      </c>
      <c r="AA238">
        <v>23.25</v>
      </c>
      <c r="AB238">
        <v>21.5</v>
      </c>
      <c r="AC238" s="28" t="s">
        <v>77</v>
      </c>
      <c r="AD238" t="s">
        <v>73</v>
      </c>
    </row>
    <row r="239" spans="2:30" x14ac:dyDescent="0.3">
      <c r="B239" s="28" t="s">
        <v>77</v>
      </c>
      <c r="C239" t="s">
        <v>73</v>
      </c>
      <c r="D239">
        <v>1918</v>
      </c>
      <c r="E239">
        <v>52</v>
      </c>
      <c r="F239">
        <v>50</v>
      </c>
      <c r="G239">
        <v>2241</v>
      </c>
      <c r="H239">
        <v>56</v>
      </c>
      <c r="I239">
        <v>54</v>
      </c>
      <c r="AA239">
        <v>23.25</v>
      </c>
      <c r="AB239">
        <v>21.5</v>
      </c>
      <c r="AC239" s="28" t="s">
        <v>77</v>
      </c>
      <c r="AD239" t="s">
        <v>74</v>
      </c>
    </row>
    <row r="240" spans="2:30" x14ac:dyDescent="0.3">
      <c r="B240" s="28" t="s">
        <v>77</v>
      </c>
      <c r="C240" t="s">
        <v>73</v>
      </c>
      <c r="D240">
        <v>2241</v>
      </c>
      <c r="E240">
        <v>56</v>
      </c>
      <c r="F240">
        <v>54</v>
      </c>
      <c r="G240">
        <v>38</v>
      </c>
      <c r="H240">
        <v>8.0709999999999997</v>
      </c>
      <c r="I240">
        <v>6.8209999999999997</v>
      </c>
      <c r="AA240">
        <v>23.25</v>
      </c>
      <c r="AB240">
        <v>21.5</v>
      </c>
      <c r="AC240" s="28" t="s">
        <v>78</v>
      </c>
      <c r="AD240" t="s">
        <v>75</v>
      </c>
    </row>
    <row r="241" spans="2:30" x14ac:dyDescent="0.3">
      <c r="B241" s="28" t="s">
        <v>77</v>
      </c>
      <c r="C241" t="s">
        <v>72</v>
      </c>
      <c r="D241">
        <v>38</v>
      </c>
      <c r="E241">
        <v>8.0709999999999997</v>
      </c>
      <c r="F241">
        <v>6.8209999999999997</v>
      </c>
      <c r="G241">
        <v>62</v>
      </c>
      <c r="H241">
        <v>10</v>
      </c>
      <c r="I241">
        <v>8.77</v>
      </c>
      <c r="AA241">
        <v>23.25</v>
      </c>
      <c r="AB241">
        <v>21.5</v>
      </c>
      <c r="AC241" s="28" t="s">
        <v>78</v>
      </c>
      <c r="AD241" t="s">
        <v>76</v>
      </c>
    </row>
    <row r="242" spans="2:30" x14ac:dyDescent="0.3">
      <c r="B242" s="28" t="s">
        <v>77</v>
      </c>
      <c r="C242" t="s">
        <v>72</v>
      </c>
      <c r="D242">
        <v>62</v>
      </c>
      <c r="E242">
        <v>10</v>
      </c>
      <c r="F242">
        <v>8.77</v>
      </c>
      <c r="G242">
        <v>109</v>
      </c>
      <c r="H242">
        <v>12</v>
      </c>
      <c r="I242">
        <v>10.75</v>
      </c>
      <c r="AA242">
        <v>25</v>
      </c>
      <c r="AB242">
        <v>23.375</v>
      </c>
      <c r="AC242" s="28" t="s">
        <v>77</v>
      </c>
      <c r="AD242" t="s">
        <v>72</v>
      </c>
    </row>
    <row r="243" spans="2:30" x14ac:dyDescent="0.3">
      <c r="B243" s="28" t="s">
        <v>77</v>
      </c>
      <c r="C243" t="s">
        <v>72</v>
      </c>
      <c r="D243">
        <v>109</v>
      </c>
      <c r="E243">
        <v>12</v>
      </c>
      <c r="F243">
        <v>10.75</v>
      </c>
      <c r="G243">
        <v>127</v>
      </c>
      <c r="H243">
        <v>13.25</v>
      </c>
      <c r="I243">
        <v>12</v>
      </c>
      <c r="AA243">
        <v>25</v>
      </c>
      <c r="AB243">
        <v>23.375</v>
      </c>
      <c r="AC243" s="28" t="s">
        <v>77</v>
      </c>
      <c r="AD243" t="s">
        <v>73</v>
      </c>
    </row>
    <row r="244" spans="2:30" x14ac:dyDescent="0.3">
      <c r="B244" s="28" t="s">
        <v>77</v>
      </c>
      <c r="C244" t="s">
        <v>72</v>
      </c>
      <c r="D244">
        <v>127</v>
      </c>
      <c r="E244">
        <v>13.25</v>
      </c>
      <c r="F244">
        <v>12</v>
      </c>
      <c r="G244">
        <v>170</v>
      </c>
      <c r="H244">
        <v>15.25</v>
      </c>
      <c r="I244">
        <v>14</v>
      </c>
      <c r="AA244">
        <v>25</v>
      </c>
      <c r="AB244">
        <v>23.375</v>
      </c>
      <c r="AC244" s="28" t="s">
        <v>77</v>
      </c>
      <c r="AD244" t="s">
        <v>74</v>
      </c>
    </row>
    <row r="245" spans="2:30" x14ac:dyDescent="0.3">
      <c r="B245" s="28" t="s">
        <v>77</v>
      </c>
      <c r="C245" t="s">
        <v>72</v>
      </c>
      <c r="D245">
        <v>170</v>
      </c>
      <c r="E245">
        <v>15.25</v>
      </c>
      <c r="F245">
        <v>14</v>
      </c>
      <c r="G245">
        <v>239</v>
      </c>
      <c r="H245">
        <v>15.25</v>
      </c>
      <c r="I245">
        <v>16</v>
      </c>
      <c r="AA245">
        <v>25</v>
      </c>
      <c r="AB245">
        <v>23.375</v>
      </c>
      <c r="AC245" s="28" t="s">
        <v>78</v>
      </c>
      <c r="AD245" t="s">
        <v>75</v>
      </c>
    </row>
    <row r="246" spans="2:30" x14ac:dyDescent="0.3">
      <c r="B246" s="28" t="s">
        <v>77</v>
      </c>
      <c r="C246" t="s">
        <v>72</v>
      </c>
      <c r="D246">
        <v>239</v>
      </c>
      <c r="E246">
        <v>15.25</v>
      </c>
      <c r="F246">
        <v>16</v>
      </c>
      <c r="G246">
        <v>301</v>
      </c>
      <c r="H246">
        <v>19.25</v>
      </c>
      <c r="I246">
        <v>18</v>
      </c>
      <c r="AA246">
        <v>25</v>
      </c>
      <c r="AB246">
        <v>23.375</v>
      </c>
      <c r="AC246" s="28" t="s">
        <v>78</v>
      </c>
      <c r="AD246" t="s">
        <v>76</v>
      </c>
    </row>
    <row r="247" spans="2:30" x14ac:dyDescent="0.3">
      <c r="B247" s="28" t="s">
        <v>77</v>
      </c>
      <c r="C247" t="s">
        <v>72</v>
      </c>
      <c r="D247">
        <v>301</v>
      </c>
      <c r="E247">
        <v>19.25</v>
      </c>
      <c r="F247">
        <v>18</v>
      </c>
      <c r="G247">
        <v>361</v>
      </c>
      <c r="H247">
        <v>21.25</v>
      </c>
      <c r="I247">
        <v>19.25</v>
      </c>
      <c r="AA247">
        <v>27</v>
      </c>
      <c r="AB247">
        <v>25.375</v>
      </c>
      <c r="AC247" s="28" t="s">
        <v>77</v>
      </c>
      <c r="AD247" t="s">
        <v>72</v>
      </c>
    </row>
    <row r="248" spans="2:30" x14ac:dyDescent="0.3">
      <c r="B248" s="28" t="s">
        <v>77</v>
      </c>
      <c r="C248" t="s">
        <v>72</v>
      </c>
      <c r="D248">
        <v>361</v>
      </c>
      <c r="E248">
        <v>21.25</v>
      </c>
      <c r="F248">
        <v>19.25</v>
      </c>
      <c r="G248">
        <v>442</v>
      </c>
      <c r="H248">
        <v>23.25</v>
      </c>
      <c r="I248">
        <v>21.5</v>
      </c>
      <c r="AA248">
        <v>27</v>
      </c>
      <c r="AB248">
        <v>25.375</v>
      </c>
      <c r="AC248" s="28" t="s">
        <v>77</v>
      </c>
      <c r="AD248" t="s">
        <v>73</v>
      </c>
    </row>
    <row r="249" spans="2:30" x14ac:dyDescent="0.3">
      <c r="B249" s="28" t="s">
        <v>77</v>
      </c>
      <c r="C249" t="s">
        <v>72</v>
      </c>
      <c r="D249">
        <v>442</v>
      </c>
      <c r="E249">
        <v>23.25</v>
      </c>
      <c r="F249">
        <v>21.5</v>
      </c>
      <c r="G249">
        <v>531</v>
      </c>
      <c r="H249">
        <v>25</v>
      </c>
      <c r="I249">
        <v>23.375</v>
      </c>
      <c r="AA249">
        <v>27</v>
      </c>
      <c r="AB249">
        <v>25.375</v>
      </c>
      <c r="AC249" s="28" t="s">
        <v>77</v>
      </c>
      <c r="AD249" t="s">
        <v>74</v>
      </c>
    </row>
    <row r="250" spans="2:30" x14ac:dyDescent="0.3">
      <c r="B250" s="28" t="s">
        <v>77</v>
      </c>
      <c r="C250" t="s">
        <v>72</v>
      </c>
      <c r="D250">
        <v>531</v>
      </c>
      <c r="E250">
        <v>25</v>
      </c>
      <c r="F250">
        <v>23.375</v>
      </c>
      <c r="G250">
        <v>637</v>
      </c>
      <c r="H250">
        <v>27</v>
      </c>
      <c r="I250">
        <v>25.375</v>
      </c>
      <c r="AA250">
        <v>27</v>
      </c>
      <c r="AB250">
        <v>25.375</v>
      </c>
      <c r="AC250" s="28" t="s">
        <v>78</v>
      </c>
      <c r="AD250" t="s">
        <v>75</v>
      </c>
    </row>
    <row r="251" spans="2:30" x14ac:dyDescent="0.3">
      <c r="B251" s="28" t="s">
        <v>77</v>
      </c>
      <c r="C251" t="s">
        <v>72</v>
      </c>
      <c r="D251">
        <v>637</v>
      </c>
      <c r="E251">
        <v>27</v>
      </c>
      <c r="F251">
        <v>25.375</v>
      </c>
      <c r="G251">
        <v>721</v>
      </c>
      <c r="H251">
        <v>29</v>
      </c>
      <c r="I251">
        <v>27.375</v>
      </c>
      <c r="AA251">
        <v>27</v>
      </c>
      <c r="AB251">
        <v>25.375</v>
      </c>
      <c r="AC251" s="28" t="s">
        <v>78</v>
      </c>
      <c r="AD251" t="s">
        <v>76</v>
      </c>
    </row>
    <row r="252" spans="2:30" x14ac:dyDescent="0.3">
      <c r="B252" s="28" t="s">
        <v>77</v>
      </c>
      <c r="C252" t="s">
        <v>72</v>
      </c>
      <c r="D252">
        <v>721</v>
      </c>
      <c r="E252">
        <v>29</v>
      </c>
      <c r="F252">
        <v>27.375</v>
      </c>
      <c r="G252">
        <v>847</v>
      </c>
      <c r="H252">
        <v>31</v>
      </c>
      <c r="I252">
        <v>29.375</v>
      </c>
      <c r="AA252">
        <v>29</v>
      </c>
      <c r="AB252">
        <v>27.375</v>
      </c>
      <c r="AC252" s="28" t="s">
        <v>77</v>
      </c>
      <c r="AD252" t="s">
        <v>72</v>
      </c>
    </row>
    <row r="253" spans="2:30" x14ac:dyDescent="0.3">
      <c r="B253" s="28" t="s">
        <v>77</v>
      </c>
      <c r="C253" t="s">
        <v>72</v>
      </c>
      <c r="D253">
        <v>847</v>
      </c>
      <c r="E253">
        <v>31</v>
      </c>
      <c r="F253">
        <v>29.375</v>
      </c>
      <c r="G253">
        <v>974</v>
      </c>
      <c r="H253">
        <v>33</v>
      </c>
      <c r="I253">
        <v>31.375</v>
      </c>
      <c r="AA253">
        <v>29</v>
      </c>
      <c r="AB253">
        <v>27.375</v>
      </c>
      <c r="AC253" s="28" t="s">
        <v>77</v>
      </c>
      <c r="AD253" t="s">
        <v>73</v>
      </c>
    </row>
    <row r="254" spans="2:30" x14ac:dyDescent="0.3">
      <c r="B254" s="28" t="s">
        <v>77</v>
      </c>
      <c r="C254" t="s">
        <v>72</v>
      </c>
      <c r="D254">
        <v>974</v>
      </c>
      <c r="E254">
        <v>33</v>
      </c>
      <c r="F254">
        <v>31.375</v>
      </c>
      <c r="G254">
        <v>1102</v>
      </c>
      <c r="H254">
        <v>35</v>
      </c>
      <c r="I254">
        <v>33.375</v>
      </c>
      <c r="AA254">
        <v>29</v>
      </c>
      <c r="AB254">
        <v>27.375</v>
      </c>
      <c r="AC254" s="28" t="s">
        <v>77</v>
      </c>
      <c r="AD254" t="s">
        <v>74</v>
      </c>
    </row>
    <row r="255" spans="2:30" x14ac:dyDescent="0.3">
      <c r="B255" s="28" t="s">
        <v>77</v>
      </c>
      <c r="C255" t="s">
        <v>72</v>
      </c>
      <c r="D255">
        <v>1102</v>
      </c>
      <c r="E255">
        <v>35</v>
      </c>
      <c r="F255">
        <v>33.375</v>
      </c>
      <c r="G255">
        <v>1142</v>
      </c>
      <c r="H255">
        <v>37</v>
      </c>
      <c r="I255">
        <v>35.25</v>
      </c>
      <c r="AA255">
        <v>29</v>
      </c>
      <c r="AB255">
        <v>27.375</v>
      </c>
      <c r="AC255" s="28" t="s">
        <v>78</v>
      </c>
      <c r="AD255" t="s">
        <v>75</v>
      </c>
    </row>
    <row r="256" spans="2:30" x14ac:dyDescent="0.3">
      <c r="B256" s="28" t="s">
        <v>77</v>
      </c>
      <c r="C256" t="s">
        <v>72</v>
      </c>
      <c r="D256">
        <v>1142</v>
      </c>
      <c r="E256">
        <v>37</v>
      </c>
      <c r="F256">
        <v>35.25</v>
      </c>
      <c r="G256">
        <v>1377</v>
      </c>
      <c r="H256">
        <v>39</v>
      </c>
      <c r="I256">
        <v>37.25</v>
      </c>
      <c r="AA256">
        <v>29</v>
      </c>
      <c r="AB256">
        <v>27.375</v>
      </c>
      <c r="AC256" s="28" t="s">
        <v>78</v>
      </c>
      <c r="AD256" t="s">
        <v>76</v>
      </c>
    </row>
    <row r="257" spans="2:30" x14ac:dyDescent="0.3">
      <c r="B257" s="28" t="s">
        <v>77</v>
      </c>
      <c r="C257" t="s">
        <v>72</v>
      </c>
      <c r="D257">
        <v>1377</v>
      </c>
      <c r="E257">
        <v>39</v>
      </c>
      <c r="F257">
        <v>37.25</v>
      </c>
      <c r="G257">
        <v>1611</v>
      </c>
      <c r="H257">
        <v>42</v>
      </c>
      <c r="I257">
        <v>40.25</v>
      </c>
      <c r="AA257">
        <v>31</v>
      </c>
      <c r="AB257">
        <v>29.375</v>
      </c>
      <c r="AC257" s="28" t="s">
        <v>77</v>
      </c>
      <c r="AD257" t="s">
        <v>72</v>
      </c>
    </row>
    <row r="258" spans="2:30" x14ac:dyDescent="0.3">
      <c r="B258" s="28" t="s">
        <v>77</v>
      </c>
      <c r="C258" t="s">
        <v>72</v>
      </c>
      <c r="D258">
        <v>1611</v>
      </c>
      <c r="E258">
        <v>42</v>
      </c>
      <c r="F258">
        <v>40.25</v>
      </c>
      <c r="G258">
        <v>1782</v>
      </c>
      <c r="H258">
        <v>44</v>
      </c>
      <c r="I258">
        <v>42.25</v>
      </c>
      <c r="AA258">
        <v>31</v>
      </c>
      <c r="AB258">
        <v>29.375</v>
      </c>
      <c r="AC258" s="28" t="s">
        <v>77</v>
      </c>
      <c r="AD258" t="s">
        <v>73</v>
      </c>
    </row>
    <row r="259" spans="2:30" x14ac:dyDescent="0.3">
      <c r="B259" s="28" t="s">
        <v>77</v>
      </c>
      <c r="C259" t="s">
        <v>72</v>
      </c>
      <c r="D259">
        <v>1782</v>
      </c>
      <c r="E259">
        <v>44</v>
      </c>
      <c r="F259">
        <v>42.25</v>
      </c>
      <c r="G259">
        <v>1965</v>
      </c>
      <c r="H259">
        <v>48</v>
      </c>
      <c r="I259">
        <v>46</v>
      </c>
      <c r="AA259">
        <v>31</v>
      </c>
      <c r="AB259">
        <v>29.375</v>
      </c>
      <c r="AC259" s="28" t="s">
        <v>77</v>
      </c>
      <c r="AD259" t="s">
        <v>74</v>
      </c>
    </row>
    <row r="260" spans="2:30" x14ac:dyDescent="0.3">
      <c r="B260" s="28" t="s">
        <v>77</v>
      </c>
      <c r="C260" t="s">
        <v>72</v>
      </c>
      <c r="D260">
        <v>1965</v>
      </c>
      <c r="E260">
        <v>48</v>
      </c>
      <c r="F260">
        <v>46</v>
      </c>
      <c r="G260">
        <v>2347</v>
      </c>
      <c r="H260">
        <v>52</v>
      </c>
      <c r="I260">
        <v>50</v>
      </c>
      <c r="AA260">
        <v>31</v>
      </c>
      <c r="AB260">
        <v>29.375</v>
      </c>
      <c r="AC260" s="28" t="s">
        <v>78</v>
      </c>
      <c r="AD260" t="s">
        <v>75</v>
      </c>
    </row>
    <row r="261" spans="2:30" x14ac:dyDescent="0.3">
      <c r="B261" s="28" t="s">
        <v>77</v>
      </c>
      <c r="C261" t="s">
        <v>72</v>
      </c>
      <c r="D261">
        <v>2347</v>
      </c>
      <c r="E261">
        <v>52</v>
      </c>
      <c r="F261">
        <v>50</v>
      </c>
      <c r="G261">
        <v>2704</v>
      </c>
      <c r="H261">
        <v>56</v>
      </c>
      <c r="I261">
        <v>54</v>
      </c>
      <c r="AA261">
        <v>31</v>
      </c>
      <c r="AB261">
        <v>29.375</v>
      </c>
      <c r="AC261" s="28" t="s">
        <v>78</v>
      </c>
      <c r="AD261" t="s">
        <v>76</v>
      </c>
    </row>
    <row r="262" spans="2:30" x14ac:dyDescent="0.3">
      <c r="B262" s="28" t="s">
        <v>77</v>
      </c>
      <c r="C262" t="s">
        <v>72</v>
      </c>
      <c r="D262">
        <v>2704</v>
      </c>
      <c r="E262">
        <v>56</v>
      </c>
      <c r="F262">
        <v>54</v>
      </c>
      <c r="G262">
        <v>22</v>
      </c>
      <c r="H262">
        <v>8.0709999999999997</v>
      </c>
      <c r="I262">
        <v>6.8209999999999997</v>
      </c>
      <c r="AA262">
        <v>33</v>
      </c>
      <c r="AB262">
        <v>31.375</v>
      </c>
      <c r="AC262" s="28" t="s">
        <v>77</v>
      </c>
      <c r="AD262" t="s">
        <v>72</v>
      </c>
    </row>
    <row r="263" spans="2:30" x14ac:dyDescent="0.3">
      <c r="B263" s="28" t="s">
        <v>78</v>
      </c>
      <c r="C263" t="s">
        <v>76</v>
      </c>
      <c r="D263">
        <v>22</v>
      </c>
      <c r="E263">
        <v>8.0709999999999997</v>
      </c>
      <c r="F263">
        <v>6.8209999999999997</v>
      </c>
      <c r="G263">
        <v>37</v>
      </c>
      <c r="H263">
        <v>10</v>
      </c>
      <c r="I263">
        <v>8.77</v>
      </c>
      <c r="AA263">
        <v>33</v>
      </c>
      <c r="AB263">
        <v>31.375</v>
      </c>
      <c r="AC263" s="28" t="s">
        <v>77</v>
      </c>
      <c r="AD263" t="s">
        <v>73</v>
      </c>
    </row>
    <row r="264" spans="2:30" x14ac:dyDescent="0.3">
      <c r="B264" s="28" t="s">
        <v>78</v>
      </c>
      <c r="C264" t="s">
        <v>76</v>
      </c>
      <c r="D264">
        <v>37</v>
      </c>
      <c r="E264">
        <v>10</v>
      </c>
      <c r="F264">
        <v>8.77</v>
      </c>
      <c r="G264">
        <v>57</v>
      </c>
      <c r="H264">
        <v>12</v>
      </c>
      <c r="I264">
        <v>10.75</v>
      </c>
      <c r="AA264">
        <v>33</v>
      </c>
      <c r="AB264">
        <v>31.375</v>
      </c>
      <c r="AC264" s="28" t="s">
        <v>77</v>
      </c>
      <c r="AD264" t="s">
        <v>74</v>
      </c>
    </row>
    <row r="265" spans="2:30" x14ac:dyDescent="0.3">
      <c r="B265" s="28" t="s">
        <v>78</v>
      </c>
      <c r="C265" t="s">
        <v>76</v>
      </c>
      <c r="D265">
        <v>57</v>
      </c>
      <c r="E265">
        <v>12</v>
      </c>
      <c r="F265">
        <v>10.75</v>
      </c>
      <c r="G265">
        <v>67</v>
      </c>
      <c r="H265">
        <v>13.25</v>
      </c>
      <c r="I265">
        <v>12</v>
      </c>
      <c r="AA265">
        <v>33</v>
      </c>
      <c r="AB265">
        <v>31.375</v>
      </c>
      <c r="AC265" s="28" t="s">
        <v>78</v>
      </c>
      <c r="AD265" t="s">
        <v>75</v>
      </c>
    </row>
    <row r="266" spans="2:30" x14ac:dyDescent="0.3">
      <c r="B266" s="28" t="s">
        <v>78</v>
      </c>
      <c r="C266" t="s">
        <v>76</v>
      </c>
      <c r="D266">
        <v>67</v>
      </c>
      <c r="E266">
        <v>13.25</v>
      </c>
      <c r="F266">
        <v>12</v>
      </c>
      <c r="G266">
        <v>96</v>
      </c>
      <c r="H266">
        <v>15.25</v>
      </c>
      <c r="I266">
        <v>14</v>
      </c>
      <c r="AA266">
        <v>33</v>
      </c>
      <c r="AB266">
        <v>31.375</v>
      </c>
      <c r="AC266" s="28" t="s">
        <v>78</v>
      </c>
      <c r="AD266" t="s">
        <v>76</v>
      </c>
    </row>
    <row r="267" spans="2:30" x14ac:dyDescent="0.3">
      <c r="B267" s="28" t="s">
        <v>78</v>
      </c>
      <c r="C267" t="s">
        <v>76</v>
      </c>
      <c r="D267">
        <v>96</v>
      </c>
      <c r="E267">
        <v>15.25</v>
      </c>
      <c r="F267">
        <v>14</v>
      </c>
      <c r="G267">
        <v>130</v>
      </c>
      <c r="H267">
        <v>15.25</v>
      </c>
      <c r="I267">
        <v>16</v>
      </c>
      <c r="AA267">
        <v>35</v>
      </c>
      <c r="AB267">
        <v>33.375</v>
      </c>
      <c r="AC267" s="28" t="s">
        <v>77</v>
      </c>
      <c r="AD267" t="s">
        <v>72</v>
      </c>
    </row>
    <row r="268" spans="2:30" x14ac:dyDescent="0.3">
      <c r="B268" s="28" t="s">
        <v>78</v>
      </c>
      <c r="C268" t="s">
        <v>76</v>
      </c>
      <c r="D268">
        <v>130</v>
      </c>
      <c r="E268">
        <v>15.25</v>
      </c>
      <c r="F268">
        <v>16</v>
      </c>
      <c r="G268">
        <v>172</v>
      </c>
      <c r="H268">
        <v>19.25</v>
      </c>
      <c r="I268">
        <v>18</v>
      </c>
      <c r="AA268">
        <v>35</v>
      </c>
      <c r="AB268">
        <v>33.375</v>
      </c>
      <c r="AC268" s="28" t="s">
        <v>77</v>
      </c>
      <c r="AD268" t="s">
        <v>73</v>
      </c>
    </row>
    <row r="269" spans="2:30" x14ac:dyDescent="0.3">
      <c r="B269" s="28" t="s">
        <v>78</v>
      </c>
      <c r="C269" t="s">
        <v>76</v>
      </c>
      <c r="D269">
        <v>172</v>
      </c>
      <c r="E269">
        <v>19.25</v>
      </c>
      <c r="F269">
        <v>18</v>
      </c>
      <c r="G269">
        <v>199</v>
      </c>
      <c r="H269">
        <v>21.25</v>
      </c>
      <c r="I269">
        <v>19.25</v>
      </c>
      <c r="AA269">
        <v>35</v>
      </c>
      <c r="AB269">
        <v>33.375</v>
      </c>
      <c r="AC269" s="28" t="s">
        <v>77</v>
      </c>
      <c r="AD269" t="s">
        <v>74</v>
      </c>
    </row>
    <row r="270" spans="2:30" x14ac:dyDescent="0.3">
      <c r="B270" s="28" t="s">
        <v>78</v>
      </c>
      <c r="C270" t="s">
        <v>76</v>
      </c>
      <c r="D270">
        <v>199</v>
      </c>
      <c r="E270">
        <v>21.25</v>
      </c>
      <c r="F270">
        <v>19.25</v>
      </c>
      <c r="G270">
        <v>247</v>
      </c>
      <c r="H270">
        <v>23.25</v>
      </c>
      <c r="I270">
        <v>21.5</v>
      </c>
      <c r="AA270">
        <v>35</v>
      </c>
      <c r="AB270">
        <v>33.375</v>
      </c>
      <c r="AC270" s="28" t="s">
        <v>78</v>
      </c>
      <c r="AD270" t="s">
        <v>75</v>
      </c>
    </row>
    <row r="271" spans="2:30" x14ac:dyDescent="0.3">
      <c r="B271" s="28" t="s">
        <v>78</v>
      </c>
      <c r="C271" t="s">
        <v>76</v>
      </c>
      <c r="D271">
        <v>247</v>
      </c>
      <c r="E271">
        <v>23.25</v>
      </c>
      <c r="F271">
        <v>21.5</v>
      </c>
      <c r="G271">
        <v>282</v>
      </c>
      <c r="H271">
        <v>25</v>
      </c>
      <c r="I271">
        <v>23.375</v>
      </c>
      <c r="AA271">
        <v>35</v>
      </c>
      <c r="AB271">
        <v>33.375</v>
      </c>
      <c r="AC271" s="28" t="s">
        <v>78</v>
      </c>
      <c r="AD271" t="s">
        <v>76</v>
      </c>
    </row>
    <row r="272" spans="2:30" x14ac:dyDescent="0.3">
      <c r="B272" s="28" t="s">
        <v>78</v>
      </c>
      <c r="C272" t="s">
        <v>76</v>
      </c>
      <c r="D272">
        <v>282</v>
      </c>
      <c r="E272">
        <v>25</v>
      </c>
      <c r="F272">
        <v>23.375</v>
      </c>
      <c r="G272">
        <v>349</v>
      </c>
      <c r="H272">
        <v>27</v>
      </c>
      <c r="I272">
        <v>25.375</v>
      </c>
      <c r="AA272">
        <v>37</v>
      </c>
      <c r="AB272">
        <v>35.25</v>
      </c>
      <c r="AC272" s="28" t="s">
        <v>77</v>
      </c>
      <c r="AD272" t="s">
        <v>72</v>
      </c>
    </row>
    <row r="273" spans="2:30" x14ac:dyDescent="0.3">
      <c r="B273" s="28" t="s">
        <v>78</v>
      </c>
      <c r="C273" t="s">
        <v>76</v>
      </c>
      <c r="D273">
        <v>349</v>
      </c>
      <c r="E273">
        <v>27</v>
      </c>
      <c r="F273">
        <v>25.375</v>
      </c>
      <c r="G273">
        <v>397</v>
      </c>
      <c r="H273">
        <v>29</v>
      </c>
      <c r="I273">
        <v>27.375</v>
      </c>
      <c r="AA273">
        <v>37</v>
      </c>
      <c r="AB273">
        <v>35.25</v>
      </c>
      <c r="AC273" s="28" t="s">
        <v>77</v>
      </c>
      <c r="AD273" t="s">
        <v>73</v>
      </c>
    </row>
    <row r="274" spans="2:30" x14ac:dyDescent="0.3">
      <c r="B274" s="28" t="s">
        <v>78</v>
      </c>
      <c r="C274" t="s">
        <v>76</v>
      </c>
      <c r="D274">
        <v>397</v>
      </c>
      <c r="E274">
        <v>29</v>
      </c>
      <c r="F274">
        <v>27.375</v>
      </c>
      <c r="G274">
        <v>472</v>
      </c>
      <c r="H274">
        <v>31</v>
      </c>
      <c r="I274">
        <v>29.375</v>
      </c>
      <c r="AA274">
        <v>37</v>
      </c>
      <c r="AB274">
        <v>35.25</v>
      </c>
      <c r="AC274" s="28" t="s">
        <v>77</v>
      </c>
      <c r="AD274" t="s">
        <v>74</v>
      </c>
    </row>
    <row r="275" spans="2:30" x14ac:dyDescent="0.3">
      <c r="B275" s="28" t="s">
        <v>78</v>
      </c>
      <c r="C275" t="s">
        <v>76</v>
      </c>
      <c r="D275">
        <v>472</v>
      </c>
      <c r="E275">
        <v>31</v>
      </c>
      <c r="F275">
        <v>29.375</v>
      </c>
      <c r="G275">
        <v>538</v>
      </c>
      <c r="H275">
        <v>33</v>
      </c>
      <c r="I275">
        <v>31.375</v>
      </c>
      <c r="AA275">
        <v>37</v>
      </c>
      <c r="AB275">
        <v>35.25</v>
      </c>
      <c r="AC275" s="28" t="s">
        <v>78</v>
      </c>
      <c r="AD275" t="s">
        <v>75</v>
      </c>
    </row>
    <row r="276" spans="2:30" x14ac:dyDescent="0.3">
      <c r="B276" s="28" t="s">
        <v>78</v>
      </c>
      <c r="C276" t="s">
        <v>76</v>
      </c>
      <c r="D276">
        <v>538</v>
      </c>
      <c r="E276">
        <v>33</v>
      </c>
      <c r="F276">
        <v>31.375</v>
      </c>
      <c r="G276">
        <v>608</v>
      </c>
      <c r="H276">
        <v>35</v>
      </c>
      <c r="I276">
        <v>33.375</v>
      </c>
      <c r="AA276">
        <v>37</v>
      </c>
      <c r="AB276">
        <v>35.25</v>
      </c>
      <c r="AC276" s="28" t="s">
        <v>78</v>
      </c>
      <c r="AD276" t="s">
        <v>76</v>
      </c>
    </row>
    <row r="277" spans="2:30" x14ac:dyDescent="0.3">
      <c r="B277" s="28" t="s">
        <v>78</v>
      </c>
      <c r="C277" t="s">
        <v>76</v>
      </c>
      <c r="D277">
        <v>608</v>
      </c>
      <c r="E277">
        <v>35</v>
      </c>
      <c r="F277">
        <v>33.375</v>
      </c>
      <c r="G277">
        <v>678</v>
      </c>
      <c r="H277">
        <v>37</v>
      </c>
      <c r="I277">
        <v>35.25</v>
      </c>
      <c r="AA277">
        <v>39</v>
      </c>
      <c r="AB277">
        <v>37.25</v>
      </c>
      <c r="AC277" s="28" t="s">
        <v>77</v>
      </c>
      <c r="AD277" t="s">
        <v>72</v>
      </c>
    </row>
    <row r="278" spans="2:30" x14ac:dyDescent="0.3">
      <c r="B278" s="28" t="s">
        <v>78</v>
      </c>
      <c r="C278" t="s">
        <v>76</v>
      </c>
      <c r="D278">
        <v>678</v>
      </c>
      <c r="E278">
        <v>37</v>
      </c>
      <c r="F278">
        <v>35.25</v>
      </c>
      <c r="G278">
        <v>766</v>
      </c>
      <c r="H278">
        <v>39</v>
      </c>
      <c r="I278">
        <v>37.25</v>
      </c>
      <c r="AA278">
        <v>39</v>
      </c>
      <c r="AB278">
        <v>37.25</v>
      </c>
      <c r="AC278" s="28" t="s">
        <v>77</v>
      </c>
      <c r="AD278" t="s">
        <v>73</v>
      </c>
    </row>
    <row r="279" spans="2:30" x14ac:dyDescent="0.3">
      <c r="B279" s="28" t="s">
        <v>78</v>
      </c>
      <c r="C279" t="s">
        <v>76</v>
      </c>
      <c r="D279">
        <v>766</v>
      </c>
      <c r="E279">
        <v>39</v>
      </c>
      <c r="F279">
        <v>37.25</v>
      </c>
      <c r="G279">
        <v>890</v>
      </c>
      <c r="H279">
        <v>42</v>
      </c>
      <c r="I279">
        <v>40.25</v>
      </c>
      <c r="AA279">
        <v>39</v>
      </c>
      <c r="AB279">
        <v>37.25</v>
      </c>
      <c r="AC279" s="28" t="s">
        <v>77</v>
      </c>
      <c r="AD279" t="s">
        <v>74</v>
      </c>
    </row>
    <row r="280" spans="2:30" x14ac:dyDescent="0.3">
      <c r="B280" s="28" t="s">
        <v>78</v>
      </c>
      <c r="C280" t="s">
        <v>76</v>
      </c>
      <c r="D280">
        <v>890</v>
      </c>
      <c r="E280">
        <v>42</v>
      </c>
      <c r="F280">
        <v>40.25</v>
      </c>
      <c r="G280">
        <v>990</v>
      </c>
      <c r="H280">
        <v>44</v>
      </c>
      <c r="I280">
        <v>42.25</v>
      </c>
      <c r="AA280">
        <v>39</v>
      </c>
      <c r="AB280">
        <v>37.25</v>
      </c>
      <c r="AC280" s="28" t="s">
        <v>78</v>
      </c>
      <c r="AD280" t="s">
        <v>75</v>
      </c>
    </row>
    <row r="281" spans="2:30" x14ac:dyDescent="0.3">
      <c r="B281" s="28" t="s">
        <v>78</v>
      </c>
      <c r="C281" t="s">
        <v>76</v>
      </c>
      <c r="D281">
        <v>990</v>
      </c>
      <c r="E281">
        <v>44</v>
      </c>
      <c r="F281">
        <v>42.25</v>
      </c>
      <c r="G281">
        <v>1188</v>
      </c>
      <c r="H281">
        <v>48</v>
      </c>
      <c r="I281">
        <v>46</v>
      </c>
      <c r="AA281">
        <v>39</v>
      </c>
      <c r="AB281">
        <v>37.25</v>
      </c>
      <c r="AC281" s="28" t="s">
        <v>78</v>
      </c>
      <c r="AD281" t="s">
        <v>76</v>
      </c>
    </row>
    <row r="282" spans="2:30" x14ac:dyDescent="0.3">
      <c r="B282" s="28" t="s">
        <v>78</v>
      </c>
      <c r="C282" t="s">
        <v>76</v>
      </c>
      <c r="D282">
        <v>1188</v>
      </c>
      <c r="E282">
        <v>48</v>
      </c>
      <c r="F282">
        <v>46</v>
      </c>
      <c r="G282">
        <v>1405</v>
      </c>
      <c r="H282">
        <v>52</v>
      </c>
      <c r="I282">
        <v>50</v>
      </c>
      <c r="AA282">
        <v>42</v>
      </c>
      <c r="AB282">
        <v>40.25</v>
      </c>
      <c r="AC282" s="28" t="s">
        <v>77</v>
      </c>
      <c r="AD282" t="s">
        <v>72</v>
      </c>
    </row>
    <row r="283" spans="2:30" x14ac:dyDescent="0.3">
      <c r="B283" s="28" t="s">
        <v>78</v>
      </c>
      <c r="C283" t="s">
        <v>76</v>
      </c>
      <c r="D283">
        <v>1405</v>
      </c>
      <c r="E283">
        <v>52</v>
      </c>
      <c r="F283">
        <v>50</v>
      </c>
      <c r="G283">
        <v>1638</v>
      </c>
      <c r="H283">
        <v>56</v>
      </c>
      <c r="I283">
        <v>54</v>
      </c>
      <c r="AA283">
        <v>42</v>
      </c>
      <c r="AB283">
        <v>40.25</v>
      </c>
      <c r="AC283" s="28" t="s">
        <v>77</v>
      </c>
      <c r="AD283" t="s">
        <v>73</v>
      </c>
    </row>
    <row r="284" spans="2:30" x14ac:dyDescent="0.3">
      <c r="B284" s="28" t="s">
        <v>78</v>
      </c>
      <c r="C284" t="s">
        <v>76</v>
      </c>
      <c r="D284">
        <v>1638</v>
      </c>
      <c r="E284">
        <v>56</v>
      </c>
      <c r="F284">
        <v>54</v>
      </c>
      <c r="G284">
        <v>21</v>
      </c>
      <c r="H284">
        <v>8.0709999999999997</v>
      </c>
      <c r="I284">
        <v>6.8209999999999997</v>
      </c>
      <c r="AA284">
        <v>42</v>
      </c>
      <c r="AB284">
        <v>40.25</v>
      </c>
      <c r="AC284" s="28" t="s">
        <v>77</v>
      </c>
      <c r="AD284" t="s">
        <v>74</v>
      </c>
    </row>
    <row r="285" spans="2:30" x14ac:dyDescent="0.3">
      <c r="B285" s="28" t="s">
        <v>78</v>
      </c>
      <c r="C285" t="s">
        <v>75</v>
      </c>
      <c r="D285">
        <v>21</v>
      </c>
      <c r="E285">
        <v>8.0709999999999997</v>
      </c>
      <c r="F285">
        <v>6.8209999999999997</v>
      </c>
      <c r="G285">
        <v>32</v>
      </c>
      <c r="H285">
        <v>10</v>
      </c>
      <c r="I285">
        <v>8.77</v>
      </c>
      <c r="AA285">
        <v>42</v>
      </c>
      <c r="AB285">
        <v>40.25</v>
      </c>
      <c r="AC285" s="28" t="s">
        <v>78</v>
      </c>
      <c r="AD285" t="s">
        <v>75</v>
      </c>
    </row>
    <row r="286" spans="2:30" x14ac:dyDescent="0.3">
      <c r="B286" s="28" t="s">
        <v>78</v>
      </c>
      <c r="C286" t="s">
        <v>75</v>
      </c>
      <c r="D286">
        <v>32</v>
      </c>
      <c r="E286">
        <v>10</v>
      </c>
      <c r="F286">
        <v>8.77</v>
      </c>
      <c r="G286">
        <v>48</v>
      </c>
      <c r="H286">
        <v>12</v>
      </c>
      <c r="I286">
        <v>10.75</v>
      </c>
      <c r="AA286">
        <v>42</v>
      </c>
      <c r="AB286">
        <v>40.25</v>
      </c>
      <c r="AC286" s="28" t="s">
        <v>78</v>
      </c>
      <c r="AD286" t="s">
        <v>76</v>
      </c>
    </row>
    <row r="287" spans="2:30" x14ac:dyDescent="0.3">
      <c r="B287" s="28" t="s">
        <v>78</v>
      </c>
      <c r="C287" t="s">
        <v>75</v>
      </c>
      <c r="D287">
        <v>48</v>
      </c>
      <c r="E287">
        <v>12</v>
      </c>
      <c r="F287">
        <v>10.75</v>
      </c>
      <c r="G287">
        <v>60</v>
      </c>
      <c r="H287">
        <v>13.25</v>
      </c>
      <c r="I287">
        <v>12</v>
      </c>
      <c r="AA287">
        <v>44</v>
      </c>
      <c r="AB287">
        <v>42.25</v>
      </c>
      <c r="AC287" s="28" t="s">
        <v>77</v>
      </c>
      <c r="AD287" t="s">
        <v>72</v>
      </c>
    </row>
    <row r="288" spans="2:30" x14ac:dyDescent="0.3">
      <c r="B288" s="28" t="s">
        <v>78</v>
      </c>
      <c r="C288" t="s">
        <v>75</v>
      </c>
      <c r="D288">
        <v>60</v>
      </c>
      <c r="E288">
        <v>13.25</v>
      </c>
      <c r="F288">
        <v>12</v>
      </c>
      <c r="G288">
        <v>88</v>
      </c>
      <c r="H288">
        <v>15.25</v>
      </c>
      <c r="I288">
        <v>14</v>
      </c>
      <c r="AA288">
        <v>44</v>
      </c>
      <c r="AB288">
        <v>42.25</v>
      </c>
      <c r="AC288" s="28" t="s">
        <v>77</v>
      </c>
      <c r="AD288" t="s">
        <v>73</v>
      </c>
    </row>
    <row r="289" spans="2:30" x14ac:dyDescent="0.3">
      <c r="B289" s="28" t="s">
        <v>78</v>
      </c>
      <c r="C289" t="s">
        <v>75</v>
      </c>
      <c r="D289">
        <v>88</v>
      </c>
      <c r="E289">
        <v>15.25</v>
      </c>
      <c r="F289">
        <v>14</v>
      </c>
      <c r="G289">
        <v>112</v>
      </c>
      <c r="H289">
        <v>15.25</v>
      </c>
      <c r="I289">
        <v>16</v>
      </c>
      <c r="AA289">
        <v>44</v>
      </c>
      <c r="AB289">
        <v>42.25</v>
      </c>
      <c r="AC289" s="28" t="s">
        <v>77</v>
      </c>
      <c r="AD289" t="s">
        <v>74</v>
      </c>
    </row>
    <row r="290" spans="2:30" x14ac:dyDescent="0.3">
      <c r="B290" s="28" t="s">
        <v>78</v>
      </c>
      <c r="C290" t="s">
        <v>75</v>
      </c>
      <c r="D290">
        <v>112</v>
      </c>
      <c r="E290">
        <v>15.25</v>
      </c>
      <c r="F290">
        <v>16</v>
      </c>
      <c r="G290">
        <v>148</v>
      </c>
      <c r="H290">
        <v>19.25</v>
      </c>
      <c r="I290">
        <v>18</v>
      </c>
      <c r="AA290">
        <v>44</v>
      </c>
      <c r="AB290">
        <v>42.25</v>
      </c>
      <c r="AC290" s="28" t="s">
        <v>78</v>
      </c>
      <c r="AD290" t="s">
        <v>75</v>
      </c>
    </row>
    <row r="291" spans="2:30" x14ac:dyDescent="0.3">
      <c r="B291" s="28" t="s">
        <v>78</v>
      </c>
      <c r="C291" t="s">
        <v>75</v>
      </c>
      <c r="D291">
        <v>148</v>
      </c>
      <c r="E291">
        <v>19.25</v>
      </c>
      <c r="F291">
        <v>18</v>
      </c>
      <c r="G291">
        <v>170</v>
      </c>
      <c r="H291">
        <v>21.25</v>
      </c>
      <c r="I291">
        <v>19.25</v>
      </c>
      <c r="AA291">
        <v>44</v>
      </c>
      <c r="AB291">
        <v>42.25</v>
      </c>
      <c r="AC291" s="28" t="s">
        <v>78</v>
      </c>
      <c r="AD291" t="s">
        <v>76</v>
      </c>
    </row>
    <row r="292" spans="2:30" x14ac:dyDescent="0.3">
      <c r="B292" s="28" t="s">
        <v>78</v>
      </c>
      <c r="C292" t="s">
        <v>75</v>
      </c>
      <c r="D292">
        <v>170</v>
      </c>
      <c r="E292">
        <v>21.25</v>
      </c>
      <c r="F292">
        <v>19.25</v>
      </c>
      <c r="G292">
        <v>210</v>
      </c>
      <c r="H292">
        <v>23.25</v>
      </c>
      <c r="I292">
        <v>21.5</v>
      </c>
      <c r="AA292">
        <v>48</v>
      </c>
      <c r="AB292">
        <v>46</v>
      </c>
      <c r="AC292" s="28" t="s">
        <v>77</v>
      </c>
      <c r="AD292" t="s">
        <v>72</v>
      </c>
    </row>
    <row r="293" spans="2:30" x14ac:dyDescent="0.3">
      <c r="B293" s="28" t="s">
        <v>78</v>
      </c>
      <c r="C293" t="s">
        <v>75</v>
      </c>
      <c r="D293">
        <v>210</v>
      </c>
      <c r="E293">
        <v>23.25</v>
      </c>
      <c r="F293">
        <v>21.5</v>
      </c>
      <c r="G293">
        <v>248</v>
      </c>
      <c r="H293">
        <v>25</v>
      </c>
      <c r="I293">
        <v>23.375</v>
      </c>
      <c r="AA293">
        <v>48</v>
      </c>
      <c r="AB293">
        <v>46</v>
      </c>
      <c r="AC293" s="28" t="s">
        <v>77</v>
      </c>
      <c r="AD293" t="s">
        <v>73</v>
      </c>
    </row>
    <row r="294" spans="2:30" x14ac:dyDescent="0.3">
      <c r="B294" s="28" t="s">
        <v>78</v>
      </c>
      <c r="C294" t="s">
        <v>75</v>
      </c>
      <c r="D294">
        <v>248</v>
      </c>
      <c r="E294">
        <v>25</v>
      </c>
      <c r="F294">
        <v>23.375</v>
      </c>
      <c r="G294">
        <v>286</v>
      </c>
      <c r="H294">
        <v>27</v>
      </c>
      <c r="I294">
        <v>25.375</v>
      </c>
      <c r="AA294">
        <v>48</v>
      </c>
      <c r="AB294">
        <v>46</v>
      </c>
      <c r="AC294" s="28" t="s">
        <v>77</v>
      </c>
      <c r="AD294" t="s">
        <v>74</v>
      </c>
    </row>
    <row r="295" spans="2:30" x14ac:dyDescent="0.3">
      <c r="B295" s="28" t="s">
        <v>78</v>
      </c>
      <c r="C295" t="s">
        <v>75</v>
      </c>
      <c r="D295">
        <v>286</v>
      </c>
      <c r="E295">
        <v>27</v>
      </c>
      <c r="F295">
        <v>25.375</v>
      </c>
      <c r="G295">
        <v>348</v>
      </c>
      <c r="H295">
        <v>29</v>
      </c>
      <c r="I295">
        <v>27.375</v>
      </c>
      <c r="AA295">
        <v>48</v>
      </c>
      <c r="AB295">
        <v>46</v>
      </c>
      <c r="AC295" s="28" t="s">
        <v>78</v>
      </c>
      <c r="AD295" t="s">
        <v>75</v>
      </c>
    </row>
    <row r="296" spans="2:30" x14ac:dyDescent="0.3">
      <c r="B296" s="28" t="s">
        <v>78</v>
      </c>
      <c r="C296" t="s">
        <v>75</v>
      </c>
      <c r="D296">
        <v>348</v>
      </c>
      <c r="E296">
        <v>29</v>
      </c>
      <c r="F296">
        <v>27.375</v>
      </c>
      <c r="G296">
        <v>402</v>
      </c>
      <c r="H296">
        <v>31</v>
      </c>
      <c r="I296">
        <v>29.375</v>
      </c>
      <c r="AA296">
        <v>48</v>
      </c>
      <c r="AB296">
        <v>46</v>
      </c>
      <c r="AC296" s="28" t="s">
        <v>78</v>
      </c>
      <c r="AD296" t="s">
        <v>76</v>
      </c>
    </row>
    <row r="297" spans="2:30" x14ac:dyDescent="0.3">
      <c r="B297" s="28" t="s">
        <v>78</v>
      </c>
      <c r="C297" t="s">
        <v>75</v>
      </c>
      <c r="D297">
        <v>402</v>
      </c>
      <c r="E297">
        <v>31</v>
      </c>
      <c r="F297">
        <v>29.375</v>
      </c>
      <c r="G297">
        <v>460</v>
      </c>
      <c r="H297">
        <v>33</v>
      </c>
      <c r="I297">
        <v>31.375</v>
      </c>
      <c r="AA297">
        <v>52</v>
      </c>
      <c r="AB297">
        <v>50</v>
      </c>
      <c r="AC297" s="28" t="s">
        <v>77</v>
      </c>
      <c r="AD297" t="s">
        <v>72</v>
      </c>
    </row>
    <row r="298" spans="2:30" x14ac:dyDescent="0.3">
      <c r="B298" s="28" t="s">
        <v>78</v>
      </c>
      <c r="C298" t="s">
        <v>75</v>
      </c>
      <c r="D298">
        <v>460</v>
      </c>
      <c r="E298">
        <v>33</v>
      </c>
      <c r="F298">
        <v>31.375</v>
      </c>
      <c r="G298">
        <v>517</v>
      </c>
      <c r="H298">
        <v>35</v>
      </c>
      <c r="I298">
        <v>33.375</v>
      </c>
      <c r="AA298">
        <v>52</v>
      </c>
      <c r="AB298">
        <v>50</v>
      </c>
      <c r="AC298" s="28" t="s">
        <v>77</v>
      </c>
      <c r="AD298" t="s">
        <v>73</v>
      </c>
    </row>
    <row r="299" spans="2:30" x14ac:dyDescent="0.3">
      <c r="B299" s="28" t="s">
        <v>78</v>
      </c>
      <c r="C299" t="s">
        <v>75</v>
      </c>
      <c r="D299">
        <v>517</v>
      </c>
      <c r="E299">
        <v>35</v>
      </c>
      <c r="F299">
        <v>33.375</v>
      </c>
      <c r="G299">
        <v>588</v>
      </c>
      <c r="H299">
        <v>37</v>
      </c>
      <c r="I299">
        <v>35.25</v>
      </c>
      <c r="AA299">
        <v>52</v>
      </c>
      <c r="AB299">
        <v>50</v>
      </c>
      <c r="AC299" s="28" t="s">
        <v>77</v>
      </c>
      <c r="AD299" t="s">
        <v>74</v>
      </c>
    </row>
    <row r="300" spans="2:30" x14ac:dyDescent="0.3">
      <c r="B300" s="28" t="s">
        <v>78</v>
      </c>
      <c r="C300" t="s">
        <v>75</v>
      </c>
      <c r="D300">
        <v>588</v>
      </c>
      <c r="E300">
        <v>37</v>
      </c>
      <c r="F300">
        <v>35.25</v>
      </c>
      <c r="G300">
        <v>645</v>
      </c>
      <c r="H300">
        <v>39</v>
      </c>
      <c r="I300">
        <v>37.25</v>
      </c>
      <c r="AA300">
        <v>52</v>
      </c>
      <c r="AB300">
        <v>50</v>
      </c>
      <c r="AC300" s="28" t="s">
        <v>78</v>
      </c>
      <c r="AD300" t="s">
        <v>75</v>
      </c>
    </row>
    <row r="301" spans="2:30" x14ac:dyDescent="0.3">
      <c r="B301" s="28" t="s">
        <v>78</v>
      </c>
      <c r="C301" t="s">
        <v>75</v>
      </c>
      <c r="D301">
        <v>645</v>
      </c>
      <c r="E301">
        <v>39</v>
      </c>
      <c r="F301">
        <v>37.25</v>
      </c>
      <c r="G301">
        <v>745</v>
      </c>
      <c r="H301">
        <v>42</v>
      </c>
      <c r="I301">
        <v>40.25</v>
      </c>
      <c r="AA301">
        <v>52</v>
      </c>
      <c r="AB301">
        <v>50</v>
      </c>
      <c r="AC301" s="28" t="s">
        <v>78</v>
      </c>
      <c r="AD301" t="s">
        <v>76</v>
      </c>
    </row>
    <row r="302" spans="2:30" x14ac:dyDescent="0.3">
      <c r="B302" s="28" t="s">
        <v>78</v>
      </c>
      <c r="C302" t="s">
        <v>75</v>
      </c>
      <c r="D302">
        <v>745</v>
      </c>
      <c r="E302">
        <v>42</v>
      </c>
      <c r="F302">
        <v>40.25</v>
      </c>
      <c r="G302">
        <v>856</v>
      </c>
      <c r="H302">
        <v>44</v>
      </c>
      <c r="I302">
        <v>42.25</v>
      </c>
      <c r="AA302">
        <v>56</v>
      </c>
      <c r="AB302">
        <v>54</v>
      </c>
      <c r="AC302" s="28" t="s">
        <v>77</v>
      </c>
      <c r="AD302" t="s">
        <v>72</v>
      </c>
    </row>
    <row r="303" spans="2:30" x14ac:dyDescent="0.3">
      <c r="B303" s="28" t="s">
        <v>78</v>
      </c>
      <c r="C303" t="s">
        <v>75</v>
      </c>
      <c r="D303">
        <v>856</v>
      </c>
      <c r="E303">
        <v>44</v>
      </c>
      <c r="F303">
        <v>42.25</v>
      </c>
      <c r="G303">
        <v>1029</v>
      </c>
      <c r="H303">
        <v>48</v>
      </c>
      <c r="I303">
        <v>46</v>
      </c>
      <c r="AA303">
        <v>56</v>
      </c>
      <c r="AB303">
        <v>54</v>
      </c>
      <c r="AC303" s="28" t="s">
        <v>77</v>
      </c>
      <c r="AD303" t="s">
        <v>73</v>
      </c>
    </row>
    <row r="304" spans="2:30" x14ac:dyDescent="0.3">
      <c r="B304" s="28" t="s">
        <v>78</v>
      </c>
      <c r="C304" t="s">
        <v>75</v>
      </c>
      <c r="D304">
        <v>1029</v>
      </c>
      <c r="E304">
        <v>48</v>
      </c>
      <c r="F304">
        <v>46</v>
      </c>
      <c r="G304">
        <v>1216</v>
      </c>
      <c r="H304">
        <v>52</v>
      </c>
      <c r="I304">
        <v>50</v>
      </c>
      <c r="AA304">
        <v>56</v>
      </c>
      <c r="AB304">
        <v>54</v>
      </c>
      <c r="AC304" s="28" t="s">
        <v>77</v>
      </c>
      <c r="AD304" t="s">
        <v>74</v>
      </c>
    </row>
    <row r="305" spans="1:30" x14ac:dyDescent="0.3">
      <c r="B305" s="28" t="s">
        <v>78</v>
      </c>
      <c r="C305" t="s">
        <v>75</v>
      </c>
      <c r="D305">
        <v>1216</v>
      </c>
      <c r="E305">
        <v>52</v>
      </c>
      <c r="F305">
        <v>50</v>
      </c>
      <c r="G305">
        <v>1420</v>
      </c>
      <c r="H305">
        <v>56</v>
      </c>
      <c r="I305">
        <v>54</v>
      </c>
      <c r="AA305">
        <v>56</v>
      </c>
      <c r="AB305">
        <v>54</v>
      </c>
      <c r="AC305" s="28" t="s">
        <v>78</v>
      </c>
      <c r="AD305" t="s">
        <v>75</v>
      </c>
    </row>
    <row r="306" spans="1:30" x14ac:dyDescent="0.3">
      <c r="B306" s="28" t="s">
        <v>78</v>
      </c>
      <c r="C306" t="s">
        <v>75</v>
      </c>
      <c r="D306">
        <v>1420</v>
      </c>
      <c r="E306">
        <v>56</v>
      </c>
      <c r="F306">
        <v>54</v>
      </c>
      <c r="G306">
        <v>1420</v>
      </c>
      <c r="H306">
        <v>56</v>
      </c>
      <c r="I306">
        <v>54</v>
      </c>
      <c r="AA306">
        <v>56</v>
      </c>
      <c r="AB306">
        <v>54</v>
      </c>
      <c r="AC306" s="28" t="s">
        <v>78</v>
      </c>
      <c r="AD306" t="s">
        <v>76</v>
      </c>
    </row>
    <row r="307" spans="1:30" ht="28.8" x14ac:dyDescent="0.3">
      <c r="A307">
        <v>2</v>
      </c>
      <c r="B307" s="26" t="s">
        <v>68</v>
      </c>
      <c r="C307" s="26" t="s">
        <v>70</v>
      </c>
      <c r="D307" s="26">
        <v>2</v>
      </c>
      <c r="E307" s="26" t="s">
        <v>66</v>
      </c>
      <c r="F307" s="26" t="s">
        <v>67</v>
      </c>
    </row>
    <row r="308" spans="1:30" x14ac:dyDescent="0.3">
      <c r="B308" s="28" t="s">
        <v>77</v>
      </c>
      <c r="C308" t="s">
        <v>74</v>
      </c>
      <c r="D308">
        <v>30</v>
      </c>
      <c r="E308">
        <v>8.0709999999999997</v>
      </c>
      <c r="F308">
        <v>6.8209999999999997</v>
      </c>
      <c r="G308">
        <v>52</v>
      </c>
      <c r="H308">
        <v>10</v>
      </c>
      <c r="I308">
        <v>8.77</v>
      </c>
    </row>
    <row r="309" spans="1:30" x14ac:dyDescent="0.3">
      <c r="B309" s="28" t="s">
        <v>77</v>
      </c>
      <c r="C309" t="s">
        <v>74</v>
      </c>
      <c r="D309">
        <v>52</v>
      </c>
      <c r="E309">
        <v>10</v>
      </c>
      <c r="F309">
        <v>8.77</v>
      </c>
      <c r="G309">
        <v>84</v>
      </c>
      <c r="H309">
        <v>12</v>
      </c>
      <c r="I309">
        <v>10.75</v>
      </c>
    </row>
    <row r="310" spans="1:30" x14ac:dyDescent="0.3">
      <c r="B310" s="28" t="s">
        <v>77</v>
      </c>
      <c r="C310" t="s">
        <v>74</v>
      </c>
      <c r="D310">
        <v>84</v>
      </c>
      <c r="E310">
        <v>12</v>
      </c>
      <c r="F310">
        <v>10.75</v>
      </c>
      <c r="G310">
        <v>152</v>
      </c>
      <c r="H310">
        <v>15.25</v>
      </c>
      <c r="I310">
        <v>14</v>
      </c>
    </row>
    <row r="311" spans="1:30" x14ac:dyDescent="0.3">
      <c r="B311" s="28" t="s">
        <v>77</v>
      </c>
      <c r="C311" t="s">
        <v>74</v>
      </c>
      <c r="D311">
        <v>152</v>
      </c>
      <c r="E311">
        <v>15.25</v>
      </c>
      <c r="F311">
        <v>14</v>
      </c>
      <c r="G311">
        <v>201</v>
      </c>
      <c r="H311">
        <v>15.25</v>
      </c>
      <c r="I311">
        <v>16</v>
      </c>
    </row>
    <row r="312" spans="1:30" x14ac:dyDescent="0.3">
      <c r="B312" s="28" t="s">
        <v>77</v>
      </c>
      <c r="C312" t="s">
        <v>74</v>
      </c>
      <c r="D312">
        <v>201</v>
      </c>
      <c r="E312">
        <v>15.25</v>
      </c>
      <c r="F312">
        <v>16</v>
      </c>
      <c r="G312">
        <v>256</v>
      </c>
      <c r="H312">
        <v>19.25</v>
      </c>
      <c r="I312">
        <v>18</v>
      </c>
    </row>
    <row r="313" spans="1:30" x14ac:dyDescent="0.3">
      <c r="B313" s="28" t="s">
        <v>77</v>
      </c>
      <c r="C313" t="s">
        <v>74</v>
      </c>
      <c r="D313">
        <v>256</v>
      </c>
      <c r="E313">
        <v>19.25</v>
      </c>
      <c r="F313">
        <v>18</v>
      </c>
      <c r="G313">
        <v>308</v>
      </c>
      <c r="H313">
        <v>21.25</v>
      </c>
      <c r="I313">
        <v>19.25</v>
      </c>
    </row>
    <row r="314" spans="1:30" x14ac:dyDescent="0.3">
      <c r="B314" s="28" t="s">
        <v>77</v>
      </c>
      <c r="C314" t="s">
        <v>74</v>
      </c>
      <c r="D314">
        <v>308</v>
      </c>
      <c r="E314">
        <v>21.25</v>
      </c>
      <c r="F314">
        <v>19.25</v>
      </c>
      <c r="G314">
        <v>369</v>
      </c>
      <c r="H314">
        <v>23.25</v>
      </c>
      <c r="I314">
        <v>21.5</v>
      </c>
    </row>
    <row r="315" spans="1:30" x14ac:dyDescent="0.3">
      <c r="B315" s="28" t="s">
        <v>77</v>
      </c>
      <c r="C315" t="s">
        <v>74</v>
      </c>
      <c r="D315">
        <v>369</v>
      </c>
      <c r="E315">
        <v>23.25</v>
      </c>
      <c r="F315">
        <v>21.5</v>
      </c>
      <c r="G315">
        <v>404</v>
      </c>
      <c r="H315">
        <v>13.25</v>
      </c>
      <c r="I315">
        <v>12</v>
      </c>
    </row>
    <row r="316" spans="1:30" x14ac:dyDescent="0.3">
      <c r="B316" s="28" t="s">
        <v>77</v>
      </c>
      <c r="C316" t="s">
        <v>74</v>
      </c>
      <c r="D316">
        <v>404</v>
      </c>
      <c r="E316">
        <v>13.25</v>
      </c>
      <c r="F316">
        <v>12</v>
      </c>
      <c r="G316">
        <v>452</v>
      </c>
      <c r="H316">
        <v>25</v>
      </c>
      <c r="I316">
        <v>23.375</v>
      </c>
    </row>
    <row r="317" spans="1:30" x14ac:dyDescent="0.3">
      <c r="B317" s="28" t="s">
        <v>77</v>
      </c>
      <c r="C317" t="s">
        <v>74</v>
      </c>
      <c r="D317">
        <v>452</v>
      </c>
      <c r="E317">
        <v>25</v>
      </c>
      <c r="F317">
        <v>23.375</v>
      </c>
      <c r="G317">
        <v>534</v>
      </c>
      <c r="H317">
        <v>27</v>
      </c>
      <c r="I317">
        <v>25.375</v>
      </c>
    </row>
    <row r="318" spans="1:30" x14ac:dyDescent="0.3">
      <c r="B318" s="28" t="s">
        <v>77</v>
      </c>
      <c r="C318" t="s">
        <v>74</v>
      </c>
      <c r="D318">
        <v>534</v>
      </c>
      <c r="E318">
        <v>27</v>
      </c>
      <c r="F318">
        <v>25.375</v>
      </c>
      <c r="G318">
        <v>604</v>
      </c>
      <c r="H318">
        <v>29</v>
      </c>
      <c r="I318">
        <v>27.375</v>
      </c>
    </row>
    <row r="319" spans="1:30" x14ac:dyDescent="0.3">
      <c r="B319" s="28" t="s">
        <v>77</v>
      </c>
      <c r="C319" t="s">
        <v>74</v>
      </c>
      <c r="D319">
        <v>604</v>
      </c>
      <c r="E319">
        <v>29</v>
      </c>
      <c r="F319">
        <v>27.375</v>
      </c>
      <c r="G319">
        <v>728</v>
      </c>
      <c r="H319">
        <v>31</v>
      </c>
      <c r="I319">
        <v>29.375</v>
      </c>
    </row>
    <row r="320" spans="1:30" x14ac:dyDescent="0.3">
      <c r="B320" s="28" t="s">
        <v>77</v>
      </c>
      <c r="C320" t="s">
        <v>74</v>
      </c>
      <c r="D320">
        <v>728</v>
      </c>
      <c r="E320">
        <v>31</v>
      </c>
      <c r="F320">
        <v>29.375</v>
      </c>
      <c r="G320">
        <v>830</v>
      </c>
      <c r="H320">
        <v>33</v>
      </c>
      <c r="I320">
        <v>31.375</v>
      </c>
    </row>
    <row r="321" spans="2:9" x14ac:dyDescent="0.3">
      <c r="B321" s="28" t="s">
        <v>77</v>
      </c>
      <c r="C321" t="s">
        <v>74</v>
      </c>
      <c r="D321">
        <v>830</v>
      </c>
      <c r="E321">
        <v>33</v>
      </c>
      <c r="F321">
        <v>31.375</v>
      </c>
      <c r="G321">
        <v>938</v>
      </c>
      <c r="H321">
        <v>35</v>
      </c>
      <c r="I321">
        <v>33.375</v>
      </c>
    </row>
    <row r="322" spans="2:9" x14ac:dyDescent="0.3">
      <c r="B322" s="28" t="s">
        <v>77</v>
      </c>
      <c r="C322" t="s">
        <v>74</v>
      </c>
      <c r="D322">
        <v>938</v>
      </c>
      <c r="E322">
        <v>35</v>
      </c>
      <c r="F322">
        <v>33.375</v>
      </c>
      <c r="G322">
        <v>1042</v>
      </c>
      <c r="H322">
        <v>37</v>
      </c>
      <c r="I322">
        <v>35.25</v>
      </c>
    </row>
    <row r="323" spans="2:9" x14ac:dyDescent="0.3">
      <c r="B323" s="28" t="s">
        <v>77</v>
      </c>
      <c r="C323" t="s">
        <v>74</v>
      </c>
      <c r="D323">
        <v>1042</v>
      </c>
      <c r="E323">
        <v>37</v>
      </c>
      <c r="F323">
        <v>35.25</v>
      </c>
      <c r="G323">
        <v>1176</v>
      </c>
      <c r="H323">
        <v>39</v>
      </c>
      <c r="I323">
        <v>37.25</v>
      </c>
    </row>
    <row r="324" spans="2:9" x14ac:dyDescent="0.3">
      <c r="B324" s="28" t="s">
        <v>77</v>
      </c>
      <c r="C324" t="s">
        <v>74</v>
      </c>
      <c r="D324">
        <v>1176</v>
      </c>
      <c r="E324">
        <v>39</v>
      </c>
      <c r="F324">
        <v>37.25</v>
      </c>
      <c r="G324">
        <v>1378</v>
      </c>
      <c r="H324">
        <v>42</v>
      </c>
      <c r="I324">
        <v>40.25</v>
      </c>
    </row>
    <row r="325" spans="2:9" x14ac:dyDescent="0.3">
      <c r="B325" s="28" t="s">
        <v>77</v>
      </c>
      <c r="C325" t="s">
        <v>74</v>
      </c>
      <c r="D325">
        <v>1378</v>
      </c>
      <c r="E325">
        <v>42</v>
      </c>
      <c r="F325">
        <v>40.25</v>
      </c>
      <c r="G325">
        <v>1535</v>
      </c>
      <c r="H325">
        <v>44</v>
      </c>
      <c r="I325">
        <v>42.25</v>
      </c>
    </row>
    <row r="326" spans="2:9" x14ac:dyDescent="0.3">
      <c r="B326" s="28" t="s">
        <v>77</v>
      </c>
      <c r="C326" t="s">
        <v>74</v>
      </c>
      <c r="D326">
        <v>1535</v>
      </c>
      <c r="E326">
        <v>44</v>
      </c>
      <c r="F326">
        <v>42.25</v>
      </c>
      <c r="G326">
        <v>1845</v>
      </c>
      <c r="H326">
        <v>48</v>
      </c>
      <c r="I326">
        <v>46</v>
      </c>
    </row>
    <row r="327" spans="2:9" x14ac:dyDescent="0.3">
      <c r="B327" s="28" t="s">
        <v>77</v>
      </c>
      <c r="C327" t="s">
        <v>74</v>
      </c>
      <c r="D327">
        <v>1845</v>
      </c>
      <c r="E327">
        <v>48</v>
      </c>
      <c r="F327">
        <v>46</v>
      </c>
      <c r="G327">
        <v>2183</v>
      </c>
      <c r="H327">
        <v>52</v>
      </c>
      <c r="I327">
        <v>50</v>
      </c>
    </row>
    <row r="328" spans="2:9" x14ac:dyDescent="0.3">
      <c r="B328" s="28" t="s">
        <v>77</v>
      </c>
      <c r="C328" t="s">
        <v>74</v>
      </c>
      <c r="D328">
        <v>2183</v>
      </c>
      <c r="E328">
        <v>52</v>
      </c>
      <c r="F328">
        <v>50</v>
      </c>
      <c r="G328">
        <v>2545</v>
      </c>
      <c r="H328">
        <v>56</v>
      </c>
      <c r="I328">
        <v>54</v>
      </c>
    </row>
    <row r="329" spans="2:9" x14ac:dyDescent="0.3">
      <c r="B329" s="28" t="s">
        <v>77</v>
      </c>
      <c r="C329" t="s">
        <v>74</v>
      </c>
      <c r="D329">
        <v>2545</v>
      </c>
      <c r="E329">
        <v>56</v>
      </c>
      <c r="F329">
        <v>54</v>
      </c>
      <c r="G329">
        <v>26</v>
      </c>
      <c r="H329">
        <v>8.0709999999999997</v>
      </c>
      <c r="I329">
        <v>6.8209999999999997</v>
      </c>
    </row>
    <row r="330" spans="2:9" x14ac:dyDescent="0.3">
      <c r="B330" s="28" t="s">
        <v>77</v>
      </c>
      <c r="C330" t="s">
        <v>73</v>
      </c>
      <c r="D330">
        <v>26</v>
      </c>
      <c r="E330">
        <v>8.0709999999999997</v>
      </c>
      <c r="F330">
        <v>6.8209999999999997</v>
      </c>
      <c r="G330">
        <v>52</v>
      </c>
      <c r="H330">
        <v>10</v>
      </c>
      <c r="I330">
        <v>8.77</v>
      </c>
    </row>
    <row r="331" spans="2:9" x14ac:dyDescent="0.3">
      <c r="B331" s="28" t="s">
        <v>77</v>
      </c>
      <c r="C331" t="s">
        <v>73</v>
      </c>
      <c r="D331">
        <v>52</v>
      </c>
      <c r="E331">
        <v>10</v>
      </c>
      <c r="F331">
        <v>8.77</v>
      </c>
      <c r="G331">
        <v>72</v>
      </c>
      <c r="H331">
        <v>12</v>
      </c>
      <c r="I331">
        <v>10.75</v>
      </c>
    </row>
    <row r="332" spans="2:9" x14ac:dyDescent="0.3">
      <c r="B332" s="28" t="s">
        <v>77</v>
      </c>
      <c r="C332" t="s">
        <v>73</v>
      </c>
      <c r="D332">
        <v>72</v>
      </c>
      <c r="E332">
        <v>12</v>
      </c>
      <c r="F332">
        <v>10.75</v>
      </c>
      <c r="G332">
        <v>90</v>
      </c>
      <c r="H332">
        <v>13.25</v>
      </c>
      <c r="I332">
        <v>12</v>
      </c>
    </row>
    <row r="333" spans="2:9" x14ac:dyDescent="0.3">
      <c r="B333" s="28" t="s">
        <v>77</v>
      </c>
      <c r="C333" t="s">
        <v>73</v>
      </c>
      <c r="D333">
        <v>90</v>
      </c>
      <c r="E333">
        <v>13.25</v>
      </c>
      <c r="F333">
        <v>12</v>
      </c>
      <c r="G333">
        <v>132</v>
      </c>
      <c r="H333">
        <v>15.25</v>
      </c>
      <c r="I333">
        <v>14</v>
      </c>
    </row>
    <row r="334" spans="2:9" x14ac:dyDescent="0.3">
      <c r="B334" s="28" t="s">
        <v>77</v>
      </c>
      <c r="C334" t="s">
        <v>73</v>
      </c>
      <c r="D334">
        <v>132</v>
      </c>
      <c r="E334">
        <v>15.25</v>
      </c>
      <c r="F334">
        <v>14</v>
      </c>
      <c r="G334">
        <v>178</v>
      </c>
      <c r="H334">
        <v>15.25</v>
      </c>
      <c r="I334">
        <v>16</v>
      </c>
    </row>
    <row r="335" spans="2:9" x14ac:dyDescent="0.3">
      <c r="B335" s="28" t="s">
        <v>77</v>
      </c>
      <c r="C335" t="s">
        <v>73</v>
      </c>
      <c r="D335">
        <v>178</v>
      </c>
      <c r="E335">
        <v>15.25</v>
      </c>
      <c r="F335">
        <v>16</v>
      </c>
      <c r="G335">
        <v>224</v>
      </c>
      <c r="H335">
        <v>19.25</v>
      </c>
      <c r="I335">
        <v>18</v>
      </c>
    </row>
    <row r="336" spans="2:9" x14ac:dyDescent="0.3">
      <c r="B336" s="28" t="s">
        <v>77</v>
      </c>
      <c r="C336" t="s">
        <v>73</v>
      </c>
      <c r="D336">
        <v>224</v>
      </c>
      <c r="E336">
        <v>19.25</v>
      </c>
      <c r="F336">
        <v>18</v>
      </c>
      <c r="G336">
        <v>264</v>
      </c>
      <c r="H336">
        <v>21.25</v>
      </c>
      <c r="I336">
        <v>19.25</v>
      </c>
    </row>
    <row r="337" spans="2:9" x14ac:dyDescent="0.3">
      <c r="B337" s="28" t="s">
        <v>77</v>
      </c>
      <c r="C337" t="s">
        <v>73</v>
      </c>
      <c r="D337">
        <v>264</v>
      </c>
      <c r="E337">
        <v>21.25</v>
      </c>
      <c r="F337">
        <v>19.25</v>
      </c>
      <c r="G337">
        <v>321</v>
      </c>
      <c r="H337">
        <v>23.25</v>
      </c>
      <c r="I337">
        <v>21.5</v>
      </c>
    </row>
    <row r="338" spans="2:9" x14ac:dyDescent="0.3">
      <c r="B338" s="28" t="s">
        <v>77</v>
      </c>
      <c r="C338" t="s">
        <v>73</v>
      </c>
      <c r="D338">
        <v>321</v>
      </c>
      <c r="E338">
        <v>23.25</v>
      </c>
      <c r="F338">
        <v>21.5</v>
      </c>
      <c r="G338">
        <v>391</v>
      </c>
      <c r="H338">
        <v>25</v>
      </c>
      <c r="I338">
        <v>23.375</v>
      </c>
    </row>
    <row r="339" spans="2:9" x14ac:dyDescent="0.3">
      <c r="B339" s="28" t="s">
        <v>77</v>
      </c>
      <c r="C339" t="s">
        <v>73</v>
      </c>
      <c r="D339">
        <v>391</v>
      </c>
      <c r="E339">
        <v>25</v>
      </c>
      <c r="F339">
        <v>23.375</v>
      </c>
      <c r="G339">
        <v>452</v>
      </c>
      <c r="H339">
        <v>27</v>
      </c>
      <c r="I339">
        <v>25.375</v>
      </c>
    </row>
    <row r="340" spans="2:9" x14ac:dyDescent="0.3">
      <c r="B340" s="28" t="s">
        <v>77</v>
      </c>
      <c r="C340" t="s">
        <v>73</v>
      </c>
      <c r="D340">
        <v>452</v>
      </c>
      <c r="E340">
        <v>27</v>
      </c>
      <c r="F340">
        <v>25.375</v>
      </c>
      <c r="G340">
        <v>542</v>
      </c>
      <c r="H340">
        <v>29</v>
      </c>
      <c r="I340">
        <v>27.375</v>
      </c>
    </row>
    <row r="341" spans="2:9" x14ac:dyDescent="0.3">
      <c r="B341" s="28" t="s">
        <v>77</v>
      </c>
      <c r="C341" t="s">
        <v>73</v>
      </c>
      <c r="D341">
        <v>542</v>
      </c>
      <c r="E341">
        <v>29</v>
      </c>
      <c r="F341">
        <v>27.375</v>
      </c>
      <c r="G341">
        <v>616</v>
      </c>
      <c r="H341">
        <v>31</v>
      </c>
      <c r="I341">
        <v>29.375</v>
      </c>
    </row>
    <row r="342" spans="2:9" x14ac:dyDescent="0.3">
      <c r="B342" s="28" t="s">
        <v>77</v>
      </c>
      <c r="C342" t="s">
        <v>73</v>
      </c>
      <c r="D342">
        <v>616</v>
      </c>
      <c r="E342">
        <v>31</v>
      </c>
      <c r="F342">
        <v>29.375</v>
      </c>
      <c r="G342">
        <v>713</v>
      </c>
      <c r="H342">
        <v>33</v>
      </c>
      <c r="I342">
        <v>31.375</v>
      </c>
    </row>
    <row r="343" spans="2:9" x14ac:dyDescent="0.3">
      <c r="B343" s="28" t="s">
        <v>77</v>
      </c>
      <c r="C343" t="s">
        <v>73</v>
      </c>
      <c r="D343">
        <v>713</v>
      </c>
      <c r="E343">
        <v>33</v>
      </c>
      <c r="F343">
        <v>31.375</v>
      </c>
      <c r="G343">
        <v>811</v>
      </c>
      <c r="H343">
        <v>35</v>
      </c>
      <c r="I343">
        <v>33.375</v>
      </c>
    </row>
    <row r="344" spans="2:9" x14ac:dyDescent="0.3">
      <c r="B344" s="28" t="s">
        <v>77</v>
      </c>
      <c r="C344" t="s">
        <v>73</v>
      </c>
      <c r="D344">
        <v>811</v>
      </c>
      <c r="E344">
        <v>35</v>
      </c>
      <c r="F344">
        <v>33.375</v>
      </c>
      <c r="G344">
        <v>902</v>
      </c>
      <c r="H344">
        <v>37</v>
      </c>
      <c r="I344">
        <v>35.25</v>
      </c>
    </row>
    <row r="345" spans="2:9" x14ac:dyDescent="0.3">
      <c r="B345" s="28" t="s">
        <v>77</v>
      </c>
      <c r="C345" t="s">
        <v>73</v>
      </c>
      <c r="D345">
        <v>902</v>
      </c>
      <c r="E345">
        <v>37</v>
      </c>
      <c r="F345">
        <v>35.25</v>
      </c>
      <c r="G345">
        <v>1012</v>
      </c>
      <c r="H345">
        <v>39</v>
      </c>
      <c r="I345">
        <v>37.25</v>
      </c>
    </row>
    <row r="346" spans="2:9" x14ac:dyDescent="0.3">
      <c r="B346" s="28" t="s">
        <v>77</v>
      </c>
      <c r="C346" t="s">
        <v>73</v>
      </c>
      <c r="D346">
        <v>1012</v>
      </c>
      <c r="E346">
        <v>39</v>
      </c>
      <c r="F346">
        <v>37.25</v>
      </c>
      <c r="G346">
        <v>1171</v>
      </c>
      <c r="H346">
        <v>42</v>
      </c>
      <c r="I346">
        <v>40.25</v>
      </c>
    </row>
    <row r="347" spans="2:9" x14ac:dyDescent="0.3">
      <c r="B347" s="28" t="s">
        <v>77</v>
      </c>
      <c r="C347" t="s">
        <v>73</v>
      </c>
      <c r="D347">
        <v>1171</v>
      </c>
      <c r="E347">
        <v>42</v>
      </c>
      <c r="F347">
        <v>40.25</v>
      </c>
      <c r="G347">
        <v>1327</v>
      </c>
      <c r="H347">
        <v>44</v>
      </c>
      <c r="I347">
        <v>42.25</v>
      </c>
    </row>
    <row r="348" spans="2:9" x14ac:dyDescent="0.3">
      <c r="B348" s="28" t="s">
        <v>77</v>
      </c>
      <c r="C348" t="s">
        <v>73</v>
      </c>
      <c r="D348">
        <v>1327</v>
      </c>
      <c r="E348">
        <v>44</v>
      </c>
      <c r="F348">
        <v>42.25</v>
      </c>
      <c r="G348">
        <v>1598</v>
      </c>
      <c r="H348">
        <v>48</v>
      </c>
      <c r="I348">
        <v>46</v>
      </c>
    </row>
    <row r="349" spans="2:9" x14ac:dyDescent="0.3">
      <c r="B349" s="28" t="s">
        <v>77</v>
      </c>
      <c r="C349" t="s">
        <v>73</v>
      </c>
      <c r="D349">
        <v>1598</v>
      </c>
      <c r="E349">
        <v>48</v>
      </c>
      <c r="F349">
        <v>46</v>
      </c>
      <c r="G349">
        <v>1890</v>
      </c>
      <c r="H349">
        <v>52</v>
      </c>
      <c r="I349">
        <v>50</v>
      </c>
    </row>
    <row r="350" spans="2:9" x14ac:dyDescent="0.3">
      <c r="B350" s="28" t="s">
        <v>77</v>
      </c>
      <c r="C350" t="s">
        <v>73</v>
      </c>
      <c r="D350">
        <v>1890</v>
      </c>
      <c r="E350">
        <v>52</v>
      </c>
      <c r="F350">
        <v>50</v>
      </c>
      <c r="G350">
        <v>2214</v>
      </c>
      <c r="H350">
        <v>56</v>
      </c>
      <c r="I350">
        <v>54</v>
      </c>
    </row>
    <row r="351" spans="2:9" x14ac:dyDescent="0.3">
      <c r="B351" s="28" t="s">
        <v>77</v>
      </c>
      <c r="C351" t="s">
        <v>73</v>
      </c>
      <c r="D351">
        <v>2214</v>
      </c>
      <c r="E351">
        <v>56</v>
      </c>
      <c r="F351">
        <v>54</v>
      </c>
      <c r="G351">
        <v>32</v>
      </c>
      <c r="H351">
        <v>8.0709999999999997</v>
      </c>
      <c r="I351">
        <v>6.8209999999999997</v>
      </c>
    </row>
    <row r="352" spans="2:9" x14ac:dyDescent="0.3">
      <c r="B352" s="28" t="s">
        <v>77</v>
      </c>
      <c r="C352" t="s">
        <v>72</v>
      </c>
      <c r="D352">
        <v>32</v>
      </c>
      <c r="E352">
        <v>8.0709999999999997</v>
      </c>
      <c r="F352">
        <v>6.8209999999999997</v>
      </c>
      <c r="G352">
        <v>56</v>
      </c>
      <c r="H352">
        <v>10</v>
      </c>
      <c r="I352">
        <v>8.77</v>
      </c>
    </row>
    <row r="353" spans="2:9" x14ac:dyDescent="0.3">
      <c r="B353" s="28" t="s">
        <v>77</v>
      </c>
      <c r="C353" t="s">
        <v>72</v>
      </c>
      <c r="D353">
        <v>56</v>
      </c>
      <c r="E353">
        <v>10</v>
      </c>
      <c r="F353">
        <v>8.77</v>
      </c>
      <c r="G353">
        <v>98</v>
      </c>
      <c r="H353">
        <v>12</v>
      </c>
      <c r="I353">
        <v>10.75</v>
      </c>
    </row>
    <row r="354" spans="2:9" x14ac:dyDescent="0.3">
      <c r="B354" s="28" t="s">
        <v>77</v>
      </c>
      <c r="C354" t="s">
        <v>72</v>
      </c>
      <c r="D354">
        <v>98</v>
      </c>
      <c r="E354">
        <v>12</v>
      </c>
      <c r="F354">
        <v>10.75</v>
      </c>
      <c r="G354">
        <v>114</v>
      </c>
      <c r="H354">
        <v>13.25</v>
      </c>
      <c r="I354">
        <v>12</v>
      </c>
    </row>
    <row r="355" spans="2:9" x14ac:dyDescent="0.3">
      <c r="B355" s="28" t="s">
        <v>77</v>
      </c>
      <c r="C355" t="s">
        <v>72</v>
      </c>
      <c r="D355">
        <v>114</v>
      </c>
      <c r="E355">
        <v>13.25</v>
      </c>
      <c r="F355">
        <v>12</v>
      </c>
      <c r="G355">
        <v>160</v>
      </c>
      <c r="H355">
        <v>15.25</v>
      </c>
      <c r="I355">
        <v>14</v>
      </c>
    </row>
    <row r="356" spans="2:9" x14ac:dyDescent="0.3">
      <c r="B356" s="28" t="s">
        <v>77</v>
      </c>
      <c r="C356" t="s">
        <v>72</v>
      </c>
      <c r="D356">
        <v>160</v>
      </c>
      <c r="E356">
        <v>15.25</v>
      </c>
      <c r="F356">
        <v>14</v>
      </c>
      <c r="G356">
        <v>224</v>
      </c>
      <c r="H356">
        <v>15.25</v>
      </c>
      <c r="I356">
        <v>16</v>
      </c>
    </row>
    <row r="357" spans="2:9" x14ac:dyDescent="0.3">
      <c r="B357" s="28" t="s">
        <v>77</v>
      </c>
      <c r="C357" t="s">
        <v>72</v>
      </c>
      <c r="D357">
        <v>224</v>
      </c>
      <c r="E357">
        <v>15.25</v>
      </c>
      <c r="F357">
        <v>16</v>
      </c>
      <c r="G357">
        <v>282</v>
      </c>
      <c r="H357">
        <v>19.25</v>
      </c>
      <c r="I357">
        <v>18</v>
      </c>
    </row>
    <row r="358" spans="2:9" x14ac:dyDescent="0.3">
      <c r="B358" s="28" t="s">
        <v>77</v>
      </c>
      <c r="C358" t="s">
        <v>72</v>
      </c>
      <c r="D358">
        <v>282</v>
      </c>
      <c r="E358">
        <v>19.25</v>
      </c>
      <c r="F358">
        <v>18</v>
      </c>
      <c r="G358">
        <v>342</v>
      </c>
      <c r="H358">
        <v>21.25</v>
      </c>
      <c r="I358">
        <v>19.25</v>
      </c>
    </row>
    <row r="359" spans="2:9" x14ac:dyDescent="0.3">
      <c r="B359" s="28" t="s">
        <v>77</v>
      </c>
      <c r="C359" t="s">
        <v>72</v>
      </c>
      <c r="D359">
        <v>342</v>
      </c>
      <c r="E359">
        <v>21.25</v>
      </c>
      <c r="F359">
        <v>19.25</v>
      </c>
      <c r="G359">
        <v>420</v>
      </c>
      <c r="H359">
        <v>23.25</v>
      </c>
      <c r="I359">
        <v>21.5</v>
      </c>
    </row>
    <row r="360" spans="2:9" x14ac:dyDescent="0.3">
      <c r="B360" s="28" t="s">
        <v>77</v>
      </c>
      <c r="C360" t="s">
        <v>72</v>
      </c>
      <c r="D360">
        <v>420</v>
      </c>
      <c r="E360">
        <v>23.25</v>
      </c>
      <c r="F360">
        <v>21.5</v>
      </c>
      <c r="G360">
        <v>506</v>
      </c>
      <c r="H360">
        <v>25</v>
      </c>
      <c r="I360">
        <v>23.375</v>
      </c>
    </row>
    <row r="361" spans="2:9" x14ac:dyDescent="0.3">
      <c r="B361" s="28" t="s">
        <v>77</v>
      </c>
      <c r="C361" t="s">
        <v>72</v>
      </c>
      <c r="D361">
        <v>506</v>
      </c>
      <c r="E361">
        <v>25</v>
      </c>
      <c r="F361">
        <v>23.375</v>
      </c>
      <c r="G361">
        <v>602</v>
      </c>
      <c r="H361">
        <v>27</v>
      </c>
      <c r="I361">
        <v>25.375</v>
      </c>
    </row>
    <row r="362" spans="2:9" x14ac:dyDescent="0.3">
      <c r="B362" s="28" t="s">
        <v>77</v>
      </c>
      <c r="C362" t="s">
        <v>72</v>
      </c>
      <c r="D362">
        <v>602</v>
      </c>
      <c r="E362">
        <v>27</v>
      </c>
      <c r="F362">
        <v>25.375</v>
      </c>
      <c r="G362">
        <v>692</v>
      </c>
      <c r="H362">
        <v>29</v>
      </c>
      <c r="I362">
        <v>27.375</v>
      </c>
    </row>
    <row r="363" spans="2:9" x14ac:dyDescent="0.3">
      <c r="B363" s="28" t="s">
        <v>77</v>
      </c>
      <c r="C363" t="s">
        <v>72</v>
      </c>
      <c r="D363">
        <v>692</v>
      </c>
      <c r="E363">
        <v>29</v>
      </c>
      <c r="F363">
        <v>27.375</v>
      </c>
      <c r="G363">
        <v>822</v>
      </c>
      <c r="H363">
        <v>31</v>
      </c>
      <c r="I363">
        <v>29.375</v>
      </c>
    </row>
    <row r="364" spans="2:9" x14ac:dyDescent="0.3">
      <c r="B364" s="28" t="s">
        <v>77</v>
      </c>
      <c r="C364" t="s">
        <v>72</v>
      </c>
      <c r="D364">
        <v>822</v>
      </c>
      <c r="E364">
        <v>31</v>
      </c>
      <c r="F364">
        <v>29.375</v>
      </c>
      <c r="G364">
        <v>938</v>
      </c>
      <c r="H364">
        <v>33</v>
      </c>
      <c r="I364">
        <v>31.375</v>
      </c>
    </row>
    <row r="365" spans="2:9" x14ac:dyDescent="0.3">
      <c r="B365" s="28" t="s">
        <v>77</v>
      </c>
      <c r="C365" t="s">
        <v>72</v>
      </c>
      <c r="D365">
        <v>938</v>
      </c>
      <c r="E365">
        <v>33</v>
      </c>
      <c r="F365">
        <v>31.375</v>
      </c>
      <c r="G365">
        <v>1068</v>
      </c>
      <c r="H365">
        <v>35</v>
      </c>
      <c r="I365">
        <v>33.375</v>
      </c>
    </row>
    <row r="366" spans="2:9" x14ac:dyDescent="0.3">
      <c r="B366" s="28" t="s">
        <v>77</v>
      </c>
      <c r="C366" t="s">
        <v>72</v>
      </c>
      <c r="D366">
        <v>1068</v>
      </c>
      <c r="E366">
        <v>35</v>
      </c>
      <c r="F366">
        <v>33.375</v>
      </c>
      <c r="G366">
        <v>1200</v>
      </c>
      <c r="H366">
        <v>37</v>
      </c>
      <c r="I366">
        <v>35.25</v>
      </c>
    </row>
    <row r="367" spans="2:9" x14ac:dyDescent="0.3">
      <c r="B367" s="28" t="s">
        <v>77</v>
      </c>
      <c r="C367" t="s">
        <v>72</v>
      </c>
      <c r="D367">
        <v>1200</v>
      </c>
      <c r="E367">
        <v>37</v>
      </c>
      <c r="F367">
        <v>35.25</v>
      </c>
      <c r="G367">
        <v>1330</v>
      </c>
      <c r="H367">
        <v>39</v>
      </c>
      <c r="I367">
        <v>37.25</v>
      </c>
    </row>
    <row r="368" spans="2:9" x14ac:dyDescent="0.3">
      <c r="B368" s="28" t="s">
        <v>77</v>
      </c>
      <c r="C368" t="s">
        <v>72</v>
      </c>
      <c r="D368">
        <v>1330</v>
      </c>
      <c r="E368">
        <v>39</v>
      </c>
      <c r="F368">
        <v>37.25</v>
      </c>
      <c r="G368">
        <v>1580</v>
      </c>
      <c r="H368">
        <v>42</v>
      </c>
      <c r="I368">
        <v>40.25</v>
      </c>
    </row>
    <row r="369" spans="2:9" x14ac:dyDescent="0.3">
      <c r="B369" s="28" t="s">
        <v>77</v>
      </c>
      <c r="C369" t="s">
        <v>72</v>
      </c>
      <c r="D369">
        <v>1580</v>
      </c>
      <c r="E369">
        <v>42</v>
      </c>
      <c r="F369">
        <v>40.25</v>
      </c>
      <c r="G369">
        <v>1738</v>
      </c>
      <c r="H369">
        <v>44</v>
      </c>
      <c r="I369">
        <v>42.25</v>
      </c>
    </row>
    <row r="370" spans="2:9" x14ac:dyDescent="0.3">
      <c r="B370" s="28" t="s">
        <v>77</v>
      </c>
      <c r="C370" t="s">
        <v>72</v>
      </c>
      <c r="D370">
        <v>1738</v>
      </c>
      <c r="E370">
        <v>44</v>
      </c>
      <c r="F370">
        <v>42.25</v>
      </c>
      <c r="G370">
        <v>1908</v>
      </c>
      <c r="H370">
        <v>48</v>
      </c>
      <c r="I370">
        <v>46</v>
      </c>
    </row>
    <row r="371" spans="2:9" x14ac:dyDescent="0.3">
      <c r="B371" s="28" t="s">
        <v>77</v>
      </c>
      <c r="C371" t="s">
        <v>72</v>
      </c>
      <c r="D371">
        <v>1908</v>
      </c>
      <c r="E371">
        <v>48</v>
      </c>
      <c r="F371">
        <v>46</v>
      </c>
      <c r="G371">
        <v>2273</v>
      </c>
      <c r="H371">
        <v>52</v>
      </c>
      <c r="I371">
        <v>50</v>
      </c>
    </row>
    <row r="372" spans="2:9" x14ac:dyDescent="0.3">
      <c r="B372" s="28" t="s">
        <v>77</v>
      </c>
      <c r="C372" t="s">
        <v>72</v>
      </c>
      <c r="D372">
        <v>2273</v>
      </c>
      <c r="E372">
        <v>52</v>
      </c>
      <c r="F372">
        <v>50</v>
      </c>
      <c r="G372">
        <v>2660</v>
      </c>
      <c r="H372">
        <v>56</v>
      </c>
      <c r="I372">
        <v>54</v>
      </c>
    </row>
    <row r="373" spans="2:9" x14ac:dyDescent="0.3">
      <c r="B373" s="28" t="s">
        <v>77</v>
      </c>
      <c r="C373" t="s">
        <v>72</v>
      </c>
      <c r="D373">
        <v>2660</v>
      </c>
      <c r="E373">
        <v>56</v>
      </c>
      <c r="F373">
        <v>54</v>
      </c>
      <c r="G373">
        <v>18</v>
      </c>
      <c r="H373">
        <v>8.0709999999999997</v>
      </c>
      <c r="I373">
        <v>6.8209999999999997</v>
      </c>
    </row>
    <row r="374" spans="2:9" x14ac:dyDescent="0.3">
      <c r="B374" s="28" t="s">
        <v>78</v>
      </c>
      <c r="C374" t="s">
        <v>76</v>
      </c>
      <c r="D374">
        <v>18</v>
      </c>
      <c r="E374">
        <v>8.0709999999999997</v>
      </c>
      <c r="F374">
        <v>6.8209999999999997</v>
      </c>
      <c r="G374">
        <v>32</v>
      </c>
      <c r="H374">
        <v>10</v>
      </c>
      <c r="I374">
        <v>8.77</v>
      </c>
    </row>
    <row r="375" spans="2:9" x14ac:dyDescent="0.3">
      <c r="B375" s="28" t="s">
        <v>78</v>
      </c>
      <c r="C375" t="s">
        <v>76</v>
      </c>
      <c r="D375">
        <v>32</v>
      </c>
      <c r="E375">
        <v>10</v>
      </c>
      <c r="F375">
        <v>8.77</v>
      </c>
      <c r="G375">
        <v>52</v>
      </c>
      <c r="H375">
        <v>12</v>
      </c>
      <c r="I375">
        <v>10.75</v>
      </c>
    </row>
    <row r="376" spans="2:9" x14ac:dyDescent="0.3">
      <c r="B376" s="28" t="s">
        <v>78</v>
      </c>
      <c r="C376" t="s">
        <v>76</v>
      </c>
      <c r="D376">
        <v>52</v>
      </c>
      <c r="E376">
        <v>12</v>
      </c>
      <c r="F376">
        <v>10.75</v>
      </c>
      <c r="G376">
        <v>63</v>
      </c>
      <c r="H376">
        <v>13.25</v>
      </c>
      <c r="I376">
        <v>12</v>
      </c>
    </row>
    <row r="377" spans="2:9" x14ac:dyDescent="0.3">
      <c r="B377" s="28" t="s">
        <v>78</v>
      </c>
      <c r="C377" t="s">
        <v>76</v>
      </c>
      <c r="D377">
        <v>63</v>
      </c>
      <c r="E377">
        <v>13.25</v>
      </c>
      <c r="F377">
        <v>12</v>
      </c>
      <c r="G377">
        <v>92</v>
      </c>
      <c r="H377">
        <v>15.25</v>
      </c>
      <c r="I377">
        <v>14</v>
      </c>
    </row>
    <row r="378" spans="2:9" x14ac:dyDescent="0.3">
      <c r="B378" s="28" t="s">
        <v>78</v>
      </c>
      <c r="C378" t="s">
        <v>76</v>
      </c>
      <c r="D378">
        <v>92</v>
      </c>
      <c r="E378">
        <v>15.25</v>
      </c>
      <c r="F378">
        <v>14</v>
      </c>
      <c r="G378">
        <v>124</v>
      </c>
      <c r="H378">
        <v>15.25</v>
      </c>
      <c r="I378">
        <v>16</v>
      </c>
    </row>
    <row r="379" spans="2:9" x14ac:dyDescent="0.3">
      <c r="B379" s="28" t="s">
        <v>78</v>
      </c>
      <c r="C379" t="s">
        <v>76</v>
      </c>
      <c r="D379">
        <v>124</v>
      </c>
      <c r="E379">
        <v>15.25</v>
      </c>
      <c r="F379">
        <v>16</v>
      </c>
      <c r="G379">
        <v>162</v>
      </c>
      <c r="H379">
        <v>19.25</v>
      </c>
      <c r="I379">
        <v>18</v>
      </c>
    </row>
    <row r="380" spans="2:9" x14ac:dyDescent="0.3">
      <c r="B380" s="28" t="s">
        <v>78</v>
      </c>
      <c r="C380" t="s">
        <v>76</v>
      </c>
      <c r="D380">
        <v>162</v>
      </c>
      <c r="E380">
        <v>19.25</v>
      </c>
      <c r="F380">
        <v>18</v>
      </c>
      <c r="G380">
        <v>188</v>
      </c>
      <c r="H380">
        <v>21.25</v>
      </c>
      <c r="I380">
        <v>19.25</v>
      </c>
    </row>
    <row r="381" spans="2:9" x14ac:dyDescent="0.3">
      <c r="B381" s="28" t="s">
        <v>78</v>
      </c>
      <c r="C381" t="s">
        <v>76</v>
      </c>
      <c r="D381">
        <v>188</v>
      </c>
      <c r="E381">
        <v>21.25</v>
      </c>
      <c r="F381">
        <v>19.25</v>
      </c>
      <c r="G381">
        <v>230</v>
      </c>
      <c r="H381">
        <v>23.25</v>
      </c>
      <c r="I381">
        <v>21.5</v>
      </c>
    </row>
    <row r="382" spans="2:9" x14ac:dyDescent="0.3">
      <c r="B382" s="28" t="s">
        <v>78</v>
      </c>
      <c r="C382" t="s">
        <v>76</v>
      </c>
      <c r="D382">
        <v>230</v>
      </c>
      <c r="E382">
        <v>23.25</v>
      </c>
      <c r="F382">
        <v>21.5</v>
      </c>
      <c r="G382">
        <v>282</v>
      </c>
      <c r="H382">
        <v>25</v>
      </c>
      <c r="I382">
        <v>23.375</v>
      </c>
    </row>
    <row r="383" spans="2:9" x14ac:dyDescent="0.3">
      <c r="B383" s="28" t="s">
        <v>78</v>
      </c>
      <c r="C383" t="s">
        <v>76</v>
      </c>
      <c r="D383">
        <v>282</v>
      </c>
      <c r="E383">
        <v>25</v>
      </c>
      <c r="F383">
        <v>23.375</v>
      </c>
      <c r="G383">
        <v>334</v>
      </c>
      <c r="H383">
        <v>27</v>
      </c>
      <c r="I383">
        <v>25.375</v>
      </c>
    </row>
    <row r="384" spans="2:9" x14ac:dyDescent="0.3">
      <c r="B384" s="28" t="s">
        <v>78</v>
      </c>
      <c r="C384" t="s">
        <v>76</v>
      </c>
      <c r="D384">
        <v>334</v>
      </c>
      <c r="E384">
        <v>27</v>
      </c>
      <c r="F384">
        <v>25.375</v>
      </c>
      <c r="G384">
        <v>376</v>
      </c>
      <c r="H384">
        <v>29</v>
      </c>
      <c r="I384">
        <v>27.375</v>
      </c>
    </row>
    <row r="385" spans="2:9" x14ac:dyDescent="0.3">
      <c r="B385" s="28" t="s">
        <v>78</v>
      </c>
      <c r="C385" t="s">
        <v>76</v>
      </c>
      <c r="D385">
        <v>376</v>
      </c>
      <c r="E385">
        <v>29</v>
      </c>
      <c r="F385">
        <v>27.375</v>
      </c>
      <c r="G385">
        <v>454</v>
      </c>
      <c r="H385">
        <v>31</v>
      </c>
      <c r="I385">
        <v>29.375</v>
      </c>
    </row>
    <row r="386" spans="2:9" x14ac:dyDescent="0.3">
      <c r="B386" s="28" t="s">
        <v>78</v>
      </c>
      <c r="C386" t="s">
        <v>76</v>
      </c>
      <c r="D386">
        <v>454</v>
      </c>
      <c r="E386">
        <v>31</v>
      </c>
      <c r="F386">
        <v>29.375</v>
      </c>
      <c r="G386">
        <v>522</v>
      </c>
      <c r="H386">
        <v>33</v>
      </c>
      <c r="I386">
        <v>31.375</v>
      </c>
    </row>
    <row r="387" spans="2:9" x14ac:dyDescent="0.3">
      <c r="B387" s="28" t="s">
        <v>78</v>
      </c>
      <c r="C387" t="s">
        <v>76</v>
      </c>
      <c r="D387">
        <v>522</v>
      </c>
      <c r="E387">
        <v>33</v>
      </c>
      <c r="F387">
        <v>31.375</v>
      </c>
      <c r="G387">
        <v>592</v>
      </c>
      <c r="H387">
        <v>35</v>
      </c>
      <c r="I387">
        <v>33.375</v>
      </c>
    </row>
    <row r="388" spans="2:9" x14ac:dyDescent="0.3">
      <c r="B388" s="28" t="s">
        <v>78</v>
      </c>
      <c r="C388" t="s">
        <v>76</v>
      </c>
      <c r="D388">
        <v>592</v>
      </c>
      <c r="E388">
        <v>35</v>
      </c>
      <c r="F388">
        <v>33.375</v>
      </c>
      <c r="G388">
        <v>664</v>
      </c>
      <c r="H388">
        <v>37</v>
      </c>
      <c r="I388">
        <v>35.25</v>
      </c>
    </row>
    <row r="389" spans="2:9" x14ac:dyDescent="0.3">
      <c r="B389" s="28" t="s">
        <v>78</v>
      </c>
      <c r="C389" t="s">
        <v>76</v>
      </c>
      <c r="D389">
        <v>664</v>
      </c>
      <c r="E389">
        <v>37</v>
      </c>
      <c r="F389">
        <v>35.25</v>
      </c>
      <c r="G389">
        <v>736</v>
      </c>
      <c r="H389">
        <v>39</v>
      </c>
      <c r="I389">
        <v>37.25</v>
      </c>
    </row>
    <row r="390" spans="2:9" x14ac:dyDescent="0.3">
      <c r="B390" s="28" t="s">
        <v>78</v>
      </c>
      <c r="C390" t="s">
        <v>76</v>
      </c>
      <c r="D390">
        <v>736</v>
      </c>
      <c r="E390">
        <v>39</v>
      </c>
      <c r="F390">
        <v>37.25</v>
      </c>
      <c r="G390">
        <v>878</v>
      </c>
      <c r="H390">
        <v>42</v>
      </c>
      <c r="I390">
        <v>40.25</v>
      </c>
    </row>
    <row r="391" spans="2:9" x14ac:dyDescent="0.3">
      <c r="B391" s="28" t="s">
        <v>78</v>
      </c>
      <c r="C391" t="s">
        <v>76</v>
      </c>
      <c r="D391">
        <v>878</v>
      </c>
      <c r="E391">
        <v>42</v>
      </c>
      <c r="F391">
        <v>40.25</v>
      </c>
      <c r="G391">
        <v>966</v>
      </c>
      <c r="H391">
        <v>44</v>
      </c>
      <c r="I391">
        <v>42.25</v>
      </c>
    </row>
    <row r="392" spans="2:9" x14ac:dyDescent="0.3">
      <c r="B392" s="28" t="s">
        <v>78</v>
      </c>
      <c r="C392" t="s">
        <v>76</v>
      </c>
      <c r="D392">
        <v>966</v>
      </c>
      <c r="E392">
        <v>44</v>
      </c>
      <c r="F392">
        <v>42.25</v>
      </c>
      <c r="G392">
        <v>1163</v>
      </c>
      <c r="H392">
        <v>48</v>
      </c>
      <c r="I392">
        <v>46</v>
      </c>
    </row>
    <row r="393" spans="2:9" x14ac:dyDescent="0.3">
      <c r="B393" s="28" t="s">
        <v>78</v>
      </c>
      <c r="C393" t="s">
        <v>76</v>
      </c>
      <c r="D393">
        <v>1163</v>
      </c>
      <c r="E393">
        <v>48</v>
      </c>
      <c r="F393">
        <v>46</v>
      </c>
      <c r="G393">
        <v>1375</v>
      </c>
      <c r="H393">
        <v>52</v>
      </c>
      <c r="I393">
        <v>50</v>
      </c>
    </row>
    <row r="394" spans="2:9" x14ac:dyDescent="0.3">
      <c r="B394" s="28" t="s">
        <v>78</v>
      </c>
      <c r="C394" t="s">
        <v>76</v>
      </c>
      <c r="D394">
        <v>1375</v>
      </c>
      <c r="E394">
        <v>52</v>
      </c>
      <c r="F394">
        <v>50</v>
      </c>
      <c r="G394">
        <v>1605</v>
      </c>
      <c r="H394">
        <v>56</v>
      </c>
      <c r="I394">
        <v>54</v>
      </c>
    </row>
    <row r="395" spans="2:9" x14ac:dyDescent="0.3">
      <c r="B395" s="28" t="s">
        <v>78</v>
      </c>
      <c r="C395" t="s">
        <v>76</v>
      </c>
      <c r="D395">
        <v>1605</v>
      </c>
      <c r="E395">
        <v>56</v>
      </c>
      <c r="F395">
        <v>54</v>
      </c>
      <c r="G395">
        <v>15</v>
      </c>
      <c r="H395">
        <v>8.0709999999999997</v>
      </c>
      <c r="I395">
        <v>6.8209999999999997</v>
      </c>
    </row>
    <row r="396" spans="2:9" x14ac:dyDescent="0.3">
      <c r="B396" s="28" t="s">
        <v>78</v>
      </c>
      <c r="C396" t="s">
        <v>75</v>
      </c>
      <c r="D396">
        <v>15</v>
      </c>
      <c r="E396">
        <v>8.0709999999999997</v>
      </c>
      <c r="F396">
        <v>6.8209999999999997</v>
      </c>
      <c r="G396">
        <v>32</v>
      </c>
      <c r="H396">
        <v>10</v>
      </c>
      <c r="I396">
        <v>8.77</v>
      </c>
    </row>
    <row r="397" spans="2:9" x14ac:dyDescent="0.3">
      <c r="B397" s="28" t="s">
        <v>78</v>
      </c>
      <c r="C397" t="s">
        <v>75</v>
      </c>
      <c r="D397">
        <v>32</v>
      </c>
      <c r="E397">
        <v>10</v>
      </c>
      <c r="F397">
        <v>8.77</v>
      </c>
      <c r="G397">
        <v>44</v>
      </c>
      <c r="H397">
        <v>12</v>
      </c>
      <c r="I397">
        <v>10.75</v>
      </c>
    </row>
    <row r="398" spans="2:9" x14ac:dyDescent="0.3">
      <c r="B398" s="28" t="s">
        <v>78</v>
      </c>
      <c r="C398" t="s">
        <v>75</v>
      </c>
      <c r="D398">
        <v>44</v>
      </c>
      <c r="E398">
        <v>12</v>
      </c>
      <c r="F398">
        <v>10.75</v>
      </c>
      <c r="G398">
        <v>54</v>
      </c>
      <c r="H398">
        <v>13.25</v>
      </c>
      <c r="I398">
        <v>12</v>
      </c>
    </row>
    <row r="399" spans="2:9" x14ac:dyDescent="0.3">
      <c r="B399" s="28" t="s">
        <v>78</v>
      </c>
      <c r="C399" t="s">
        <v>75</v>
      </c>
      <c r="D399">
        <v>54</v>
      </c>
      <c r="E399">
        <v>13.25</v>
      </c>
      <c r="F399">
        <v>12</v>
      </c>
      <c r="G399">
        <v>82</v>
      </c>
      <c r="H399">
        <v>15.25</v>
      </c>
      <c r="I399">
        <v>14</v>
      </c>
    </row>
    <row r="400" spans="2:9" x14ac:dyDescent="0.3">
      <c r="B400" s="28" t="s">
        <v>78</v>
      </c>
      <c r="C400" t="s">
        <v>75</v>
      </c>
      <c r="D400">
        <v>82</v>
      </c>
      <c r="E400">
        <v>15.25</v>
      </c>
      <c r="F400">
        <v>14</v>
      </c>
      <c r="G400">
        <v>110</v>
      </c>
      <c r="H400">
        <v>15.25</v>
      </c>
      <c r="I400">
        <v>16</v>
      </c>
    </row>
    <row r="401" spans="2:9" x14ac:dyDescent="0.3">
      <c r="B401" s="28" t="s">
        <v>78</v>
      </c>
      <c r="C401" t="s">
        <v>75</v>
      </c>
      <c r="D401">
        <v>110</v>
      </c>
      <c r="E401">
        <v>15.25</v>
      </c>
      <c r="F401">
        <v>16</v>
      </c>
      <c r="G401">
        <v>142</v>
      </c>
      <c r="H401">
        <v>19.25</v>
      </c>
      <c r="I401">
        <v>18</v>
      </c>
    </row>
    <row r="402" spans="2:9" x14ac:dyDescent="0.3">
      <c r="B402" s="28" t="s">
        <v>78</v>
      </c>
      <c r="C402" t="s">
        <v>75</v>
      </c>
      <c r="D402">
        <v>142</v>
      </c>
      <c r="E402">
        <v>19.25</v>
      </c>
      <c r="F402">
        <v>18</v>
      </c>
      <c r="G402">
        <v>168</v>
      </c>
      <c r="H402">
        <v>21.25</v>
      </c>
      <c r="I402">
        <v>19.25</v>
      </c>
    </row>
    <row r="403" spans="2:9" x14ac:dyDescent="0.3">
      <c r="B403" s="28" t="s">
        <v>78</v>
      </c>
      <c r="C403" t="s">
        <v>75</v>
      </c>
      <c r="D403">
        <v>168</v>
      </c>
      <c r="E403">
        <v>21.25</v>
      </c>
      <c r="F403">
        <v>19.25</v>
      </c>
      <c r="G403">
        <v>199</v>
      </c>
      <c r="H403">
        <v>23.25</v>
      </c>
      <c r="I403">
        <v>21.5</v>
      </c>
    </row>
    <row r="404" spans="2:9" x14ac:dyDescent="0.3">
      <c r="B404" s="28" t="s">
        <v>78</v>
      </c>
      <c r="C404" t="s">
        <v>75</v>
      </c>
      <c r="D404">
        <v>199</v>
      </c>
      <c r="E404">
        <v>23.25</v>
      </c>
      <c r="F404">
        <v>21.5</v>
      </c>
      <c r="G404">
        <v>248</v>
      </c>
      <c r="H404">
        <v>25</v>
      </c>
      <c r="I404">
        <v>23.375</v>
      </c>
    </row>
    <row r="405" spans="2:9" x14ac:dyDescent="0.3">
      <c r="B405" s="28" t="s">
        <v>78</v>
      </c>
      <c r="C405" t="s">
        <v>75</v>
      </c>
      <c r="D405">
        <v>248</v>
      </c>
      <c r="E405">
        <v>25</v>
      </c>
      <c r="F405">
        <v>23.375</v>
      </c>
      <c r="G405">
        <v>275</v>
      </c>
      <c r="H405">
        <v>27</v>
      </c>
      <c r="I405">
        <v>25.375</v>
      </c>
    </row>
    <row r="406" spans="2:9" x14ac:dyDescent="0.3">
      <c r="B406" s="28" t="s">
        <v>78</v>
      </c>
      <c r="C406" t="s">
        <v>75</v>
      </c>
      <c r="D406">
        <v>275</v>
      </c>
      <c r="E406">
        <v>27</v>
      </c>
      <c r="F406">
        <v>25.375</v>
      </c>
      <c r="G406">
        <v>340</v>
      </c>
      <c r="H406">
        <v>29</v>
      </c>
      <c r="I406">
        <v>27.375</v>
      </c>
    </row>
    <row r="407" spans="2:9" x14ac:dyDescent="0.3">
      <c r="B407" s="28" t="s">
        <v>78</v>
      </c>
      <c r="C407" t="s">
        <v>75</v>
      </c>
      <c r="D407">
        <v>340</v>
      </c>
      <c r="E407">
        <v>29</v>
      </c>
      <c r="F407">
        <v>27.375</v>
      </c>
      <c r="G407">
        <v>390</v>
      </c>
      <c r="H407">
        <v>31</v>
      </c>
      <c r="I407">
        <v>29.375</v>
      </c>
    </row>
    <row r="408" spans="2:9" x14ac:dyDescent="0.3">
      <c r="B408" s="28" t="s">
        <v>78</v>
      </c>
      <c r="C408" t="s">
        <v>75</v>
      </c>
      <c r="D408">
        <v>390</v>
      </c>
      <c r="E408">
        <v>31</v>
      </c>
      <c r="F408">
        <v>29.375</v>
      </c>
      <c r="G408">
        <v>453</v>
      </c>
      <c r="H408">
        <v>33</v>
      </c>
      <c r="I408">
        <v>31.375</v>
      </c>
    </row>
    <row r="409" spans="2:9" x14ac:dyDescent="0.3">
      <c r="B409" s="28" t="s">
        <v>78</v>
      </c>
      <c r="C409" t="s">
        <v>75</v>
      </c>
      <c r="D409">
        <v>453</v>
      </c>
      <c r="E409">
        <v>33</v>
      </c>
      <c r="F409">
        <v>31.375</v>
      </c>
      <c r="G409">
        <v>513</v>
      </c>
      <c r="H409">
        <v>35</v>
      </c>
      <c r="I409">
        <v>33.375</v>
      </c>
    </row>
    <row r="410" spans="2:9" x14ac:dyDescent="0.3">
      <c r="B410" s="28" t="s">
        <v>78</v>
      </c>
      <c r="C410" t="s">
        <v>75</v>
      </c>
      <c r="D410">
        <v>513</v>
      </c>
      <c r="E410">
        <v>35</v>
      </c>
      <c r="F410">
        <v>33.375</v>
      </c>
      <c r="G410">
        <v>580</v>
      </c>
      <c r="H410">
        <v>37</v>
      </c>
      <c r="I410">
        <v>35.25</v>
      </c>
    </row>
    <row r="411" spans="2:9" x14ac:dyDescent="0.3">
      <c r="B411" s="28" t="s">
        <v>78</v>
      </c>
      <c r="C411" t="s">
        <v>75</v>
      </c>
      <c r="D411">
        <v>580</v>
      </c>
      <c r="E411">
        <v>37</v>
      </c>
      <c r="F411">
        <v>35.25</v>
      </c>
      <c r="G411">
        <v>637</v>
      </c>
      <c r="H411">
        <v>39</v>
      </c>
      <c r="I411">
        <v>37.25</v>
      </c>
    </row>
    <row r="412" spans="2:9" x14ac:dyDescent="0.3">
      <c r="B412" s="28" t="s">
        <v>78</v>
      </c>
      <c r="C412" t="s">
        <v>75</v>
      </c>
      <c r="D412">
        <v>637</v>
      </c>
      <c r="E412">
        <v>39</v>
      </c>
      <c r="F412">
        <v>37.25</v>
      </c>
      <c r="G412">
        <v>728</v>
      </c>
      <c r="H412">
        <v>42</v>
      </c>
      <c r="I412">
        <v>40.25</v>
      </c>
    </row>
    <row r="413" spans="2:9" x14ac:dyDescent="0.3">
      <c r="B413" s="28" t="s">
        <v>78</v>
      </c>
      <c r="C413" t="s">
        <v>75</v>
      </c>
      <c r="D413">
        <v>728</v>
      </c>
      <c r="E413">
        <v>42</v>
      </c>
      <c r="F413">
        <v>40.25</v>
      </c>
      <c r="G413">
        <v>837</v>
      </c>
      <c r="H413">
        <v>44</v>
      </c>
      <c r="I413">
        <v>42.25</v>
      </c>
    </row>
    <row r="414" spans="2:9" x14ac:dyDescent="0.3">
      <c r="B414" s="28" t="s">
        <v>78</v>
      </c>
      <c r="C414" t="s">
        <v>75</v>
      </c>
      <c r="D414">
        <v>837</v>
      </c>
      <c r="E414">
        <v>44</v>
      </c>
      <c r="F414">
        <v>42.25</v>
      </c>
      <c r="G414">
        <v>1010</v>
      </c>
      <c r="H414">
        <v>48</v>
      </c>
      <c r="I414">
        <v>46</v>
      </c>
    </row>
    <row r="415" spans="2:9" x14ac:dyDescent="0.3">
      <c r="B415" s="28" t="s">
        <v>78</v>
      </c>
      <c r="C415" t="s">
        <v>75</v>
      </c>
      <c r="D415">
        <v>1010</v>
      </c>
      <c r="E415">
        <v>48</v>
      </c>
      <c r="F415">
        <v>46</v>
      </c>
      <c r="G415">
        <v>1196</v>
      </c>
      <c r="H415">
        <v>52</v>
      </c>
      <c r="I415">
        <v>50</v>
      </c>
    </row>
    <row r="416" spans="2:9" x14ac:dyDescent="0.3">
      <c r="B416" s="28" t="s">
        <v>78</v>
      </c>
      <c r="C416" t="s">
        <v>75</v>
      </c>
      <c r="D416">
        <v>1196</v>
      </c>
      <c r="E416">
        <v>52</v>
      </c>
      <c r="F416">
        <v>50</v>
      </c>
      <c r="G416">
        <v>1400</v>
      </c>
      <c r="H416">
        <v>56</v>
      </c>
      <c r="I416">
        <v>54</v>
      </c>
    </row>
    <row r="417" spans="1:9" x14ac:dyDescent="0.3">
      <c r="B417" s="28" t="s">
        <v>78</v>
      </c>
      <c r="C417" t="s">
        <v>75</v>
      </c>
      <c r="D417">
        <v>1400</v>
      </c>
      <c r="E417">
        <v>56</v>
      </c>
      <c r="F417">
        <v>54</v>
      </c>
      <c r="G417">
        <v>1400</v>
      </c>
      <c r="H417">
        <v>56</v>
      </c>
      <c r="I417">
        <v>54</v>
      </c>
    </row>
    <row r="418" spans="1:9" ht="28.8" x14ac:dyDescent="0.3">
      <c r="A418">
        <v>4</v>
      </c>
      <c r="B418" s="26" t="s">
        <v>68</v>
      </c>
      <c r="C418" s="26" t="s">
        <v>70</v>
      </c>
      <c r="D418">
        <v>4</v>
      </c>
      <c r="E418" s="26" t="s">
        <v>66</v>
      </c>
      <c r="F418" s="26" t="s">
        <v>67</v>
      </c>
    </row>
    <row r="419" spans="1:9" x14ac:dyDescent="0.3">
      <c r="B419" s="28" t="s">
        <v>77</v>
      </c>
      <c r="C419" t="s">
        <v>74</v>
      </c>
      <c r="D419">
        <v>24</v>
      </c>
      <c r="E419">
        <v>8.0709999999999997</v>
      </c>
      <c r="F419">
        <v>6.8209999999999997</v>
      </c>
      <c r="G419">
        <v>48</v>
      </c>
      <c r="H419">
        <v>10</v>
      </c>
      <c r="I419">
        <v>8.77</v>
      </c>
    </row>
    <row r="420" spans="1:9" x14ac:dyDescent="0.3">
      <c r="B420" s="28" t="s">
        <v>77</v>
      </c>
      <c r="C420" t="s">
        <v>74</v>
      </c>
      <c r="D420">
        <v>48</v>
      </c>
      <c r="E420">
        <v>10</v>
      </c>
      <c r="F420">
        <v>8.77</v>
      </c>
      <c r="G420">
        <v>72</v>
      </c>
      <c r="H420">
        <v>12</v>
      </c>
      <c r="I420">
        <v>10.75</v>
      </c>
    </row>
    <row r="421" spans="1:9" x14ac:dyDescent="0.3">
      <c r="B421" s="28" t="s">
        <v>77</v>
      </c>
      <c r="C421" t="s">
        <v>74</v>
      </c>
      <c r="D421">
        <v>72</v>
      </c>
      <c r="E421">
        <v>12</v>
      </c>
      <c r="F421">
        <v>10.75</v>
      </c>
      <c r="G421">
        <v>90</v>
      </c>
      <c r="H421">
        <v>13.25</v>
      </c>
      <c r="I421">
        <v>12</v>
      </c>
    </row>
    <row r="422" spans="1:9" x14ac:dyDescent="0.3">
      <c r="B422" s="28" t="s">
        <v>77</v>
      </c>
      <c r="C422" t="s">
        <v>74</v>
      </c>
      <c r="D422">
        <v>90</v>
      </c>
      <c r="E422">
        <v>13.25</v>
      </c>
      <c r="F422">
        <v>12</v>
      </c>
      <c r="G422">
        <v>136</v>
      </c>
      <c r="H422">
        <v>15.25</v>
      </c>
      <c r="I422">
        <v>14</v>
      </c>
    </row>
    <row r="423" spans="1:9" x14ac:dyDescent="0.3">
      <c r="B423" s="28" t="s">
        <v>77</v>
      </c>
      <c r="C423" t="s">
        <v>74</v>
      </c>
      <c r="D423">
        <v>136</v>
      </c>
      <c r="E423">
        <v>15.25</v>
      </c>
      <c r="F423">
        <v>14</v>
      </c>
      <c r="G423">
        <v>181</v>
      </c>
      <c r="H423">
        <v>15.25</v>
      </c>
      <c r="I423">
        <v>16</v>
      </c>
    </row>
    <row r="424" spans="1:9" x14ac:dyDescent="0.3">
      <c r="B424" s="28" t="s">
        <v>77</v>
      </c>
      <c r="C424" t="s">
        <v>74</v>
      </c>
      <c r="D424">
        <v>181</v>
      </c>
      <c r="E424">
        <v>15.25</v>
      </c>
      <c r="F424">
        <v>16</v>
      </c>
      <c r="G424">
        <v>242</v>
      </c>
      <c r="H424">
        <v>19.25</v>
      </c>
      <c r="I424">
        <v>18</v>
      </c>
    </row>
    <row r="425" spans="1:9" x14ac:dyDescent="0.3">
      <c r="B425" s="28" t="s">
        <v>77</v>
      </c>
      <c r="C425" t="s">
        <v>74</v>
      </c>
      <c r="D425">
        <v>242</v>
      </c>
      <c r="E425">
        <v>19.25</v>
      </c>
      <c r="F425">
        <v>18</v>
      </c>
      <c r="G425">
        <v>279</v>
      </c>
      <c r="H425">
        <v>21.25</v>
      </c>
      <c r="I425">
        <v>19.25</v>
      </c>
    </row>
    <row r="426" spans="1:9" x14ac:dyDescent="0.3">
      <c r="B426" s="28" t="s">
        <v>77</v>
      </c>
      <c r="C426" t="s">
        <v>74</v>
      </c>
      <c r="D426">
        <v>279</v>
      </c>
      <c r="E426">
        <v>21.25</v>
      </c>
      <c r="F426">
        <v>19.25</v>
      </c>
      <c r="G426">
        <v>349</v>
      </c>
      <c r="H426">
        <v>23.25</v>
      </c>
      <c r="I426">
        <v>21.5</v>
      </c>
    </row>
    <row r="427" spans="1:9" x14ac:dyDescent="0.3">
      <c r="B427" s="28" t="s">
        <v>77</v>
      </c>
      <c r="C427" t="s">
        <v>74</v>
      </c>
      <c r="D427">
        <v>349</v>
      </c>
      <c r="E427">
        <v>23.25</v>
      </c>
      <c r="F427">
        <v>21.5</v>
      </c>
      <c r="G427">
        <v>422</v>
      </c>
      <c r="H427">
        <v>25</v>
      </c>
      <c r="I427">
        <v>23.375</v>
      </c>
    </row>
    <row r="428" spans="1:9" x14ac:dyDescent="0.3">
      <c r="B428" s="28" t="s">
        <v>77</v>
      </c>
      <c r="C428" t="s">
        <v>74</v>
      </c>
      <c r="D428">
        <v>422</v>
      </c>
      <c r="E428">
        <v>25</v>
      </c>
      <c r="F428">
        <v>23.375</v>
      </c>
      <c r="G428">
        <v>488</v>
      </c>
      <c r="H428">
        <v>27</v>
      </c>
      <c r="I428">
        <v>25.375</v>
      </c>
    </row>
    <row r="429" spans="1:9" x14ac:dyDescent="0.3">
      <c r="B429" s="28" t="s">
        <v>77</v>
      </c>
      <c r="C429" t="s">
        <v>74</v>
      </c>
      <c r="D429">
        <v>488</v>
      </c>
      <c r="E429">
        <v>27</v>
      </c>
      <c r="F429">
        <v>25.375</v>
      </c>
      <c r="G429">
        <v>556</v>
      </c>
      <c r="H429">
        <v>29</v>
      </c>
      <c r="I429">
        <v>27.375</v>
      </c>
    </row>
    <row r="430" spans="1:9" x14ac:dyDescent="0.3">
      <c r="B430" s="28" t="s">
        <v>77</v>
      </c>
      <c r="C430" t="s">
        <v>74</v>
      </c>
      <c r="D430">
        <v>556</v>
      </c>
      <c r="E430">
        <v>29</v>
      </c>
      <c r="F430">
        <v>27.375</v>
      </c>
      <c r="G430">
        <v>678</v>
      </c>
      <c r="H430">
        <v>31</v>
      </c>
      <c r="I430">
        <v>29.375</v>
      </c>
    </row>
    <row r="431" spans="1:9" x14ac:dyDescent="0.3">
      <c r="B431" s="28" t="s">
        <v>77</v>
      </c>
      <c r="C431" t="s">
        <v>74</v>
      </c>
      <c r="D431">
        <v>678</v>
      </c>
      <c r="E431">
        <v>31</v>
      </c>
      <c r="F431">
        <v>29.375</v>
      </c>
      <c r="G431">
        <v>774</v>
      </c>
      <c r="H431">
        <v>33</v>
      </c>
      <c r="I431">
        <v>31.375</v>
      </c>
    </row>
    <row r="432" spans="1:9" x14ac:dyDescent="0.3">
      <c r="B432" s="28" t="s">
        <v>77</v>
      </c>
      <c r="C432" t="s">
        <v>74</v>
      </c>
      <c r="D432">
        <v>774</v>
      </c>
      <c r="E432">
        <v>33</v>
      </c>
      <c r="F432">
        <v>31.375</v>
      </c>
      <c r="G432">
        <v>882</v>
      </c>
      <c r="H432">
        <v>35</v>
      </c>
      <c r="I432">
        <v>33.375</v>
      </c>
    </row>
    <row r="433" spans="2:9" x14ac:dyDescent="0.3">
      <c r="B433" s="28" t="s">
        <v>77</v>
      </c>
      <c r="C433" t="s">
        <v>74</v>
      </c>
      <c r="D433">
        <v>882</v>
      </c>
      <c r="E433">
        <v>35</v>
      </c>
      <c r="F433">
        <v>33.375</v>
      </c>
      <c r="G433">
        <v>982</v>
      </c>
      <c r="H433">
        <v>37</v>
      </c>
      <c r="I433">
        <v>35.25</v>
      </c>
    </row>
    <row r="434" spans="2:9" x14ac:dyDescent="0.3">
      <c r="B434" s="28" t="s">
        <v>77</v>
      </c>
      <c r="C434" t="s">
        <v>74</v>
      </c>
      <c r="D434">
        <v>982</v>
      </c>
      <c r="E434">
        <v>37</v>
      </c>
      <c r="F434">
        <v>35.25</v>
      </c>
      <c r="G434">
        <v>1128</v>
      </c>
      <c r="H434">
        <v>39</v>
      </c>
      <c r="I434">
        <v>37.25</v>
      </c>
    </row>
    <row r="435" spans="2:9" x14ac:dyDescent="0.3">
      <c r="B435" s="28" t="s">
        <v>77</v>
      </c>
      <c r="C435" t="s">
        <v>74</v>
      </c>
      <c r="D435">
        <v>1128</v>
      </c>
      <c r="E435">
        <v>39</v>
      </c>
      <c r="F435">
        <v>37.25</v>
      </c>
      <c r="G435">
        <v>1314</v>
      </c>
      <c r="H435">
        <v>42</v>
      </c>
      <c r="I435">
        <v>40.25</v>
      </c>
    </row>
    <row r="436" spans="2:9" x14ac:dyDescent="0.3">
      <c r="B436" s="28" t="s">
        <v>77</v>
      </c>
      <c r="C436" t="s">
        <v>74</v>
      </c>
      <c r="D436">
        <v>1314</v>
      </c>
      <c r="E436">
        <v>42</v>
      </c>
      <c r="F436">
        <v>40.25</v>
      </c>
      <c r="G436">
        <v>1464</v>
      </c>
      <c r="H436">
        <v>44</v>
      </c>
      <c r="I436">
        <v>42.25</v>
      </c>
    </row>
    <row r="437" spans="2:9" x14ac:dyDescent="0.3">
      <c r="B437" s="28" t="s">
        <v>77</v>
      </c>
      <c r="C437" t="s">
        <v>74</v>
      </c>
      <c r="D437">
        <v>1464</v>
      </c>
      <c r="E437">
        <v>44</v>
      </c>
      <c r="F437">
        <v>42.25</v>
      </c>
      <c r="G437">
        <v>1766</v>
      </c>
      <c r="H437">
        <v>48</v>
      </c>
      <c r="I437">
        <v>46</v>
      </c>
    </row>
    <row r="438" spans="2:9" x14ac:dyDescent="0.3">
      <c r="B438" s="28" t="s">
        <v>77</v>
      </c>
      <c r="C438" t="s">
        <v>74</v>
      </c>
      <c r="D438">
        <v>1766</v>
      </c>
      <c r="E438">
        <v>48</v>
      </c>
      <c r="F438">
        <v>46</v>
      </c>
      <c r="G438">
        <v>2092</v>
      </c>
      <c r="H438">
        <v>52</v>
      </c>
      <c r="I438">
        <v>50</v>
      </c>
    </row>
    <row r="439" spans="2:9" x14ac:dyDescent="0.3">
      <c r="B439" s="28" t="s">
        <v>77</v>
      </c>
      <c r="C439" t="s">
        <v>74</v>
      </c>
      <c r="D439">
        <v>2092</v>
      </c>
      <c r="E439">
        <v>52</v>
      </c>
      <c r="F439">
        <v>50</v>
      </c>
      <c r="G439">
        <v>2446</v>
      </c>
      <c r="H439">
        <v>56</v>
      </c>
      <c r="I439">
        <v>54</v>
      </c>
    </row>
    <row r="440" spans="2:9" x14ac:dyDescent="0.3">
      <c r="B440" s="28" t="s">
        <v>77</v>
      </c>
      <c r="C440" t="s">
        <v>74</v>
      </c>
      <c r="D440">
        <v>2446</v>
      </c>
      <c r="E440">
        <v>56</v>
      </c>
      <c r="F440">
        <v>54</v>
      </c>
      <c r="G440">
        <v>20</v>
      </c>
      <c r="H440">
        <v>8.0709999999999997</v>
      </c>
      <c r="I440">
        <v>6.8209999999999997</v>
      </c>
    </row>
    <row r="441" spans="2:9" x14ac:dyDescent="0.3">
      <c r="B441" s="28" t="s">
        <v>77</v>
      </c>
      <c r="C441" t="s">
        <v>73</v>
      </c>
      <c r="D441">
        <v>20</v>
      </c>
      <c r="E441">
        <v>8.0709999999999997</v>
      </c>
      <c r="F441">
        <v>6.8209999999999997</v>
      </c>
      <c r="G441">
        <v>40</v>
      </c>
      <c r="H441">
        <v>10</v>
      </c>
      <c r="I441">
        <v>8.77</v>
      </c>
    </row>
    <row r="442" spans="2:9" x14ac:dyDescent="0.3">
      <c r="B442" s="28" t="s">
        <v>77</v>
      </c>
      <c r="C442" t="s">
        <v>73</v>
      </c>
      <c r="D442">
        <v>40</v>
      </c>
      <c r="E442">
        <v>10</v>
      </c>
      <c r="F442">
        <v>8.77</v>
      </c>
      <c r="G442">
        <v>68</v>
      </c>
      <c r="H442">
        <v>12</v>
      </c>
      <c r="I442">
        <v>10.75</v>
      </c>
    </row>
    <row r="443" spans="2:9" x14ac:dyDescent="0.3">
      <c r="B443" s="28" t="s">
        <v>77</v>
      </c>
      <c r="C443" t="s">
        <v>73</v>
      </c>
      <c r="D443">
        <v>68</v>
      </c>
      <c r="E443">
        <v>12</v>
      </c>
      <c r="F443">
        <v>10.75</v>
      </c>
      <c r="G443">
        <v>81</v>
      </c>
      <c r="H443">
        <v>13.25</v>
      </c>
      <c r="I443">
        <v>12</v>
      </c>
    </row>
    <row r="444" spans="2:9" x14ac:dyDescent="0.3">
      <c r="B444" s="28" t="s">
        <v>77</v>
      </c>
      <c r="C444" t="s">
        <v>73</v>
      </c>
      <c r="D444">
        <v>81</v>
      </c>
      <c r="E444">
        <v>13.25</v>
      </c>
      <c r="F444">
        <v>12</v>
      </c>
      <c r="G444">
        <v>116</v>
      </c>
      <c r="H444">
        <v>15.25</v>
      </c>
      <c r="I444">
        <v>14</v>
      </c>
    </row>
    <row r="445" spans="2:9" x14ac:dyDescent="0.3">
      <c r="B445" s="28" t="s">
        <v>77</v>
      </c>
      <c r="C445" t="s">
        <v>73</v>
      </c>
      <c r="D445">
        <v>116</v>
      </c>
      <c r="E445">
        <v>15.25</v>
      </c>
      <c r="F445">
        <v>14</v>
      </c>
      <c r="G445">
        <v>168</v>
      </c>
      <c r="H445">
        <v>15.25</v>
      </c>
      <c r="I445">
        <v>16</v>
      </c>
    </row>
    <row r="446" spans="2:9" x14ac:dyDescent="0.3">
      <c r="B446" s="28" t="s">
        <v>77</v>
      </c>
      <c r="C446" t="s">
        <v>73</v>
      </c>
      <c r="D446">
        <v>168</v>
      </c>
      <c r="E446">
        <v>15.25</v>
      </c>
      <c r="F446">
        <v>16</v>
      </c>
      <c r="G446">
        <v>216</v>
      </c>
      <c r="H446">
        <v>19.25</v>
      </c>
      <c r="I446">
        <v>18</v>
      </c>
    </row>
    <row r="447" spans="2:9" x14ac:dyDescent="0.3">
      <c r="B447" s="28" t="s">
        <v>77</v>
      </c>
      <c r="C447" t="s">
        <v>73</v>
      </c>
      <c r="D447">
        <v>216</v>
      </c>
      <c r="E447">
        <v>19.25</v>
      </c>
      <c r="F447">
        <v>18</v>
      </c>
      <c r="G447">
        <v>246</v>
      </c>
      <c r="H447">
        <v>21.25</v>
      </c>
      <c r="I447">
        <v>19.25</v>
      </c>
    </row>
    <row r="448" spans="2:9" x14ac:dyDescent="0.3">
      <c r="B448" s="28" t="s">
        <v>77</v>
      </c>
      <c r="C448" t="s">
        <v>73</v>
      </c>
      <c r="D448">
        <v>246</v>
      </c>
      <c r="E448">
        <v>21.25</v>
      </c>
      <c r="F448">
        <v>19.25</v>
      </c>
      <c r="G448">
        <v>308</v>
      </c>
      <c r="H448">
        <v>23.25</v>
      </c>
      <c r="I448">
        <v>21.5</v>
      </c>
    </row>
    <row r="449" spans="2:9" x14ac:dyDescent="0.3">
      <c r="B449" s="28" t="s">
        <v>77</v>
      </c>
      <c r="C449" t="s">
        <v>73</v>
      </c>
      <c r="D449">
        <v>308</v>
      </c>
      <c r="E449">
        <v>23.25</v>
      </c>
      <c r="F449">
        <v>21.5</v>
      </c>
      <c r="G449">
        <v>370</v>
      </c>
      <c r="H449">
        <v>25</v>
      </c>
      <c r="I449">
        <v>23.375</v>
      </c>
    </row>
    <row r="450" spans="2:9" x14ac:dyDescent="0.3">
      <c r="B450" s="28" t="s">
        <v>77</v>
      </c>
      <c r="C450" t="s">
        <v>73</v>
      </c>
      <c r="D450">
        <v>370</v>
      </c>
      <c r="E450">
        <v>25</v>
      </c>
      <c r="F450">
        <v>23.375</v>
      </c>
      <c r="G450">
        <v>427</v>
      </c>
      <c r="H450">
        <v>27</v>
      </c>
      <c r="I450">
        <v>25.375</v>
      </c>
    </row>
    <row r="451" spans="2:9" x14ac:dyDescent="0.3">
      <c r="B451" s="28" t="s">
        <v>77</v>
      </c>
      <c r="C451" t="s">
        <v>73</v>
      </c>
      <c r="D451">
        <v>427</v>
      </c>
      <c r="E451">
        <v>27</v>
      </c>
      <c r="F451">
        <v>25.375</v>
      </c>
      <c r="G451">
        <v>525</v>
      </c>
      <c r="H451">
        <v>29</v>
      </c>
      <c r="I451">
        <v>27.375</v>
      </c>
    </row>
    <row r="452" spans="2:9" x14ac:dyDescent="0.3">
      <c r="B452" s="28" t="s">
        <v>77</v>
      </c>
      <c r="C452" t="s">
        <v>73</v>
      </c>
      <c r="D452">
        <v>525</v>
      </c>
      <c r="E452">
        <v>29</v>
      </c>
      <c r="F452">
        <v>27.375</v>
      </c>
      <c r="G452">
        <v>590</v>
      </c>
      <c r="H452">
        <v>31</v>
      </c>
      <c r="I452">
        <v>29.375</v>
      </c>
    </row>
    <row r="453" spans="2:9" x14ac:dyDescent="0.3">
      <c r="B453" s="28" t="s">
        <v>77</v>
      </c>
      <c r="C453" t="s">
        <v>73</v>
      </c>
      <c r="D453">
        <v>590</v>
      </c>
      <c r="E453">
        <v>31</v>
      </c>
      <c r="F453">
        <v>29.375</v>
      </c>
      <c r="G453">
        <v>687</v>
      </c>
      <c r="H453">
        <v>33</v>
      </c>
      <c r="I453">
        <v>31.375</v>
      </c>
    </row>
    <row r="454" spans="2:9" x14ac:dyDescent="0.3">
      <c r="B454" s="28" t="s">
        <v>77</v>
      </c>
      <c r="C454" t="s">
        <v>73</v>
      </c>
      <c r="D454">
        <v>687</v>
      </c>
      <c r="E454">
        <v>33</v>
      </c>
      <c r="F454">
        <v>31.375</v>
      </c>
      <c r="G454">
        <v>773</v>
      </c>
      <c r="H454">
        <v>35</v>
      </c>
      <c r="I454">
        <v>33.375</v>
      </c>
    </row>
    <row r="455" spans="2:9" x14ac:dyDescent="0.3">
      <c r="B455" s="28" t="s">
        <v>77</v>
      </c>
      <c r="C455" t="s">
        <v>73</v>
      </c>
      <c r="D455">
        <v>773</v>
      </c>
      <c r="E455">
        <v>35</v>
      </c>
      <c r="F455">
        <v>33.375</v>
      </c>
      <c r="G455">
        <v>880</v>
      </c>
      <c r="H455">
        <v>37</v>
      </c>
      <c r="I455">
        <v>35.25</v>
      </c>
    </row>
    <row r="456" spans="2:9" x14ac:dyDescent="0.3">
      <c r="B456" s="28" t="s">
        <v>77</v>
      </c>
      <c r="C456" t="s">
        <v>73</v>
      </c>
      <c r="D456">
        <v>880</v>
      </c>
      <c r="E456">
        <v>37</v>
      </c>
      <c r="F456">
        <v>35.25</v>
      </c>
      <c r="G456">
        <v>984</v>
      </c>
      <c r="H456">
        <v>39</v>
      </c>
      <c r="I456">
        <v>37.25</v>
      </c>
    </row>
    <row r="457" spans="2:9" x14ac:dyDescent="0.3">
      <c r="B457" s="28" t="s">
        <v>77</v>
      </c>
      <c r="C457" t="s">
        <v>73</v>
      </c>
      <c r="D457">
        <v>984</v>
      </c>
      <c r="E457">
        <v>39</v>
      </c>
      <c r="F457">
        <v>37.25</v>
      </c>
      <c r="G457">
        <v>1144</v>
      </c>
      <c r="H457">
        <v>42</v>
      </c>
      <c r="I457">
        <v>40.25</v>
      </c>
    </row>
    <row r="458" spans="2:9" x14ac:dyDescent="0.3">
      <c r="B458" s="28" t="s">
        <v>77</v>
      </c>
      <c r="C458" t="s">
        <v>73</v>
      </c>
      <c r="D458">
        <v>1144</v>
      </c>
      <c r="E458">
        <v>42</v>
      </c>
      <c r="F458">
        <v>40.25</v>
      </c>
      <c r="G458">
        <v>1286</v>
      </c>
      <c r="H458">
        <v>44</v>
      </c>
      <c r="I458">
        <v>42.25</v>
      </c>
    </row>
    <row r="459" spans="2:9" x14ac:dyDescent="0.3">
      <c r="B459" s="28" t="s">
        <v>77</v>
      </c>
      <c r="C459" t="s">
        <v>73</v>
      </c>
      <c r="D459">
        <v>1286</v>
      </c>
      <c r="E459">
        <v>44</v>
      </c>
      <c r="F459">
        <v>42.25</v>
      </c>
      <c r="G459">
        <v>1553</v>
      </c>
      <c r="H459">
        <v>48</v>
      </c>
      <c r="I459">
        <v>46</v>
      </c>
    </row>
    <row r="460" spans="2:9" x14ac:dyDescent="0.3">
      <c r="B460" s="28" t="s">
        <v>77</v>
      </c>
      <c r="C460" t="s">
        <v>73</v>
      </c>
      <c r="D460">
        <v>1553</v>
      </c>
      <c r="E460">
        <v>48</v>
      </c>
      <c r="F460">
        <v>46</v>
      </c>
      <c r="G460">
        <v>1848</v>
      </c>
      <c r="H460">
        <v>52</v>
      </c>
      <c r="I460">
        <v>50</v>
      </c>
    </row>
    <row r="461" spans="2:9" x14ac:dyDescent="0.3">
      <c r="B461" s="28" t="s">
        <v>77</v>
      </c>
      <c r="C461" t="s">
        <v>73</v>
      </c>
      <c r="D461">
        <v>1848</v>
      </c>
      <c r="E461">
        <v>52</v>
      </c>
      <c r="F461">
        <v>50</v>
      </c>
      <c r="G461">
        <v>2167</v>
      </c>
      <c r="H461">
        <v>56</v>
      </c>
      <c r="I461">
        <v>54</v>
      </c>
    </row>
    <row r="462" spans="2:9" x14ac:dyDescent="0.3">
      <c r="B462" s="28" t="s">
        <v>77</v>
      </c>
      <c r="C462" t="s">
        <v>73</v>
      </c>
      <c r="D462">
        <v>2167</v>
      </c>
      <c r="E462">
        <v>56</v>
      </c>
      <c r="F462">
        <v>54</v>
      </c>
      <c r="G462">
        <v>26</v>
      </c>
      <c r="H462">
        <v>8.0709999999999997</v>
      </c>
      <c r="I462">
        <v>6.8209999999999997</v>
      </c>
    </row>
    <row r="463" spans="2:9" x14ac:dyDescent="0.3">
      <c r="B463" s="28" t="s">
        <v>77</v>
      </c>
      <c r="C463" t="s">
        <v>72</v>
      </c>
      <c r="D463">
        <v>26</v>
      </c>
      <c r="E463">
        <v>8.0709999999999997</v>
      </c>
      <c r="F463">
        <v>6.8209999999999997</v>
      </c>
      <c r="G463">
        <v>47</v>
      </c>
      <c r="H463">
        <v>10</v>
      </c>
      <c r="I463">
        <v>8.77</v>
      </c>
    </row>
    <row r="464" spans="2:9" x14ac:dyDescent="0.3">
      <c r="B464" s="28" t="s">
        <v>77</v>
      </c>
      <c r="C464" t="s">
        <v>72</v>
      </c>
      <c r="D464">
        <v>47</v>
      </c>
      <c r="E464">
        <v>10</v>
      </c>
      <c r="F464">
        <v>8.77</v>
      </c>
      <c r="G464">
        <v>86</v>
      </c>
      <c r="H464">
        <v>12</v>
      </c>
      <c r="I464">
        <v>10.75</v>
      </c>
    </row>
    <row r="465" spans="2:9" x14ac:dyDescent="0.3">
      <c r="B465" s="28" t="s">
        <v>77</v>
      </c>
      <c r="C465" t="s">
        <v>72</v>
      </c>
      <c r="D465">
        <v>86</v>
      </c>
      <c r="E465">
        <v>12</v>
      </c>
      <c r="F465">
        <v>10.75</v>
      </c>
      <c r="G465">
        <v>96</v>
      </c>
      <c r="H465">
        <v>13.25</v>
      </c>
      <c r="I465">
        <v>12</v>
      </c>
    </row>
    <row r="466" spans="2:9" x14ac:dyDescent="0.3">
      <c r="B466" s="28" t="s">
        <v>77</v>
      </c>
      <c r="C466" t="s">
        <v>72</v>
      </c>
      <c r="D466">
        <v>96</v>
      </c>
      <c r="E466">
        <v>13.25</v>
      </c>
      <c r="F466">
        <v>12</v>
      </c>
      <c r="G466">
        <v>140</v>
      </c>
      <c r="H466">
        <v>15.25</v>
      </c>
      <c r="I466">
        <v>14</v>
      </c>
    </row>
    <row r="467" spans="2:9" x14ac:dyDescent="0.3">
      <c r="B467" s="28" t="s">
        <v>77</v>
      </c>
      <c r="C467" t="s">
        <v>72</v>
      </c>
      <c r="D467">
        <v>140</v>
      </c>
      <c r="E467">
        <v>15.25</v>
      </c>
      <c r="F467">
        <v>14</v>
      </c>
      <c r="G467">
        <v>194</v>
      </c>
      <c r="H467">
        <v>15.25</v>
      </c>
      <c r="I467">
        <v>16</v>
      </c>
    </row>
    <row r="468" spans="2:9" x14ac:dyDescent="0.3">
      <c r="B468" s="28" t="s">
        <v>77</v>
      </c>
      <c r="C468" t="s">
        <v>72</v>
      </c>
      <c r="D468">
        <v>194</v>
      </c>
      <c r="E468">
        <v>15.25</v>
      </c>
      <c r="F468">
        <v>16</v>
      </c>
      <c r="G468">
        <v>252</v>
      </c>
      <c r="H468">
        <v>19.25</v>
      </c>
      <c r="I468">
        <v>18</v>
      </c>
    </row>
    <row r="469" spans="2:9" x14ac:dyDescent="0.3">
      <c r="B469" s="28" t="s">
        <v>77</v>
      </c>
      <c r="C469" t="s">
        <v>72</v>
      </c>
      <c r="D469">
        <v>252</v>
      </c>
      <c r="E469">
        <v>19.25</v>
      </c>
      <c r="F469">
        <v>18</v>
      </c>
      <c r="G469">
        <v>314</v>
      </c>
      <c r="H469">
        <v>21.25</v>
      </c>
      <c r="I469">
        <v>19.25</v>
      </c>
    </row>
    <row r="470" spans="2:9" x14ac:dyDescent="0.3">
      <c r="B470" s="28" t="s">
        <v>77</v>
      </c>
      <c r="C470" t="s">
        <v>72</v>
      </c>
      <c r="D470">
        <v>314</v>
      </c>
      <c r="E470">
        <v>21.25</v>
      </c>
      <c r="F470">
        <v>19.25</v>
      </c>
      <c r="G470">
        <v>386</v>
      </c>
      <c r="H470">
        <v>23.25</v>
      </c>
      <c r="I470">
        <v>21.5</v>
      </c>
    </row>
    <row r="471" spans="2:9" x14ac:dyDescent="0.3">
      <c r="B471" s="28" t="s">
        <v>77</v>
      </c>
      <c r="C471" t="s">
        <v>72</v>
      </c>
      <c r="D471">
        <v>386</v>
      </c>
      <c r="E471">
        <v>23.25</v>
      </c>
      <c r="F471">
        <v>21.5</v>
      </c>
      <c r="G471">
        <v>468</v>
      </c>
      <c r="H471">
        <v>25</v>
      </c>
      <c r="I471">
        <v>23.375</v>
      </c>
    </row>
    <row r="472" spans="2:9" x14ac:dyDescent="0.3">
      <c r="B472" s="28" t="s">
        <v>77</v>
      </c>
      <c r="C472" t="s">
        <v>72</v>
      </c>
      <c r="D472">
        <v>468</v>
      </c>
      <c r="E472">
        <v>25</v>
      </c>
      <c r="F472">
        <v>23.375</v>
      </c>
      <c r="G472">
        <v>550</v>
      </c>
      <c r="H472">
        <v>27</v>
      </c>
      <c r="I472">
        <v>25.375</v>
      </c>
    </row>
    <row r="473" spans="2:9" x14ac:dyDescent="0.3">
      <c r="B473" s="28" t="s">
        <v>77</v>
      </c>
      <c r="C473" t="s">
        <v>72</v>
      </c>
      <c r="D473">
        <v>550</v>
      </c>
      <c r="E473">
        <v>27</v>
      </c>
      <c r="F473">
        <v>25.375</v>
      </c>
      <c r="G473">
        <v>640</v>
      </c>
      <c r="H473">
        <v>29</v>
      </c>
      <c r="I473">
        <v>27.375</v>
      </c>
    </row>
    <row r="474" spans="2:9" x14ac:dyDescent="0.3">
      <c r="B474" s="28" t="s">
        <v>77</v>
      </c>
      <c r="C474" t="s">
        <v>72</v>
      </c>
      <c r="D474">
        <v>640</v>
      </c>
      <c r="E474">
        <v>29</v>
      </c>
      <c r="F474">
        <v>27.375</v>
      </c>
      <c r="G474">
        <v>766</v>
      </c>
      <c r="H474">
        <v>31</v>
      </c>
      <c r="I474">
        <v>29.375</v>
      </c>
    </row>
    <row r="475" spans="2:9" x14ac:dyDescent="0.3">
      <c r="B475" s="28" t="s">
        <v>77</v>
      </c>
      <c r="C475" t="s">
        <v>72</v>
      </c>
      <c r="D475">
        <v>766</v>
      </c>
      <c r="E475">
        <v>31</v>
      </c>
      <c r="F475">
        <v>29.375</v>
      </c>
      <c r="G475">
        <v>872</v>
      </c>
      <c r="H475">
        <v>33</v>
      </c>
      <c r="I475">
        <v>31.375</v>
      </c>
    </row>
    <row r="476" spans="2:9" x14ac:dyDescent="0.3">
      <c r="B476" s="28" t="s">
        <v>77</v>
      </c>
      <c r="C476" t="s">
        <v>72</v>
      </c>
      <c r="D476">
        <v>872</v>
      </c>
      <c r="E476">
        <v>33</v>
      </c>
      <c r="F476">
        <v>31.375</v>
      </c>
      <c r="G476">
        <v>1004</v>
      </c>
      <c r="H476">
        <v>35</v>
      </c>
      <c r="I476">
        <v>33.375</v>
      </c>
    </row>
    <row r="477" spans="2:9" x14ac:dyDescent="0.3">
      <c r="B477" s="28" t="s">
        <v>77</v>
      </c>
      <c r="C477" t="s">
        <v>72</v>
      </c>
      <c r="D477">
        <v>1004</v>
      </c>
      <c r="E477">
        <v>35</v>
      </c>
      <c r="F477">
        <v>33.375</v>
      </c>
      <c r="G477">
        <v>1144</v>
      </c>
      <c r="H477">
        <v>37</v>
      </c>
      <c r="I477">
        <v>35.25</v>
      </c>
    </row>
    <row r="478" spans="2:9" x14ac:dyDescent="0.3">
      <c r="B478" s="28" t="s">
        <v>77</v>
      </c>
      <c r="C478" t="s">
        <v>72</v>
      </c>
      <c r="D478">
        <v>1144</v>
      </c>
      <c r="E478">
        <v>37</v>
      </c>
      <c r="F478">
        <v>35.25</v>
      </c>
      <c r="G478">
        <v>1258</v>
      </c>
      <c r="H478">
        <v>39</v>
      </c>
      <c r="I478">
        <v>37.25</v>
      </c>
    </row>
    <row r="479" spans="2:9" x14ac:dyDescent="0.3">
      <c r="B479" s="28" t="s">
        <v>77</v>
      </c>
      <c r="C479" t="s">
        <v>72</v>
      </c>
      <c r="D479">
        <v>1258</v>
      </c>
      <c r="E479">
        <v>39</v>
      </c>
      <c r="F479">
        <v>37.25</v>
      </c>
      <c r="G479">
        <v>1498</v>
      </c>
      <c r="H479">
        <v>42</v>
      </c>
      <c r="I479">
        <v>40.25</v>
      </c>
    </row>
    <row r="480" spans="2:9" x14ac:dyDescent="0.3">
      <c r="B480" s="28" t="s">
        <v>77</v>
      </c>
      <c r="C480" t="s">
        <v>72</v>
      </c>
      <c r="D480">
        <v>1498</v>
      </c>
      <c r="E480">
        <v>42</v>
      </c>
      <c r="F480">
        <v>40.25</v>
      </c>
      <c r="G480">
        <v>1650</v>
      </c>
      <c r="H480">
        <v>44</v>
      </c>
      <c r="I480">
        <v>42.25</v>
      </c>
    </row>
    <row r="481" spans="2:9" x14ac:dyDescent="0.3">
      <c r="B481" s="28" t="s">
        <v>77</v>
      </c>
      <c r="C481" t="s">
        <v>72</v>
      </c>
      <c r="D481">
        <v>1650</v>
      </c>
      <c r="E481">
        <v>44</v>
      </c>
      <c r="F481">
        <v>42.25</v>
      </c>
      <c r="G481">
        <v>1834</v>
      </c>
      <c r="H481">
        <v>48</v>
      </c>
      <c r="I481">
        <v>46</v>
      </c>
    </row>
    <row r="482" spans="2:9" x14ac:dyDescent="0.3">
      <c r="B482" s="28" t="s">
        <v>77</v>
      </c>
      <c r="C482" t="s">
        <v>72</v>
      </c>
      <c r="D482">
        <v>1834</v>
      </c>
      <c r="E482">
        <v>48</v>
      </c>
      <c r="F482">
        <v>46</v>
      </c>
      <c r="G482">
        <v>2178</v>
      </c>
      <c r="H482">
        <v>52</v>
      </c>
      <c r="I482">
        <v>50</v>
      </c>
    </row>
    <row r="483" spans="2:9" x14ac:dyDescent="0.3">
      <c r="B483" s="28" t="s">
        <v>77</v>
      </c>
      <c r="C483" t="s">
        <v>72</v>
      </c>
      <c r="D483">
        <v>2178</v>
      </c>
      <c r="E483">
        <v>52</v>
      </c>
      <c r="F483">
        <v>50</v>
      </c>
      <c r="G483">
        <v>2556</v>
      </c>
      <c r="H483">
        <v>56</v>
      </c>
      <c r="I483">
        <v>54</v>
      </c>
    </row>
    <row r="484" spans="2:9" x14ac:dyDescent="0.3">
      <c r="B484" s="28" t="s">
        <v>77</v>
      </c>
      <c r="C484" t="s">
        <v>72</v>
      </c>
      <c r="D484">
        <v>2556</v>
      </c>
      <c r="E484">
        <v>56</v>
      </c>
      <c r="F484">
        <v>54</v>
      </c>
      <c r="G484">
        <v>16</v>
      </c>
      <c r="H484">
        <v>8.0709999999999997</v>
      </c>
      <c r="I484">
        <v>6.8209999999999997</v>
      </c>
    </row>
    <row r="485" spans="2:9" x14ac:dyDescent="0.3">
      <c r="B485" s="28" t="s">
        <v>78</v>
      </c>
      <c r="C485" t="s">
        <v>76</v>
      </c>
      <c r="D485">
        <v>16</v>
      </c>
      <c r="E485">
        <v>8.0709999999999997</v>
      </c>
      <c r="F485">
        <v>6.8209999999999997</v>
      </c>
      <c r="G485">
        <v>28</v>
      </c>
      <c r="H485">
        <v>10</v>
      </c>
      <c r="I485">
        <v>8.77</v>
      </c>
    </row>
    <row r="486" spans="2:9" x14ac:dyDescent="0.3">
      <c r="B486" s="28" t="s">
        <v>78</v>
      </c>
      <c r="C486" t="s">
        <v>76</v>
      </c>
      <c r="D486">
        <v>28</v>
      </c>
      <c r="E486">
        <v>10</v>
      </c>
      <c r="F486">
        <v>8.77</v>
      </c>
      <c r="G486">
        <v>44</v>
      </c>
      <c r="H486">
        <v>12</v>
      </c>
      <c r="I486">
        <v>10.75</v>
      </c>
    </row>
    <row r="487" spans="2:9" x14ac:dyDescent="0.3">
      <c r="B487" s="28" t="s">
        <v>78</v>
      </c>
      <c r="C487" t="s">
        <v>76</v>
      </c>
      <c r="D487">
        <v>44</v>
      </c>
      <c r="E487">
        <v>12</v>
      </c>
      <c r="F487">
        <v>10.75</v>
      </c>
      <c r="G487">
        <v>56</v>
      </c>
      <c r="H487">
        <v>13.25</v>
      </c>
      <c r="I487">
        <v>12</v>
      </c>
    </row>
    <row r="488" spans="2:9" x14ac:dyDescent="0.3">
      <c r="B488" s="28" t="s">
        <v>78</v>
      </c>
      <c r="C488" t="s">
        <v>76</v>
      </c>
      <c r="D488">
        <v>56</v>
      </c>
      <c r="E488">
        <v>13.25</v>
      </c>
      <c r="F488">
        <v>12</v>
      </c>
      <c r="G488">
        <v>86</v>
      </c>
      <c r="H488">
        <v>15.25</v>
      </c>
      <c r="I488">
        <v>14</v>
      </c>
    </row>
    <row r="489" spans="2:9" x14ac:dyDescent="0.3">
      <c r="B489" s="28" t="s">
        <v>78</v>
      </c>
      <c r="C489" t="s">
        <v>76</v>
      </c>
      <c r="D489">
        <v>86</v>
      </c>
      <c r="E489">
        <v>15.25</v>
      </c>
      <c r="F489">
        <v>14</v>
      </c>
      <c r="G489">
        <v>116</v>
      </c>
      <c r="H489">
        <v>15.25</v>
      </c>
      <c r="I489">
        <v>16</v>
      </c>
    </row>
    <row r="490" spans="2:9" x14ac:dyDescent="0.3">
      <c r="B490" s="28" t="s">
        <v>78</v>
      </c>
      <c r="C490" t="s">
        <v>76</v>
      </c>
      <c r="D490">
        <v>116</v>
      </c>
      <c r="E490">
        <v>15.25</v>
      </c>
      <c r="F490">
        <v>16</v>
      </c>
      <c r="G490">
        <v>152</v>
      </c>
      <c r="H490">
        <v>19.25</v>
      </c>
      <c r="I490">
        <v>18</v>
      </c>
    </row>
    <row r="491" spans="2:9" x14ac:dyDescent="0.3">
      <c r="B491" s="28" t="s">
        <v>78</v>
      </c>
      <c r="C491" t="s">
        <v>76</v>
      </c>
      <c r="D491">
        <v>152</v>
      </c>
      <c r="E491">
        <v>19.25</v>
      </c>
      <c r="F491">
        <v>18</v>
      </c>
      <c r="G491">
        <v>170</v>
      </c>
      <c r="H491">
        <v>21.25</v>
      </c>
      <c r="I491">
        <v>19.25</v>
      </c>
    </row>
    <row r="492" spans="2:9" x14ac:dyDescent="0.3">
      <c r="B492" s="28" t="s">
        <v>78</v>
      </c>
      <c r="C492" t="s">
        <v>76</v>
      </c>
      <c r="D492">
        <v>170</v>
      </c>
      <c r="E492">
        <v>21.25</v>
      </c>
      <c r="F492">
        <v>19.25</v>
      </c>
      <c r="G492">
        <v>216</v>
      </c>
      <c r="H492">
        <v>23.25</v>
      </c>
      <c r="I492">
        <v>21.5</v>
      </c>
    </row>
    <row r="493" spans="2:9" x14ac:dyDescent="0.3">
      <c r="B493" s="28" t="s">
        <v>78</v>
      </c>
      <c r="C493" t="s">
        <v>76</v>
      </c>
      <c r="D493">
        <v>216</v>
      </c>
      <c r="E493">
        <v>23.25</v>
      </c>
      <c r="F493">
        <v>21.5</v>
      </c>
      <c r="G493">
        <v>256</v>
      </c>
      <c r="H493">
        <v>25</v>
      </c>
      <c r="I493">
        <v>23.375</v>
      </c>
    </row>
    <row r="494" spans="2:9" x14ac:dyDescent="0.3">
      <c r="B494" s="28" t="s">
        <v>78</v>
      </c>
      <c r="C494" t="s">
        <v>76</v>
      </c>
      <c r="D494">
        <v>256</v>
      </c>
      <c r="E494">
        <v>25</v>
      </c>
      <c r="F494">
        <v>23.375</v>
      </c>
      <c r="G494">
        <v>302</v>
      </c>
      <c r="H494">
        <v>27</v>
      </c>
      <c r="I494">
        <v>25.375</v>
      </c>
    </row>
    <row r="495" spans="2:9" x14ac:dyDescent="0.3">
      <c r="B495" s="28" t="s">
        <v>78</v>
      </c>
      <c r="C495" t="s">
        <v>76</v>
      </c>
      <c r="D495">
        <v>302</v>
      </c>
      <c r="E495">
        <v>27</v>
      </c>
      <c r="F495">
        <v>25.375</v>
      </c>
      <c r="G495">
        <v>354</v>
      </c>
      <c r="H495">
        <v>29</v>
      </c>
      <c r="I495">
        <v>27.375</v>
      </c>
    </row>
    <row r="496" spans="2:9" x14ac:dyDescent="0.3">
      <c r="B496" s="28" t="s">
        <v>78</v>
      </c>
      <c r="C496" t="s">
        <v>76</v>
      </c>
      <c r="D496">
        <v>354</v>
      </c>
      <c r="E496">
        <v>29</v>
      </c>
      <c r="F496">
        <v>27.375</v>
      </c>
      <c r="G496">
        <v>430</v>
      </c>
      <c r="H496">
        <v>31</v>
      </c>
      <c r="I496">
        <v>29.375</v>
      </c>
    </row>
    <row r="497" spans="2:9" x14ac:dyDescent="0.3">
      <c r="B497" s="28" t="s">
        <v>78</v>
      </c>
      <c r="C497" t="s">
        <v>76</v>
      </c>
      <c r="D497">
        <v>430</v>
      </c>
      <c r="E497">
        <v>31</v>
      </c>
      <c r="F497">
        <v>29.375</v>
      </c>
      <c r="G497">
        <v>486</v>
      </c>
      <c r="H497">
        <v>33</v>
      </c>
      <c r="I497">
        <v>31.375</v>
      </c>
    </row>
    <row r="498" spans="2:9" x14ac:dyDescent="0.3">
      <c r="B498" s="28" t="s">
        <v>78</v>
      </c>
      <c r="C498" t="s">
        <v>76</v>
      </c>
      <c r="D498">
        <v>486</v>
      </c>
      <c r="E498">
        <v>33</v>
      </c>
      <c r="F498">
        <v>31.375</v>
      </c>
      <c r="G498">
        <v>566</v>
      </c>
      <c r="H498">
        <v>35</v>
      </c>
      <c r="I498">
        <v>33.375</v>
      </c>
    </row>
    <row r="499" spans="2:9" x14ac:dyDescent="0.3">
      <c r="B499" s="28" t="s">
        <v>78</v>
      </c>
      <c r="C499" t="s">
        <v>76</v>
      </c>
      <c r="D499">
        <v>566</v>
      </c>
      <c r="E499">
        <v>35</v>
      </c>
      <c r="F499">
        <v>33.375</v>
      </c>
      <c r="G499">
        <v>632</v>
      </c>
      <c r="H499">
        <v>37</v>
      </c>
      <c r="I499">
        <v>35.25</v>
      </c>
    </row>
    <row r="500" spans="2:9" x14ac:dyDescent="0.3">
      <c r="B500" s="28" t="s">
        <v>78</v>
      </c>
      <c r="C500" t="s">
        <v>76</v>
      </c>
      <c r="D500">
        <v>632</v>
      </c>
      <c r="E500">
        <v>37</v>
      </c>
      <c r="F500">
        <v>35.25</v>
      </c>
      <c r="G500">
        <v>700</v>
      </c>
      <c r="H500">
        <v>39</v>
      </c>
      <c r="I500">
        <v>37.25</v>
      </c>
    </row>
    <row r="501" spans="2:9" x14ac:dyDescent="0.3">
      <c r="B501" s="28" t="s">
        <v>78</v>
      </c>
      <c r="C501" t="s">
        <v>76</v>
      </c>
      <c r="D501">
        <v>700</v>
      </c>
      <c r="E501">
        <v>39</v>
      </c>
      <c r="F501">
        <v>37.25</v>
      </c>
      <c r="G501">
        <v>834</v>
      </c>
      <c r="H501">
        <v>42</v>
      </c>
      <c r="I501">
        <v>40.25</v>
      </c>
    </row>
    <row r="502" spans="2:9" x14ac:dyDescent="0.3">
      <c r="B502" s="28" t="s">
        <v>78</v>
      </c>
      <c r="C502" t="s">
        <v>76</v>
      </c>
      <c r="D502">
        <v>834</v>
      </c>
      <c r="E502">
        <v>42</v>
      </c>
      <c r="F502">
        <v>40.25</v>
      </c>
      <c r="G502">
        <v>921</v>
      </c>
      <c r="H502">
        <v>44</v>
      </c>
      <c r="I502">
        <v>42.25</v>
      </c>
    </row>
    <row r="503" spans="2:9" x14ac:dyDescent="0.3">
      <c r="B503" s="28" t="s">
        <v>78</v>
      </c>
      <c r="C503" t="s">
        <v>76</v>
      </c>
      <c r="D503">
        <v>921</v>
      </c>
      <c r="E503">
        <v>44</v>
      </c>
      <c r="F503">
        <v>42.25</v>
      </c>
      <c r="G503">
        <v>1098</v>
      </c>
      <c r="H503">
        <v>48</v>
      </c>
      <c r="I503">
        <v>46</v>
      </c>
    </row>
    <row r="504" spans="2:9" x14ac:dyDescent="0.3">
      <c r="B504" s="28" t="s">
        <v>78</v>
      </c>
      <c r="C504" t="s">
        <v>76</v>
      </c>
      <c r="D504">
        <v>1098</v>
      </c>
      <c r="E504">
        <v>48</v>
      </c>
      <c r="F504">
        <v>46</v>
      </c>
      <c r="G504">
        <v>1323</v>
      </c>
      <c r="H504">
        <v>52</v>
      </c>
      <c r="I504">
        <v>50</v>
      </c>
    </row>
    <row r="505" spans="2:9" x14ac:dyDescent="0.3">
      <c r="B505" s="28" t="s">
        <v>78</v>
      </c>
      <c r="C505" t="s">
        <v>76</v>
      </c>
      <c r="D505">
        <v>1323</v>
      </c>
      <c r="E505">
        <v>52</v>
      </c>
      <c r="F505">
        <v>50</v>
      </c>
      <c r="G505">
        <v>1549</v>
      </c>
      <c r="H505">
        <v>56</v>
      </c>
      <c r="I505">
        <v>54</v>
      </c>
    </row>
    <row r="506" spans="2:9" x14ac:dyDescent="0.3">
      <c r="B506" s="28" t="s">
        <v>78</v>
      </c>
      <c r="C506" t="s">
        <v>76</v>
      </c>
      <c r="D506">
        <v>1549</v>
      </c>
      <c r="E506">
        <v>56</v>
      </c>
      <c r="F506">
        <v>54</v>
      </c>
      <c r="G506">
        <v>16</v>
      </c>
      <c r="H506">
        <v>8.0709999999999997</v>
      </c>
      <c r="I506">
        <v>6.8209999999999997</v>
      </c>
    </row>
    <row r="507" spans="2:9" x14ac:dyDescent="0.3">
      <c r="B507" s="28" t="s">
        <v>78</v>
      </c>
      <c r="C507" t="s">
        <v>75</v>
      </c>
      <c r="D507">
        <v>16</v>
      </c>
      <c r="E507">
        <v>8.0709999999999997</v>
      </c>
      <c r="F507">
        <v>6.8209999999999997</v>
      </c>
      <c r="G507">
        <v>26</v>
      </c>
      <c r="H507">
        <v>10</v>
      </c>
      <c r="I507">
        <v>8.77</v>
      </c>
    </row>
    <row r="508" spans="2:9" x14ac:dyDescent="0.3">
      <c r="B508" s="28" t="s">
        <v>78</v>
      </c>
      <c r="C508" t="s">
        <v>75</v>
      </c>
      <c r="D508">
        <v>26</v>
      </c>
      <c r="E508">
        <v>10</v>
      </c>
      <c r="F508">
        <v>8.77</v>
      </c>
      <c r="G508">
        <v>40</v>
      </c>
      <c r="H508">
        <v>12</v>
      </c>
      <c r="I508">
        <v>10.75</v>
      </c>
    </row>
    <row r="509" spans="2:9" x14ac:dyDescent="0.3">
      <c r="B509" s="28" t="s">
        <v>78</v>
      </c>
      <c r="C509" t="s">
        <v>75</v>
      </c>
      <c r="D509">
        <v>40</v>
      </c>
      <c r="E509">
        <v>12</v>
      </c>
      <c r="F509">
        <v>10.75</v>
      </c>
      <c r="G509">
        <v>51</v>
      </c>
      <c r="H509">
        <v>13.25</v>
      </c>
      <c r="I509">
        <v>12</v>
      </c>
    </row>
    <row r="510" spans="2:9" x14ac:dyDescent="0.3">
      <c r="B510" s="28" t="s">
        <v>78</v>
      </c>
      <c r="C510" t="s">
        <v>75</v>
      </c>
      <c r="D510">
        <v>51</v>
      </c>
      <c r="E510">
        <v>13.25</v>
      </c>
      <c r="F510">
        <v>12</v>
      </c>
      <c r="G510">
        <v>75</v>
      </c>
      <c r="H510">
        <v>15.25</v>
      </c>
      <c r="I510">
        <v>14</v>
      </c>
    </row>
    <row r="511" spans="2:9" x14ac:dyDescent="0.3">
      <c r="B511" s="28" t="s">
        <v>78</v>
      </c>
      <c r="C511" t="s">
        <v>75</v>
      </c>
      <c r="D511">
        <v>75</v>
      </c>
      <c r="E511">
        <v>15.25</v>
      </c>
      <c r="F511">
        <v>14</v>
      </c>
      <c r="G511">
        <v>102</v>
      </c>
      <c r="H511">
        <v>15.25</v>
      </c>
      <c r="I511">
        <v>16</v>
      </c>
    </row>
    <row r="512" spans="2:9" x14ac:dyDescent="0.3">
      <c r="B512" s="28" t="s">
        <v>78</v>
      </c>
      <c r="C512" t="s">
        <v>75</v>
      </c>
      <c r="D512">
        <v>102</v>
      </c>
      <c r="E512">
        <v>15.25</v>
      </c>
      <c r="F512">
        <v>16</v>
      </c>
      <c r="G512">
        <v>136</v>
      </c>
      <c r="H512">
        <v>19.25</v>
      </c>
      <c r="I512">
        <v>18</v>
      </c>
    </row>
    <row r="513" spans="2:9" x14ac:dyDescent="0.3">
      <c r="B513" s="28" t="s">
        <v>78</v>
      </c>
      <c r="C513" t="s">
        <v>75</v>
      </c>
      <c r="D513">
        <v>136</v>
      </c>
      <c r="E513">
        <v>19.25</v>
      </c>
      <c r="F513">
        <v>18</v>
      </c>
      <c r="G513">
        <v>197</v>
      </c>
      <c r="H513">
        <v>23.25</v>
      </c>
      <c r="I513">
        <v>21.5</v>
      </c>
    </row>
    <row r="514" spans="2:9" x14ac:dyDescent="0.3">
      <c r="B514" s="28" t="s">
        <v>78</v>
      </c>
      <c r="C514" t="s">
        <v>75</v>
      </c>
      <c r="D514">
        <v>197</v>
      </c>
      <c r="E514">
        <v>23.25</v>
      </c>
      <c r="F514">
        <v>21.5</v>
      </c>
      <c r="G514">
        <v>224</v>
      </c>
      <c r="H514">
        <v>25</v>
      </c>
      <c r="I514">
        <v>23.375</v>
      </c>
    </row>
    <row r="515" spans="2:9" x14ac:dyDescent="0.3">
      <c r="B515" s="28" t="s">
        <v>78</v>
      </c>
      <c r="C515" t="s">
        <v>75</v>
      </c>
      <c r="D515">
        <v>224</v>
      </c>
      <c r="E515">
        <v>25</v>
      </c>
      <c r="F515">
        <v>23.375</v>
      </c>
      <c r="G515">
        <v>257</v>
      </c>
      <c r="H515">
        <v>21.25</v>
      </c>
      <c r="I515">
        <v>19.25</v>
      </c>
    </row>
    <row r="516" spans="2:9" x14ac:dyDescent="0.3">
      <c r="B516" s="28" t="s">
        <v>78</v>
      </c>
      <c r="C516" t="s">
        <v>75</v>
      </c>
      <c r="D516">
        <v>257</v>
      </c>
      <c r="E516">
        <v>21.25</v>
      </c>
      <c r="F516">
        <v>19.25</v>
      </c>
      <c r="G516">
        <v>267</v>
      </c>
      <c r="H516">
        <v>27</v>
      </c>
      <c r="I516">
        <v>25.375</v>
      </c>
    </row>
    <row r="517" spans="2:9" x14ac:dyDescent="0.3">
      <c r="B517" s="28" t="s">
        <v>78</v>
      </c>
      <c r="C517" t="s">
        <v>75</v>
      </c>
      <c r="D517">
        <v>267</v>
      </c>
      <c r="E517">
        <v>27</v>
      </c>
      <c r="F517">
        <v>25.375</v>
      </c>
      <c r="G517">
        <v>322</v>
      </c>
      <c r="H517">
        <v>29</v>
      </c>
      <c r="I517">
        <v>27.375</v>
      </c>
    </row>
    <row r="518" spans="2:9" x14ac:dyDescent="0.3">
      <c r="B518" s="28" t="s">
        <v>78</v>
      </c>
      <c r="C518" t="s">
        <v>75</v>
      </c>
      <c r="D518">
        <v>322</v>
      </c>
      <c r="E518">
        <v>29</v>
      </c>
      <c r="F518">
        <v>27.375</v>
      </c>
      <c r="G518">
        <v>366</v>
      </c>
      <c r="H518">
        <v>31</v>
      </c>
      <c r="I518">
        <v>29.375</v>
      </c>
    </row>
    <row r="519" spans="2:9" x14ac:dyDescent="0.3">
      <c r="B519" s="28" t="s">
        <v>78</v>
      </c>
      <c r="C519" t="s">
        <v>75</v>
      </c>
      <c r="D519">
        <v>366</v>
      </c>
      <c r="E519">
        <v>31</v>
      </c>
      <c r="F519">
        <v>29.375</v>
      </c>
      <c r="G519">
        <v>430</v>
      </c>
      <c r="H519">
        <v>33</v>
      </c>
      <c r="I519">
        <v>31.375</v>
      </c>
    </row>
    <row r="520" spans="2:9" x14ac:dyDescent="0.3">
      <c r="B520" s="28" t="s">
        <v>78</v>
      </c>
      <c r="C520" t="s">
        <v>75</v>
      </c>
      <c r="D520">
        <v>430</v>
      </c>
      <c r="E520">
        <v>33</v>
      </c>
      <c r="F520">
        <v>31.375</v>
      </c>
      <c r="G520">
        <v>487</v>
      </c>
      <c r="H520">
        <v>35</v>
      </c>
      <c r="I520">
        <v>33.375</v>
      </c>
    </row>
    <row r="521" spans="2:9" x14ac:dyDescent="0.3">
      <c r="B521" s="28" t="s">
        <v>78</v>
      </c>
      <c r="C521" t="s">
        <v>75</v>
      </c>
      <c r="D521">
        <v>487</v>
      </c>
      <c r="E521">
        <v>35</v>
      </c>
      <c r="F521">
        <v>33.375</v>
      </c>
      <c r="G521">
        <v>555</v>
      </c>
      <c r="H521">
        <v>37</v>
      </c>
      <c r="I521">
        <v>35.25</v>
      </c>
    </row>
    <row r="522" spans="2:9" x14ac:dyDescent="0.3">
      <c r="B522" s="28" t="s">
        <v>78</v>
      </c>
      <c r="C522" t="s">
        <v>75</v>
      </c>
      <c r="D522">
        <v>555</v>
      </c>
      <c r="E522">
        <v>37</v>
      </c>
      <c r="F522">
        <v>35.25</v>
      </c>
      <c r="G522">
        <v>619</v>
      </c>
      <c r="H522">
        <v>39</v>
      </c>
      <c r="I522">
        <v>37.25</v>
      </c>
    </row>
    <row r="523" spans="2:9" x14ac:dyDescent="0.3">
      <c r="B523" s="28" t="s">
        <v>78</v>
      </c>
      <c r="C523" t="s">
        <v>75</v>
      </c>
      <c r="D523">
        <v>619</v>
      </c>
      <c r="E523">
        <v>39</v>
      </c>
      <c r="F523">
        <v>37.25</v>
      </c>
      <c r="G523">
        <v>708</v>
      </c>
      <c r="H523">
        <v>42</v>
      </c>
      <c r="I523">
        <v>40.25</v>
      </c>
    </row>
    <row r="524" spans="2:9" x14ac:dyDescent="0.3">
      <c r="B524" s="28" t="s">
        <v>78</v>
      </c>
      <c r="C524" t="s">
        <v>75</v>
      </c>
      <c r="D524">
        <v>708</v>
      </c>
      <c r="E524">
        <v>42</v>
      </c>
      <c r="F524">
        <v>40.25</v>
      </c>
      <c r="G524">
        <v>809</v>
      </c>
      <c r="H524">
        <v>44</v>
      </c>
      <c r="I524">
        <v>42.25</v>
      </c>
    </row>
    <row r="525" spans="2:9" x14ac:dyDescent="0.3">
      <c r="B525" s="28" t="s">
        <v>78</v>
      </c>
      <c r="C525" t="s">
        <v>75</v>
      </c>
      <c r="D525">
        <v>809</v>
      </c>
      <c r="E525">
        <v>44</v>
      </c>
      <c r="F525">
        <v>42.25</v>
      </c>
      <c r="G525">
        <v>975</v>
      </c>
      <c r="H525">
        <v>48</v>
      </c>
      <c r="I525">
        <v>46</v>
      </c>
    </row>
    <row r="526" spans="2:9" x14ac:dyDescent="0.3">
      <c r="B526" s="28" t="s">
        <v>78</v>
      </c>
      <c r="C526" t="s">
        <v>75</v>
      </c>
      <c r="D526">
        <v>975</v>
      </c>
      <c r="E526">
        <v>48</v>
      </c>
      <c r="F526">
        <v>46</v>
      </c>
      <c r="G526">
        <v>1167</v>
      </c>
      <c r="H526">
        <v>52</v>
      </c>
      <c r="I526">
        <v>50</v>
      </c>
    </row>
    <row r="527" spans="2:9" x14ac:dyDescent="0.3">
      <c r="B527" s="28" t="s">
        <v>78</v>
      </c>
      <c r="C527" t="s">
        <v>75</v>
      </c>
      <c r="D527">
        <v>1167</v>
      </c>
      <c r="E527">
        <v>52</v>
      </c>
      <c r="F527">
        <v>50</v>
      </c>
      <c r="G527">
        <v>1371</v>
      </c>
      <c r="H527">
        <v>56</v>
      </c>
      <c r="I527">
        <v>54</v>
      </c>
    </row>
    <row r="528" spans="2:9" x14ac:dyDescent="0.3">
      <c r="B528" s="28" t="s">
        <v>78</v>
      </c>
      <c r="C528" t="s">
        <v>75</v>
      </c>
      <c r="D528">
        <v>1371</v>
      </c>
      <c r="E528">
        <v>56</v>
      </c>
      <c r="F528">
        <v>54</v>
      </c>
      <c r="G528">
        <v>1371</v>
      </c>
      <c r="H528">
        <v>56</v>
      </c>
      <c r="I528">
        <v>54</v>
      </c>
    </row>
    <row r="529" spans="1:9" ht="28.8" x14ac:dyDescent="0.3">
      <c r="A529">
        <v>6</v>
      </c>
      <c r="B529" s="26" t="s">
        <v>68</v>
      </c>
      <c r="C529" s="26" t="s">
        <v>70</v>
      </c>
      <c r="D529" s="26">
        <v>6</v>
      </c>
      <c r="E529" s="26" t="s">
        <v>66</v>
      </c>
      <c r="F529" s="26" t="s">
        <v>67</v>
      </c>
    </row>
    <row r="530" spans="1:9" x14ac:dyDescent="0.3">
      <c r="B530" s="28" t="s">
        <v>77</v>
      </c>
      <c r="C530" t="s">
        <v>74</v>
      </c>
      <c r="D530">
        <v>24</v>
      </c>
      <c r="E530">
        <v>8.0709999999999997</v>
      </c>
      <c r="F530">
        <v>6.8209999999999997</v>
      </c>
      <c r="G530">
        <v>48</v>
      </c>
      <c r="H530">
        <v>10</v>
      </c>
      <c r="I530">
        <v>8.77</v>
      </c>
    </row>
    <row r="531" spans="1:9" x14ac:dyDescent="0.3">
      <c r="B531" s="28" t="s">
        <v>77</v>
      </c>
      <c r="C531" t="s">
        <v>74</v>
      </c>
      <c r="D531">
        <v>48</v>
      </c>
      <c r="E531">
        <v>10</v>
      </c>
      <c r="F531">
        <v>8.77</v>
      </c>
      <c r="G531">
        <v>70</v>
      </c>
      <c r="H531">
        <v>12</v>
      </c>
      <c r="I531">
        <v>10.75</v>
      </c>
    </row>
    <row r="532" spans="1:9" x14ac:dyDescent="0.3">
      <c r="B532" s="28" t="s">
        <v>77</v>
      </c>
      <c r="C532" t="s">
        <v>74</v>
      </c>
      <c r="D532">
        <v>70</v>
      </c>
      <c r="E532">
        <v>12</v>
      </c>
      <c r="F532">
        <v>10.75</v>
      </c>
      <c r="G532">
        <v>88</v>
      </c>
      <c r="H532">
        <v>13.25</v>
      </c>
      <c r="I532">
        <v>12</v>
      </c>
    </row>
    <row r="533" spans="1:9" x14ac:dyDescent="0.3">
      <c r="B533" s="28" t="s">
        <v>77</v>
      </c>
      <c r="C533" t="s">
        <v>74</v>
      </c>
      <c r="D533">
        <v>88</v>
      </c>
      <c r="E533">
        <v>13.25</v>
      </c>
      <c r="F533">
        <v>12</v>
      </c>
      <c r="G533">
        <v>133</v>
      </c>
      <c r="H533">
        <v>15.25</v>
      </c>
      <c r="I533">
        <v>14</v>
      </c>
    </row>
    <row r="534" spans="1:9" x14ac:dyDescent="0.3">
      <c r="B534" s="28" t="s">
        <v>77</v>
      </c>
      <c r="C534" t="s">
        <v>74</v>
      </c>
      <c r="D534">
        <v>133</v>
      </c>
      <c r="E534">
        <v>15.25</v>
      </c>
      <c r="F534">
        <v>14</v>
      </c>
      <c r="G534">
        <v>176</v>
      </c>
      <c r="H534">
        <v>15.25</v>
      </c>
      <c r="I534">
        <v>16</v>
      </c>
    </row>
    <row r="535" spans="1:9" x14ac:dyDescent="0.3">
      <c r="B535" s="28" t="s">
        <v>77</v>
      </c>
      <c r="C535" t="s">
        <v>74</v>
      </c>
      <c r="D535">
        <v>176</v>
      </c>
      <c r="E535">
        <v>15.25</v>
      </c>
      <c r="F535">
        <v>16</v>
      </c>
      <c r="G535">
        <v>236</v>
      </c>
      <c r="H535">
        <v>19.25</v>
      </c>
      <c r="I535">
        <v>18</v>
      </c>
    </row>
    <row r="536" spans="1:9" x14ac:dyDescent="0.3">
      <c r="B536" s="28" t="s">
        <v>77</v>
      </c>
      <c r="C536" t="s">
        <v>74</v>
      </c>
      <c r="D536">
        <v>236</v>
      </c>
      <c r="E536">
        <v>19.25</v>
      </c>
      <c r="F536">
        <v>18</v>
      </c>
      <c r="G536">
        <v>269</v>
      </c>
      <c r="H536">
        <v>21.25</v>
      </c>
      <c r="I536">
        <v>19.25</v>
      </c>
    </row>
    <row r="537" spans="1:9" x14ac:dyDescent="0.3">
      <c r="B537" s="28" t="s">
        <v>77</v>
      </c>
      <c r="C537" t="s">
        <v>74</v>
      </c>
      <c r="D537">
        <v>269</v>
      </c>
      <c r="E537">
        <v>21.25</v>
      </c>
      <c r="F537">
        <v>19.25</v>
      </c>
      <c r="G537">
        <v>326</v>
      </c>
      <c r="H537">
        <v>23.25</v>
      </c>
      <c r="I537">
        <v>21.5</v>
      </c>
    </row>
    <row r="538" spans="1:9" x14ac:dyDescent="0.3">
      <c r="B538" s="28" t="s">
        <v>77</v>
      </c>
      <c r="C538" t="s">
        <v>74</v>
      </c>
      <c r="D538">
        <v>326</v>
      </c>
      <c r="E538">
        <v>23.25</v>
      </c>
      <c r="F538">
        <v>21.5</v>
      </c>
      <c r="G538">
        <v>394</v>
      </c>
      <c r="H538">
        <v>25</v>
      </c>
      <c r="I538">
        <v>23.375</v>
      </c>
    </row>
    <row r="539" spans="1:9" x14ac:dyDescent="0.3">
      <c r="B539" s="28" t="s">
        <v>77</v>
      </c>
      <c r="C539" t="s">
        <v>74</v>
      </c>
      <c r="D539">
        <v>394</v>
      </c>
      <c r="E539">
        <v>25</v>
      </c>
      <c r="F539">
        <v>23.375</v>
      </c>
      <c r="G539">
        <v>474</v>
      </c>
      <c r="H539">
        <v>27</v>
      </c>
      <c r="I539">
        <v>25.375</v>
      </c>
    </row>
    <row r="540" spans="1:9" x14ac:dyDescent="0.3">
      <c r="B540" s="28" t="s">
        <v>77</v>
      </c>
      <c r="C540" t="s">
        <v>74</v>
      </c>
      <c r="D540">
        <v>474</v>
      </c>
      <c r="E540">
        <v>27</v>
      </c>
      <c r="F540">
        <v>25.375</v>
      </c>
      <c r="G540">
        <v>538</v>
      </c>
      <c r="H540">
        <v>29</v>
      </c>
      <c r="I540">
        <v>27.375</v>
      </c>
    </row>
    <row r="541" spans="1:9" x14ac:dyDescent="0.3">
      <c r="B541" s="28" t="s">
        <v>77</v>
      </c>
      <c r="C541" t="s">
        <v>74</v>
      </c>
      <c r="D541">
        <v>538</v>
      </c>
      <c r="E541">
        <v>29</v>
      </c>
      <c r="F541">
        <v>27.375</v>
      </c>
      <c r="G541">
        <v>666</v>
      </c>
      <c r="H541">
        <v>31</v>
      </c>
      <c r="I541">
        <v>29.375</v>
      </c>
    </row>
    <row r="542" spans="1:9" x14ac:dyDescent="0.3">
      <c r="B542" s="28" t="s">
        <v>77</v>
      </c>
      <c r="C542" t="s">
        <v>74</v>
      </c>
      <c r="D542">
        <v>666</v>
      </c>
      <c r="E542">
        <v>31</v>
      </c>
      <c r="F542">
        <v>29.375</v>
      </c>
      <c r="G542">
        <v>760</v>
      </c>
      <c r="H542">
        <v>33</v>
      </c>
      <c r="I542">
        <v>31.375</v>
      </c>
    </row>
    <row r="543" spans="1:9" x14ac:dyDescent="0.3">
      <c r="B543" s="28" t="s">
        <v>77</v>
      </c>
      <c r="C543" t="s">
        <v>74</v>
      </c>
      <c r="D543">
        <v>760</v>
      </c>
      <c r="E543">
        <v>33</v>
      </c>
      <c r="F543">
        <v>31.375</v>
      </c>
      <c r="G543">
        <v>864</v>
      </c>
      <c r="H543">
        <v>35</v>
      </c>
      <c r="I543">
        <v>33.375</v>
      </c>
    </row>
    <row r="544" spans="1:9" x14ac:dyDescent="0.3">
      <c r="B544" s="28" t="s">
        <v>77</v>
      </c>
      <c r="C544" t="s">
        <v>74</v>
      </c>
      <c r="D544">
        <v>864</v>
      </c>
      <c r="E544">
        <v>35</v>
      </c>
      <c r="F544">
        <v>33.375</v>
      </c>
      <c r="G544">
        <v>966</v>
      </c>
      <c r="H544">
        <v>37</v>
      </c>
      <c r="I544">
        <v>35.25</v>
      </c>
    </row>
    <row r="545" spans="2:9" x14ac:dyDescent="0.3">
      <c r="B545" s="28" t="s">
        <v>77</v>
      </c>
      <c r="C545" t="s">
        <v>74</v>
      </c>
      <c r="D545">
        <v>966</v>
      </c>
      <c r="E545">
        <v>37</v>
      </c>
      <c r="F545">
        <v>35.25</v>
      </c>
      <c r="G545">
        <v>1100</v>
      </c>
      <c r="H545">
        <v>39</v>
      </c>
      <c r="I545">
        <v>37.25</v>
      </c>
    </row>
    <row r="546" spans="2:9" x14ac:dyDescent="0.3">
      <c r="B546" s="28" t="s">
        <v>77</v>
      </c>
      <c r="C546" t="s">
        <v>74</v>
      </c>
      <c r="D546">
        <v>1100</v>
      </c>
      <c r="E546">
        <v>39</v>
      </c>
      <c r="F546">
        <v>37.25</v>
      </c>
      <c r="G546">
        <v>1296</v>
      </c>
      <c r="H546">
        <v>42</v>
      </c>
      <c r="I546">
        <v>40.25</v>
      </c>
    </row>
    <row r="547" spans="2:9" x14ac:dyDescent="0.3">
      <c r="B547" s="28" t="s">
        <v>77</v>
      </c>
      <c r="C547" t="s">
        <v>74</v>
      </c>
      <c r="D547">
        <v>1296</v>
      </c>
      <c r="E547">
        <v>42</v>
      </c>
      <c r="F547">
        <v>40.25</v>
      </c>
      <c r="G547">
        <v>1422</v>
      </c>
      <c r="H547">
        <v>44</v>
      </c>
      <c r="I547">
        <v>42.25</v>
      </c>
    </row>
    <row r="548" spans="2:9" x14ac:dyDescent="0.3">
      <c r="B548" s="28" t="s">
        <v>77</v>
      </c>
      <c r="C548" t="s">
        <v>74</v>
      </c>
      <c r="D548">
        <v>1422</v>
      </c>
      <c r="E548">
        <v>44</v>
      </c>
      <c r="F548">
        <v>42.25</v>
      </c>
      <c r="G548">
        <v>1724</v>
      </c>
      <c r="H548">
        <v>48</v>
      </c>
      <c r="I548">
        <v>46</v>
      </c>
    </row>
    <row r="549" spans="2:9" x14ac:dyDescent="0.3">
      <c r="B549" s="28" t="s">
        <v>77</v>
      </c>
      <c r="C549" t="s">
        <v>74</v>
      </c>
      <c r="D549">
        <v>1724</v>
      </c>
      <c r="E549">
        <v>48</v>
      </c>
      <c r="F549">
        <v>46</v>
      </c>
      <c r="G549">
        <v>2050</v>
      </c>
      <c r="H549">
        <v>52</v>
      </c>
      <c r="I549">
        <v>50</v>
      </c>
    </row>
    <row r="550" spans="2:9" x14ac:dyDescent="0.3">
      <c r="B550" s="28" t="s">
        <v>77</v>
      </c>
      <c r="C550" t="s">
        <v>74</v>
      </c>
      <c r="D550">
        <v>2050</v>
      </c>
      <c r="E550">
        <v>52</v>
      </c>
      <c r="F550">
        <v>50</v>
      </c>
      <c r="G550">
        <v>2409</v>
      </c>
      <c r="H550">
        <v>56</v>
      </c>
      <c r="I550">
        <v>54</v>
      </c>
    </row>
    <row r="551" spans="2:9" x14ac:dyDescent="0.3">
      <c r="B551" s="28" t="s">
        <v>77</v>
      </c>
      <c r="C551" t="s">
        <v>74</v>
      </c>
      <c r="D551">
        <v>2409</v>
      </c>
      <c r="E551">
        <v>56</v>
      </c>
      <c r="F551">
        <v>54</v>
      </c>
      <c r="G551">
        <v>20</v>
      </c>
      <c r="H551">
        <v>8.0709999999999997</v>
      </c>
      <c r="I551">
        <v>6.8209999999999997</v>
      </c>
    </row>
    <row r="552" spans="2:9" x14ac:dyDescent="0.3">
      <c r="B552" s="28" t="s">
        <v>77</v>
      </c>
      <c r="C552" t="s">
        <v>73</v>
      </c>
      <c r="D552">
        <v>20</v>
      </c>
      <c r="E552">
        <v>8.0709999999999997</v>
      </c>
      <c r="F552">
        <v>6.8209999999999997</v>
      </c>
      <c r="G552">
        <v>36</v>
      </c>
      <c r="H552">
        <v>10</v>
      </c>
      <c r="I552">
        <v>8.77</v>
      </c>
    </row>
    <row r="553" spans="2:9" x14ac:dyDescent="0.3">
      <c r="B553" s="28" t="s">
        <v>77</v>
      </c>
      <c r="C553" t="s">
        <v>73</v>
      </c>
      <c r="D553">
        <v>36</v>
      </c>
      <c r="E553">
        <v>10</v>
      </c>
      <c r="F553">
        <v>8.77</v>
      </c>
      <c r="G553">
        <v>68</v>
      </c>
      <c r="H553">
        <v>12</v>
      </c>
      <c r="I553">
        <v>10.75</v>
      </c>
    </row>
    <row r="554" spans="2:9" x14ac:dyDescent="0.3">
      <c r="B554" s="28" t="s">
        <v>77</v>
      </c>
      <c r="C554" t="s">
        <v>73</v>
      </c>
      <c r="D554">
        <v>68</v>
      </c>
      <c r="E554">
        <v>12</v>
      </c>
      <c r="F554">
        <v>10.75</v>
      </c>
      <c r="G554">
        <v>77</v>
      </c>
      <c r="H554">
        <v>13.25</v>
      </c>
      <c r="I554">
        <v>12</v>
      </c>
    </row>
    <row r="555" spans="2:9" x14ac:dyDescent="0.3">
      <c r="B555" s="28" t="s">
        <v>77</v>
      </c>
      <c r="C555" t="s">
        <v>73</v>
      </c>
      <c r="D555">
        <v>77</v>
      </c>
      <c r="E555">
        <v>13.25</v>
      </c>
      <c r="F555">
        <v>12</v>
      </c>
      <c r="G555">
        <v>115</v>
      </c>
      <c r="H555">
        <v>15.25</v>
      </c>
      <c r="I555">
        <v>14</v>
      </c>
    </row>
    <row r="556" spans="2:9" x14ac:dyDescent="0.3">
      <c r="B556" s="28" t="s">
        <v>77</v>
      </c>
      <c r="C556" t="s">
        <v>73</v>
      </c>
      <c r="D556">
        <v>115</v>
      </c>
      <c r="E556">
        <v>15.25</v>
      </c>
      <c r="F556">
        <v>14</v>
      </c>
      <c r="G556">
        <v>164</v>
      </c>
      <c r="H556">
        <v>15.25</v>
      </c>
      <c r="I556">
        <v>16</v>
      </c>
    </row>
    <row r="557" spans="2:9" x14ac:dyDescent="0.3">
      <c r="B557" s="28" t="s">
        <v>77</v>
      </c>
      <c r="C557" t="s">
        <v>73</v>
      </c>
      <c r="D557">
        <v>164</v>
      </c>
      <c r="E557">
        <v>15.25</v>
      </c>
      <c r="F557">
        <v>16</v>
      </c>
      <c r="G557">
        <v>208</v>
      </c>
      <c r="H557">
        <v>19.25</v>
      </c>
      <c r="I557">
        <v>18</v>
      </c>
    </row>
    <row r="558" spans="2:9" x14ac:dyDescent="0.3">
      <c r="B558" s="28" t="s">
        <v>77</v>
      </c>
      <c r="C558" t="s">
        <v>73</v>
      </c>
      <c r="D558">
        <v>208</v>
      </c>
      <c r="E558">
        <v>19.25</v>
      </c>
      <c r="F558">
        <v>18</v>
      </c>
      <c r="G558">
        <v>240</v>
      </c>
      <c r="H558">
        <v>21.25</v>
      </c>
      <c r="I558">
        <v>19.25</v>
      </c>
    </row>
    <row r="559" spans="2:9" x14ac:dyDescent="0.3">
      <c r="B559" s="28" t="s">
        <v>77</v>
      </c>
      <c r="C559" t="s">
        <v>73</v>
      </c>
      <c r="D559">
        <v>240</v>
      </c>
      <c r="E559">
        <v>21.25</v>
      </c>
      <c r="F559">
        <v>19.25</v>
      </c>
      <c r="G559">
        <v>296</v>
      </c>
      <c r="H559">
        <v>23.25</v>
      </c>
      <c r="I559">
        <v>21.5</v>
      </c>
    </row>
    <row r="560" spans="2:9" x14ac:dyDescent="0.3">
      <c r="B560" s="28" t="s">
        <v>77</v>
      </c>
      <c r="C560" t="s">
        <v>73</v>
      </c>
      <c r="D560">
        <v>296</v>
      </c>
      <c r="E560">
        <v>23.25</v>
      </c>
      <c r="F560">
        <v>21.5</v>
      </c>
      <c r="G560">
        <v>360</v>
      </c>
      <c r="H560">
        <v>25</v>
      </c>
      <c r="I560">
        <v>23.375</v>
      </c>
    </row>
    <row r="561" spans="2:9" x14ac:dyDescent="0.3">
      <c r="B561" s="28" t="s">
        <v>77</v>
      </c>
      <c r="C561" t="s">
        <v>73</v>
      </c>
      <c r="D561">
        <v>360</v>
      </c>
      <c r="E561">
        <v>25</v>
      </c>
      <c r="F561">
        <v>23.375</v>
      </c>
      <c r="G561">
        <v>418</v>
      </c>
      <c r="H561">
        <v>27</v>
      </c>
      <c r="I561">
        <v>25.375</v>
      </c>
    </row>
    <row r="562" spans="2:9" x14ac:dyDescent="0.3">
      <c r="B562" s="28" t="s">
        <v>77</v>
      </c>
      <c r="C562" t="s">
        <v>73</v>
      </c>
      <c r="D562">
        <v>418</v>
      </c>
      <c r="E562">
        <v>27</v>
      </c>
      <c r="F562">
        <v>25.375</v>
      </c>
      <c r="G562">
        <v>509</v>
      </c>
      <c r="H562">
        <v>29</v>
      </c>
      <c r="I562">
        <v>27.375</v>
      </c>
    </row>
    <row r="563" spans="2:9" x14ac:dyDescent="0.3">
      <c r="B563" s="28" t="s">
        <v>77</v>
      </c>
      <c r="C563" t="s">
        <v>73</v>
      </c>
      <c r="D563">
        <v>509</v>
      </c>
      <c r="E563">
        <v>29</v>
      </c>
      <c r="F563">
        <v>27.375</v>
      </c>
      <c r="G563">
        <v>586</v>
      </c>
      <c r="H563">
        <v>31</v>
      </c>
      <c r="I563">
        <v>29.375</v>
      </c>
    </row>
    <row r="564" spans="2:9" x14ac:dyDescent="0.3">
      <c r="B564" s="28" t="s">
        <v>77</v>
      </c>
      <c r="C564" t="s">
        <v>73</v>
      </c>
      <c r="D564">
        <v>586</v>
      </c>
      <c r="E564">
        <v>31</v>
      </c>
      <c r="F564">
        <v>29.375</v>
      </c>
      <c r="G564">
        <v>683</v>
      </c>
      <c r="H564">
        <v>33</v>
      </c>
      <c r="I564">
        <v>31.375</v>
      </c>
    </row>
    <row r="565" spans="2:9" x14ac:dyDescent="0.3">
      <c r="B565" s="28" t="s">
        <v>77</v>
      </c>
      <c r="C565" t="s">
        <v>73</v>
      </c>
      <c r="D565">
        <v>683</v>
      </c>
      <c r="E565">
        <v>33</v>
      </c>
      <c r="F565">
        <v>31.375</v>
      </c>
      <c r="G565">
        <v>762</v>
      </c>
      <c r="H565">
        <v>35</v>
      </c>
      <c r="I565">
        <v>33.375</v>
      </c>
    </row>
    <row r="566" spans="2:9" x14ac:dyDescent="0.3">
      <c r="B566" s="28" t="s">
        <v>77</v>
      </c>
      <c r="C566" t="s">
        <v>73</v>
      </c>
      <c r="D566">
        <v>762</v>
      </c>
      <c r="E566">
        <v>35</v>
      </c>
      <c r="F566">
        <v>33.375</v>
      </c>
      <c r="G566">
        <v>870</v>
      </c>
      <c r="H566">
        <v>37</v>
      </c>
      <c r="I566">
        <v>35.25</v>
      </c>
    </row>
    <row r="567" spans="2:9" x14ac:dyDescent="0.3">
      <c r="B567" s="28" t="s">
        <v>77</v>
      </c>
      <c r="C567" t="s">
        <v>73</v>
      </c>
      <c r="D567">
        <v>870</v>
      </c>
      <c r="E567">
        <v>37</v>
      </c>
      <c r="F567">
        <v>35.25</v>
      </c>
      <c r="G567">
        <v>964</v>
      </c>
      <c r="H567">
        <v>39</v>
      </c>
      <c r="I567">
        <v>37.25</v>
      </c>
    </row>
    <row r="568" spans="2:9" x14ac:dyDescent="0.3">
      <c r="B568" s="28" t="s">
        <v>77</v>
      </c>
      <c r="C568" t="s">
        <v>73</v>
      </c>
      <c r="D568">
        <v>964</v>
      </c>
      <c r="E568">
        <v>39</v>
      </c>
      <c r="F568">
        <v>37.25</v>
      </c>
      <c r="G568">
        <v>1109</v>
      </c>
      <c r="H568">
        <v>42</v>
      </c>
      <c r="I568">
        <v>40.25</v>
      </c>
    </row>
    <row r="569" spans="2:9" x14ac:dyDescent="0.3">
      <c r="B569" s="28" t="s">
        <v>77</v>
      </c>
      <c r="C569" t="s">
        <v>73</v>
      </c>
      <c r="D569">
        <v>1109</v>
      </c>
      <c r="E569">
        <v>42</v>
      </c>
      <c r="F569">
        <v>40.25</v>
      </c>
      <c r="G569">
        <v>1270</v>
      </c>
      <c r="H569">
        <v>44</v>
      </c>
      <c r="I569">
        <v>42.25</v>
      </c>
    </row>
    <row r="570" spans="2:9" x14ac:dyDescent="0.3">
      <c r="B570" s="28" t="s">
        <v>77</v>
      </c>
      <c r="C570" t="s">
        <v>73</v>
      </c>
      <c r="D570">
        <v>1270</v>
      </c>
      <c r="E570">
        <v>44</v>
      </c>
      <c r="F570">
        <v>42.25</v>
      </c>
      <c r="G570">
        <v>1535</v>
      </c>
      <c r="H570">
        <v>48</v>
      </c>
      <c r="I570">
        <v>46</v>
      </c>
    </row>
    <row r="571" spans="2:9" x14ac:dyDescent="0.3">
      <c r="B571" s="28" t="s">
        <v>77</v>
      </c>
      <c r="C571" t="s">
        <v>73</v>
      </c>
      <c r="D571">
        <v>1535</v>
      </c>
      <c r="E571">
        <v>48</v>
      </c>
      <c r="F571">
        <v>46</v>
      </c>
      <c r="G571">
        <v>1826</v>
      </c>
      <c r="H571">
        <v>52</v>
      </c>
      <c r="I571">
        <v>50</v>
      </c>
    </row>
    <row r="572" spans="2:9" x14ac:dyDescent="0.3">
      <c r="B572" s="28" t="s">
        <v>77</v>
      </c>
      <c r="C572" t="s">
        <v>73</v>
      </c>
      <c r="D572">
        <v>1826</v>
      </c>
      <c r="E572">
        <v>52</v>
      </c>
      <c r="F572">
        <v>50</v>
      </c>
      <c r="G572">
        <v>2142</v>
      </c>
      <c r="H572">
        <v>56</v>
      </c>
      <c r="I572">
        <v>54</v>
      </c>
    </row>
    <row r="573" spans="2:9" x14ac:dyDescent="0.3">
      <c r="B573" s="28" t="s">
        <v>77</v>
      </c>
      <c r="C573" t="s">
        <v>73</v>
      </c>
      <c r="D573">
        <v>2142</v>
      </c>
      <c r="E573">
        <v>56</v>
      </c>
      <c r="F573">
        <v>54</v>
      </c>
      <c r="G573">
        <v>24</v>
      </c>
      <c r="H573">
        <v>8.0709999999999997</v>
      </c>
      <c r="I573">
        <v>6.8209999999999997</v>
      </c>
    </row>
    <row r="574" spans="2:9" x14ac:dyDescent="0.3">
      <c r="B574" s="28" t="s">
        <v>77</v>
      </c>
      <c r="C574" t="s">
        <v>72</v>
      </c>
      <c r="D574">
        <v>24</v>
      </c>
      <c r="E574">
        <v>8.0709999999999997</v>
      </c>
      <c r="F574">
        <v>6.8209999999999997</v>
      </c>
      <c r="G574">
        <v>42</v>
      </c>
      <c r="H574">
        <v>10</v>
      </c>
      <c r="I574">
        <v>8.77</v>
      </c>
    </row>
    <row r="575" spans="2:9" x14ac:dyDescent="0.3">
      <c r="B575" s="28" t="s">
        <v>77</v>
      </c>
      <c r="C575" t="s">
        <v>72</v>
      </c>
      <c r="D575">
        <v>42</v>
      </c>
      <c r="E575">
        <v>10</v>
      </c>
      <c r="F575">
        <v>8.77</v>
      </c>
      <c r="G575">
        <v>82</v>
      </c>
      <c r="H575">
        <v>12</v>
      </c>
      <c r="I575">
        <v>10.75</v>
      </c>
    </row>
    <row r="576" spans="2:9" x14ac:dyDescent="0.3">
      <c r="B576" s="28" t="s">
        <v>77</v>
      </c>
      <c r="C576" t="s">
        <v>72</v>
      </c>
      <c r="D576">
        <v>82</v>
      </c>
      <c r="E576">
        <v>12</v>
      </c>
      <c r="F576">
        <v>10.75</v>
      </c>
      <c r="G576">
        <v>90</v>
      </c>
      <c r="H576">
        <v>13.25</v>
      </c>
      <c r="I576">
        <v>12</v>
      </c>
    </row>
    <row r="577" spans="2:9" x14ac:dyDescent="0.3">
      <c r="B577" s="28" t="s">
        <v>77</v>
      </c>
      <c r="C577" t="s">
        <v>72</v>
      </c>
      <c r="D577">
        <v>90</v>
      </c>
      <c r="E577">
        <v>13.25</v>
      </c>
      <c r="F577">
        <v>12</v>
      </c>
      <c r="G577">
        <v>136</v>
      </c>
      <c r="H577">
        <v>15.25</v>
      </c>
      <c r="I577">
        <v>14</v>
      </c>
    </row>
    <row r="578" spans="2:9" x14ac:dyDescent="0.3">
      <c r="B578" s="28" t="s">
        <v>77</v>
      </c>
      <c r="C578" t="s">
        <v>72</v>
      </c>
      <c r="D578">
        <v>136</v>
      </c>
      <c r="E578">
        <v>15.25</v>
      </c>
      <c r="F578">
        <v>14</v>
      </c>
      <c r="G578">
        <v>188</v>
      </c>
      <c r="H578">
        <v>15.25</v>
      </c>
      <c r="I578">
        <v>16</v>
      </c>
    </row>
    <row r="579" spans="2:9" x14ac:dyDescent="0.3">
      <c r="B579" s="28" t="s">
        <v>77</v>
      </c>
      <c r="C579" t="s">
        <v>72</v>
      </c>
      <c r="D579">
        <v>188</v>
      </c>
      <c r="E579">
        <v>15.25</v>
      </c>
      <c r="F579">
        <v>16</v>
      </c>
      <c r="G579">
        <v>244</v>
      </c>
      <c r="H579">
        <v>19.25</v>
      </c>
      <c r="I579">
        <v>18</v>
      </c>
    </row>
    <row r="580" spans="2:9" x14ac:dyDescent="0.3">
      <c r="B580" s="28" t="s">
        <v>77</v>
      </c>
      <c r="C580" t="s">
        <v>72</v>
      </c>
      <c r="D580">
        <v>244</v>
      </c>
      <c r="E580">
        <v>19.25</v>
      </c>
      <c r="F580">
        <v>18</v>
      </c>
      <c r="G580">
        <v>306</v>
      </c>
      <c r="H580">
        <v>21.25</v>
      </c>
      <c r="I580">
        <v>19.25</v>
      </c>
    </row>
    <row r="581" spans="2:9" x14ac:dyDescent="0.3">
      <c r="B581" s="28" t="s">
        <v>77</v>
      </c>
      <c r="C581" t="s">
        <v>72</v>
      </c>
      <c r="D581">
        <v>306</v>
      </c>
      <c r="E581">
        <v>21.25</v>
      </c>
      <c r="F581">
        <v>19.25</v>
      </c>
      <c r="G581">
        <v>378</v>
      </c>
      <c r="H581">
        <v>23.25</v>
      </c>
      <c r="I581">
        <v>21.5</v>
      </c>
    </row>
    <row r="582" spans="2:9" x14ac:dyDescent="0.3">
      <c r="B582" s="28" t="s">
        <v>77</v>
      </c>
      <c r="C582" t="s">
        <v>72</v>
      </c>
      <c r="D582">
        <v>378</v>
      </c>
      <c r="E582">
        <v>23.25</v>
      </c>
      <c r="F582">
        <v>21.5</v>
      </c>
      <c r="G582">
        <v>446</v>
      </c>
      <c r="H582">
        <v>25</v>
      </c>
      <c r="I582">
        <v>23.375</v>
      </c>
    </row>
    <row r="583" spans="2:9" x14ac:dyDescent="0.3">
      <c r="B583" s="28" t="s">
        <v>77</v>
      </c>
      <c r="C583" t="s">
        <v>72</v>
      </c>
      <c r="D583">
        <v>446</v>
      </c>
      <c r="E583">
        <v>25</v>
      </c>
      <c r="F583">
        <v>23.375</v>
      </c>
      <c r="G583">
        <v>536</v>
      </c>
      <c r="H583">
        <v>27</v>
      </c>
      <c r="I583">
        <v>25.375</v>
      </c>
    </row>
    <row r="584" spans="2:9" x14ac:dyDescent="0.3">
      <c r="B584" s="28" t="s">
        <v>77</v>
      </c>
      <c r="C584" t="s">
        <v>72</v>
      </c>
      <c r="D584">
        <v>536</v>
      </c>
      <c r="E584">
        <v>27</v>
      </c>
      <c r="F584">
        <v>25.375</v>
      </c>
      <c r="G584">
        <v>620</v>
      </c>
      <c r="H584">
        <v>29</v>
      </c>
      <c r="I584">
        <v>27.375</v>
      </c>
    </row>
    <row r="585" spans="2:9" x14ac:dyDescent="0.3">
      <c r="B585" s="28" t="s">
        <v>77</v>
      </c>
      <c r="C585" t="s">
        <v>72</v>
      </c>
      <c r="D585">
        <v>620</v>
      </c>
      <c r="E585">
        <v>29</v>
      </c>
      <c r="F585">
        <v>27.375</v>
      </c>
      <c r="G585">
        <v>722</v>
      </c>
      <c r="H585">
        <v>31</v>
      </c>
      <c r="I585">
        <v>29.375</v>
      </c>
    </row>
    <row r="586" spans="2:9" x14ac:dyDescent="0.3">
      <c r="B586" s="28" t="s">
        <v>77</v>
      </c>
      <c r="C586" t="s">
        <v>72</v>
      </c>
      <c r="D586">
        <v>722</v>
      </c>
      <c r="E586">
        <v>31</v>
      </c>
      <c r="F586">
        <v>29.375</v>
      </c>
      <c r="G586">
        <v>852</v>
      </c>
      <c r="H586">
        <v>33</v>
      </c>
      <c r="I586">
        <v>31.375</v>
      </c>
    </row>
    <row r="587" spans="2:9" x14ac:dyDescent="0.3">
      <c r="B587" s="28" t="s">
        <v>77</v>
      </c>
      <c r="C587" t="s">
        <v>72</v>
      </c>
      <c r="D587">
        <v>852</v>
      </c>
      <c r="E587">
        <v>33</v>
      </c>
      <c r="F587">
        <v>31.375</v>
      </c>
      <c r="G587">
        <v>988</v>
      </c>
      <c r="H587">
        <v>35</v>
      </c>
      <c r="I587">
        <v>33.375</v>
      </c>
    </row>
    <row r="588" spans="2:9" x14ac:dyDescent="0.3">
      <c r="B588" s="28" t="s">
        <v>77</v>
      </c>
      <c r="C588" t="s">
        <v>72</v>
      </c>
      <c r="D588">
        <v>988</v>
      </c>
      <c r="E588">
        <v>35</v>
      </c>
      <c r="F588">
        <v>33.375</v>
      </c>
      <c r="G588">
        <v>1104</v>
      </c>
      <c r="H588">
        <v>37</v>
      </c>
      <c r="I588">
        <v>35.25</v>
      </c>
    </row>
    <row r="589" spans="2:9" x14ac:dyDescent="0.3">
      <c r="B589" s="28" t="s">
        <v>77</v>
      </c>
      <c r="C589" t="s">
        <v>72</v>
      </c>
      <c r="D589">
        <v>1104</v>
      </c>
      <c r="E589">
        <v>37</v>
      </c>
      <c r="F589">
        <v>35.25</v>
      </c>
      <c r="G589">
        <v>1248</v>
      </c>
      <c r="H589">
        <v>39</v>
      </c>
      <c r="I589">
        <v>37.25</v>
      </c>
    </row>
    <row r="590" spans="2:9" x14ac:dyDescent="0.3">
      <c r="B590" s="28" t="s">
        <v>77</v>
      </c>
      <c r="C590" t="s">
        <v>72</v>
      </c>
      <c r="D590">
        <v>1248</v>
      </c>
      <c r="E590">
        <v>39</v>
      </c>
      <c r="F590">
        <v>37.25</v>
      </c>
      <c r="G590">
        <v>1464</v>
      </c>
      <c r="H590">
        <v>42</v>
      </c>
      <c r="I590">
        <v>40.25</v>
      </c>
    </row>
    <row r="591" spans="2:9" x14ac:dyDescent="0.3">
      <c r="B591" s="28" t="s">
        <v>77</v>
      </c>
      <c r="C591" t="s">
        <v>72</v>
      </c>
      <c r="D591">
        <v>1464</v>
      </c>
      <c r="E591">
        <v>42</v>
      </c>
      <c r="F591">
        <v>40.25</v>
      </c>
      <c r="G591">
        <v>1624</v>
      </c>
      <c r="H591">
        <v>44</v>
      </c>
      <c r="I591">
        <v>42.25</v>
      </c>
    </row>
    <row r="592" spans="2:9" x14ac:dyDescent="0.3">
      <c r="B592" s="28" t="s">
        <v>77</v>
      </c>
      <c r="C592" t="s">
        <v>72</v>
      </c>
      <c r="D592">
        <v>1624</v>
      </c>
      <c r="E592">
        <v>44</v>
      </c>
      <c r="F592">
        <v>42.25</v>
      </c>
      <c r="G592">
        <v>1801</v>
      </c>
      <c r="H592">
        <v>48</v>
      </c>
      <c r="I592">
        <v>46</v>
      </c>
    </row>
    <row r="593" spans="2:9" x14ac:dyDescent="0.3">
      <c r="B593" s="28" t="s">
        <v>77</v>
      </c>
      <c r="C593" t="s">
        <v>72</v>
      </c>
      <c r="D593">
        <v>1801</v>
      </c>
      <c r="E593">
        <v>48</v>
      </c>
      <c r="F593">
        <v>46</v>
      </c>
      <c r="G593">
        <v>2152</v>
      </c>
      <c r="H593">
        <v>52</v>
      </c>
      <c r="I593">
        <v>50</v>
      </c>
    </row>
    <row r="594" spans="2:9" x14ac:dyDescent="0.3">
      <c r="B594" s="28" t="s">
        <v>77</v>
      </c>
      <c r="C594" t="s">
        <v>72</v>
      </c>
      <c r="D594">
        <v>2152</v>
      </c>
      <c r="E594">
        <v>52</v>
      </c>
      <c r="F594">
        <v>50</v>
      </c>
      <c r="G594">
        <v>2526</v>
      </c>
      <c r="H594">
        <v>56</v>
      </c>
      <c r="I594">
        <v>54</v>
      </c>
    </row>
    <row r="595" spans="2:9" x14ac:dyDescent="0.3">
      <c r="B595" s="28" t="s">
        <v>77</v>
      </c>
      <c r="C595" t="s">
        <v>72</v>
      </c>
      <c r="D595">
        <v>2526</v>
      </c>
      <c r="E595">
        <v>56</v>
      </c>
      <c r="F595">
        <v>54</v>
      </c>
      <c r="G595">
        <v>14</v>
      </c>
      <c r="H595">
        <v>8.0709999999999997</v>
      </c>
      <c r="I595">
        <v>6.8209999999999997</v>
      </c>
    </row>
    <row r="596" spans="2:9" x14ac:dyDescent="0.3">
      <c r="B596" s="28" t="s">
        <v>78</v>
      </c>
      <c r="C596" t="s">
        <v>76</v>
      </c>
      <c r="D596">
        <v>14</v>
      </c>
      <c r="E596">
        <v>8.0709999999999997</v>
      </c>
      <c r="F596">
        <v>6.8209999999999997</v>
      </c>
      <c r="G596">
        <v>28</v>
      </c>
      <c r="H596">
        <v>10</v>
      </c>
      <c r="I596">
        <v>8.77</v>
      </c>
    </row>
    <row r="597" spans="2:9" x14ac:dyDescent="0.3">
      <c r="B597" s="28" t="s">
        <v>78</v>
      </c>
      <c r="C597" t="s">
        <v>76</v>
      </c>
      <c r="D597">
        <v>28</v>
      </c>
      <c r="E597">
        <v>10</v>
      </c>
      <c r="F597">
        <v>8.77</v>
      </c>
      <c r="G597">
        <v>42</v>
      </c>
      <c r="H597">
        <v>12</v>
      </c>
      <c r="I597">
        <v>10.75</v>
      </c>
    </row>
    <row r="598" spans="2:9" x14ac:dyDescent="0.3">
      <c r="B598" s="28" t="s">
        <v>78</v>
      </c>
      <c r="C598" t="s">
        <v>76</v>
      </c>
      <c r="D598">
        <v>42</v>
      </c>
      <c r="E598">
        <v>12</v>
      </c>
      <c r="F598">
        <v>10.75</v>
      </c>
      <c r="G598">
        <v>54</v>
      </c>
      <c r="H598">
        <v>13.25</v>
      </c>
      <c r="I598">
        <v>12</v>
      </c>
    </row>
    <row r="599" spans="2:9" x14ac:dyDescent="0.3">
      <c r="B599" s="28" t="s">
        <v>78</v>
      </c>
      <c r="C599" t="s">
        <v>76</v>
      </c>
      <c r="D599">
        <v>54</v>
      </c>
      <c r="E599">
        <v>13.25</v>
      </c>
      <c r="F599">
        <v>12</v>
      </c>
      <c r="G599">
        <v>84</v>
      </c>
      <c r="H599">
        <v>15.25</v>
      </c>
      <c r="I599">
        <v>14</v>
      </c>
    </row>
    <row r="600" spans="2:9" x14ac:dyDescent="0.3">
      <c r="B600" s="28" t="s">
        <v>78</v>
      </c>
      <c r="C600" t="s">
        <v>76</v>
      </c>
      <c r="D600">
        <v>84</v>
      </c>
      <c r="E600">
        <v>15.25</v>
      </c>
      <c r="F600">
        <v>14</v>
      </c>
      <c r="G600">
        <v>110</v>
      </c>
      <c r="H600">
        <v>15.25</v>
      </c>
      <c r="I600">
        <v>16</v>
      </c>
    </row>
    <row r="601" spans="2:9" x14ac:dyDescent="0.3">
      <c r="B601" s="28" t="s">
        <v>78</v>
      </c>
      <c r="C601" t="s">
        <v>76</v>
      </c>
      <c r="D601">
        <v>110</v>
      </c>
      <c r="E601">
        <v>15.25</v>
      </c>
      <c r="F601">
        <v>16</v>
      </c>
      <c r="G601">
        <v>148</v>
      </c>
      <c r="H601">
        <v>19.25</v>
      </c>
      <c r="I601">
        <v>18</v>
      </c>
    </row>
    <row r="602" spans="2:9" x14ac:dyDescent="0.3">
      <c r="B602" s="28" t="s">
        <v>78</v>
      </c>
      <c r="C602" t="s">
        <v>76</v>
      </c>
      <c r="D602">
        <v>148</v>
      </c>
      <c r="E602">
        <v>19.25</v>
      </c>
      <c r="F602">
        <v>18</v>
      </c>
      <c r="G602">
        <v>166</v>
      </c>
      <c r="H602">
        <v>21.25</v>
      </c>
      <c r="I602">
        <v>19.25</v>
      </c>
    </row>
    <row r="603" spans="2:9" x14ac:dyDescent="0.3">
      <c r="B603" s="28" t="s">
        <v>78</v>
      </c>
      <c r="C603" t="s">
        <v>76</v>
      </c>
      <c r="D603">
        <v>166</v>
      </c>
      <c r="E603">
        <v>21.25</v>
      </c>
      <c r="F603">
        <v>19.25</v>
      </c>
      <c r="G603">
        <v>208</v>
      </c>
      <c r="H603">
        <v>23.25</v>
      </c>
      <c r="I603">
        <v>21.5</v>
      </c>
    </row>
    <row r="604" spans="2:9" x14ac:dyDescent="0.3">
      <c r="B604" s="28" t="s">
        <v>78</v>
      </c>
      <c r="C604" t="s">
        <v>76</v>
      </c>
      <c r="D604">
        <v>208</v>
      </c>
      <c r="E604">
        <v>23.25</v>
      </c>
      <c r="F604">
        <v>21.5</v>
      </c>
      <c r="G604">
        <v>252</v>
      </c>
      <c r="H604">
        <v>25</v>
      </c>
      <c r="I604">
        <v>23.375</v>
      </c>
    </row>
    <row r="605" spans="2:9" x14ac:dyDescent="0.3">
      <c r="B605" s="28" t="s">
        <v>78</v>
      </c>
      <c r="C605" t="s">
        <v>76</v>
      </c>
      <c r="D605">
        <v>252</v>
      </c>
      <c r="E605">
        <v>25</v>
      </c>
      <c r="F605">
        <v>23.375</v>
      </c>
      <c r="G605">
        <v>296</v>
      </c>
      <c r="H605">
        <v>27</v>
      </c>
      <c r="I605">
        <v>25.375</v>
      </c>
    </row>
    <row r="606" spans="2:9" x14ac:dyDescent="0.3">
      <c r="B606" s="28" t="s">
        <v>78</v>
      </c>
      <c r="C606" t="s">
        <v>76</v>
      </c>
      <c r="D606">
        <v>296</v>
      </c>
      <c r="E606">
        <v>27</v>
      </c>
      <c r="F606">
        <v>25.375</v>
      </c>
      <c r="G606">
        <v>334</v>
      </c>
      <c r="H606">
        <v>29</v>
      </c>
      <c r="I606">
        <v>27.375</v>
      </c>
    </row>
    <row r="607" spans="2:9" x14ac:dyDescent="0.3">
      <c r="B607" s="28" t="s">
        <v>78</v>
      </c>
      <c r="C607" t="s">
        <v>76</v>
      </c>
      <c r="D607">
        <v>334</v>
      </c>
      <c r="E607">
        <v>29</v>
      </c>
      <c r="F607">
        <v>27.375</v>
      </c>
      <c r="G607">
        <v>420</v>
      </c>
      <c r="H607">
        <v>31</v>
      </c>
      <c r="I607">
        <v>29.375</v>
      </c>
    </row>
    <row r="608" spans="2:9" x14ac:dyDescent="0.3">
      <c r="B608" s="28" t="s">
        <v>78</v>
      </c>
      <c r="C608" t="s">
        <v>76</v>
      </c>
      <c r="D608">
        <v>420</v>
      </c>
      <c r="E608">
        <v>31</v>
      </c>
      <c r="F608">
        <v>29.375</v>
      </c>
      <c r="G608">
        <v>470</v>
      </c>
      <c r="H608">
        <v>33</v>
      </c>
      <c r="I608">
        <v>31.375</v>
      </c>
    </row>
    <row r="609" spans="2:9" x14ac:dyDescent="0.3">
      <c r="B609" s="28" t="s">
        <v>78</v>
      </c>
      <c r="C609" t="s">
        <v>76</v>
      </c>
      <c r="D609">
        <v>470</v>
      </c>
      <c r="E609">
        <v>33</v>
      </c>
      <c r="F609">
        <v>31.375</v>
      </c>
      <c r="G609">
        <v>546</v>
      </c>
      <c r="H609">
        <v>35</v>
      </c>
      <c r="I609">
        <v>33.375</v>
      </c>
    </row>
    <row r="610" spans="2:9" x14ac:dyDescent="0.3">
      <c r="B610" s="28" t="s">
        <v>78</v>
      </c>
      <c r="C610" t="s">
        <v>76</v>
      </c>
      <c r="D610">
        <v>546</v>
      </c>
      <c r="E610">
        <v>35</v>
      </c>
      <c r="F610">
        <v>33.375</v>
      </c>
      <c r="G610">
        <v>614</v>
      </c>
      <c r="H610">
        <v>37</v>
      </c>
      <c r="I610">
        <v>35.25</v>
      </c>
    </row>
    <row r="611" spans="2:9" x14ac:dyDescent="0.3">
      <c r="B611" s="28" t="s">
        <v>78</v>
      </c>
      <c r="C611" t="s">
        <v>76</v>
      </c>
      <c r="D611">
        <v>614</v>
      </c>
      <c r="E611">
        <v>37</v>
      </c>
      <c r="F611">
        <v>35.25</v>
      </c>
      <c r="G611">
        <v>688</v>
      </c>
      <c r="H611">
        <v>39</v>
      </c>
      <c r="I611">
        <v>37.25</v>
      </c>
    </row>
    <row r="612" spans="2:9" x14ac:dyDescent="0.3">
      <c r="B612" s="28" t="s">
        <v>78</v>
      </c>
      <c r="C612" t="s">
        <v>76</v>
      </c>
      <c r="D612">
        <v>688</v>
      </c>
      <c r="E612">
        <v>39</v>
      </c>
      <c r="F612">
        <v>37.25</v>
      </c>
      <c r="G612">
        <v>808</v>
      </c>
      <c r="H612">
        <v>42</v>
      </c>
      <c r="I612">
        <v>40.25</v>
      </c>
    </row>
    <row r="613" spans="2:9" x14ac:dyDescent="0.3">
      <c r="B613" s="28" t="s">
        <v>78</v>
      </c>
      <c r="C613" t="s">
        <v>76</v>
      </c>
      <c r="D613">
        <v>808</v>
      </c>
      <c r="E613">
        <v>42</v>
      </c>
      <c r="F613">
        <v>40.25</v>
      </c>
      <c r="G613">
        <v>888</v>
      </c>
      <c r="H613">
        <v>44</v>
      </c>
      <c r="I613">
        <v>42.25</v>
      </c>
    </row>
    <row r="614" spans="2:9" x14ac:dyDescent="0.3">
      <c r="B614" s="28" t="s">
        <v>78</v>
      </c>
      <c r="C614" t="s">
        <v>76</v>
      </c>
      <c r="D614">
        <v>888</v>
      </c>
      <c r="E614">
        <v>44</v>
      </c>
      <c r="F614">
        <v>42.25</v>
      </c>
      <c r="G614">
        <v>1076</v>
      </c>
      <c r="H614">
        <v>48</v>
      </c>
      <c r="I614">
        <v>46</v>
      </c>
    </row>
    <row r="615" spans="2:9" x14ac:dyDescent="0.3">
      <c r="B615" s="28" t="s">
        <v>78</v>
      </c>
      <c r="C615" t="s">
        <v>76</v>
      </c>
      <c r="D615">
        <v>1076</v>
      </c>
      <c r="E615">
        <v>48</v>
      </c>
      <c r="F615">
        <v>46</v>
      </c>
      <c r="G615">
        <v>1287</v>
      </c>
      <c r="H615">
        <v>52</v>
      </c>
      <c r="I615">
        <v>50</v>
      </c>
    </row>
    <row r="616" spans="2:9" x14ac:dyDescent="0.3">
      <c r="B616" s="28" t="s">
        <v>78</v>
      </c>
      <c r="C616" t="s">
        <v>76</v>
      </c>
      <c r="D616">
        <v>1287</v>
      </c>
      <c r="E616">
        <v>52</v>
      </c>
      <c r="F616">
        <v>50</v>
      </c>
      <c r="G616">
        <v>1501</v>
      </c>
      <c r="H616">
        <v>56</v>
      </c>
      <c r="I616">
        <v>54</v>
      </c>
    </row>
    <row r="617" spans="2:9" x14ac:dyDescent="0.3">
      <c r="B617" s="28" t="s">
        <v>78</v>
      </c>
      <c r="C617" t="s">
        <v>76</v>
      </c>
      <c r="D617">
        <v>1501</v>
      </c>
      <c r="E617">
        <v>56</v>
      </c>
      <c r="F617">
        <v>54</v>
      </c>
      <c r="G617">
        <v>14</v>
      </c>
      <c r="H617">
        <v>8.0709999999999997</v>
      </c>
      <c r="I617">
        <v>6.8209999999999997</v>
      </c>
    </row>
    <row r="618" spans="2:9" x14ac:dyDescent="0.3">
      <c r="B618" s="28" t="s">
        <v>78</v>
      </c>
      <c r="C618" t="s">
        <v>75</v>
      </c>
      <c r="D618">
        <v>14</v>
      </c>
      <c r="E618">
        <v>8.0709999999999997</v>
      </c>
      <c r="F618">
        <v>6.8209999999999997</v>
      </c>
      <c r="G618">
        <v>24</v>
      </c>
      <c r="H618">
        <v>10</v>
      </c>
      <c r="I618">
        <v>8.77</v>
      </c>
    </row>
    <row r="619" spans="2:9" x14ac:dyDescent="0.3">
      <c r="B619" s="28" t="s">
        <v>78</v>
      </c>
      <c r="C619" t="s">
        <v>75</v>
      </c>
      <c r="D619">
        <v>24</v>
      </c>
      <c r="E619">
        <v>10</v>
      </c>
      <c r="F619">
        <v>8.77</v>
      </c>
      <c r="G619">
        <v>38</v>
      </c>
      <c r="H619">
        <v>12</v>
      </c>
      <c r="I619">
        <v>10.75</v>
      </c>
    </row>
    <row r="620" spans="2:9" x14ac:dyDescent="0.3">
      <c r="B620" s="28" t="s">
        <v>78</v>
      </c>
      <c r="C620" t="s">
        <v>75</v>
      </c>
      <c r="D620">
        <v>38</v>
      </c>
      <c r="E620">
        <v>12</v>
      </c>
      <c r="F620">
        <v>10.75</v>
      </c>
      <c r="G620">
        <v>46</v>
      </c>
      <c r="H620">
        <v>13.25</v>
      </c>
      <c r="I620">
        <v>12</v>
      </c>
    </row>
    <row r="621" spans="2:9" x14ac:dyDescent="0.3">
      <c r="B621" s="28" t="s">
        <v>78</v>
      </c>
      <c r="C621" t="s">
        <v>75</v>
      </c>
      <c r="D621">
        <v>46</v>
      </c>
      <c r="E621">
        <v>13.25</v>
      </c>
      <c r="F621">
        <v>12</v>
      </c>
      <c r="G621">
        <v>70</v>
      </c>
      <c r="H621">
        <v>15.25</v>
      </c>
      <c r="I621">
        <v>14</v>
      </c>
    </row>
    <row r="622" spans="2:9" x14ac:dyDescent="0.3">
      <c r="B622" s="28" t="s">
        <v>78</v>
      </c>
      <c r="C622" t="s">
        <v>75</v>
      </c>
      <c r="D622">
        <v>70</v>
      </c>
      <c r="E622">
        <v>15.25</v>
      </c>
      <c r="F622">
        <v>14</v>
      </c>
      <c r="G622">
        <v>98</v>
      </c>
      <c r="H622">
        <v>15.25</v>
      </c>
      <c r="I622">
        <v>16</v>
      </c>
    </row>
    <row r="623" spans="2:9" x14ac:dyDescent="0.3">
      <c r="B623" s="28" t="s">
        <v>78</v>
      </c>
      <c r="C623" t="s">
        <v>75</v>
      </c>
      <c r="D623">
        <v>98</v>
      </c>
      <c r="E623">
        <v>15.25</v>
      </c>
      <c r="F623">
        <v>16</v>
      </c>
      <c r="G623">
        <v>129</v>
      </c>
      <c r="H623">
        <v>19.25</v>
      </c>
      <c r="I623">
        <v>18</v>
      </c>
    </row>
    <row r="624" spans="2:9" x14ac:dyDescent="0.3">
      <c r="B624" s="28" t="s">
        <v>78</v>
      </c>
      <c r="C624" t="s">
        <v>75</v>
      </c>
      <c r="D624">
        <v>129</v>
      </c>
      <c r="E624">
        <v>19.25</v>
      </c>
      <c r="F624">
        <v>18</v>
      </c>
      <c r="G624">
        <v>150</v>
      </c>
      <c r="H624">
        <v>21.25</v>
      </c>
      <c r="I624">
        <v>19.25</v>
      </c>
    </row>
    <row r="625" spans="1:9" x14ac:dyDescent="0.3">
      <c r="B625" s="28" t="s">
        <v>78</v>
      </c>
      <c r="C625" t="s">
        <v>75</v>
      </c>
      <c r="D625">
        <v>150</v>
      </c>
      <c r="E625">
        <v>21.25</v>
      </c>
      <c r="F625">
        <v>19.25</v>
      </c>
      <c r="G625">
        <v>186</v>
      </c>
      <c r="H625">
        <v>23.25</v>
      </c>
      <c r="I625">
        <v>21.5</v>
      </c>
    </row>
    <row r="626" spans="1:9" x14ac:dyDescent="0.3">
      <c r="B626" s="28" t="s">
        <v>78</v>
      </c>
      <c r="C626" t="s">
        <v>75</v>
      </c>
      <c r="D626">
        <v>186</v>
      </c>
      <c r="E626">
        <v>23.25</v>
      </c>
      <c r="F626">
        <v>21.5</v>
      </c>
      <c r="G626">
        <v>216</v>
      </c>
      <c r="H626">
        <v>25</v>
      </c>
      <c r="I626">
        <v>23.375</v>
      </c>
    </row>
    <row r="627" spans="1:9" x14ac:dyDescent="0.3">
      <c r="B627" s="28" t="s">
        <v>78</v>
      </c>
      <c r="C627" t="s">
        <v>75</v>
      </c>
      <c r="D627">
        <v>216</v>
      </c>
      <c r="E627">
        <v>25</v>
      </c>
      <c r="F627">
        <v>23.375</v>
      </c>
      <c r="G627">
        <v>257</v>
      </c>
      <c r="H627">
        <v>27</v>
      </c>
      <c r="I627">
        <v>25.375</v>
      </c>
    </row>
    <row r="628" spans="1:9" x14ac:dyDescent="0.3">
      <c r="B628" s="28" t="s">
        <v>78</v>
      </c>
      <c r="C628" t="s">
        <v>75</v>
      </c>
      <c r="D628">
        <v>257</v>
      </c>
      <c r="E628">
        <v>27</v>
      </c>
      <c r="F628">
        <v>25.375</v>
      </c>
      <c r="G628">
        <v>314</v>
      </c>
      <c r="H628">
        <v>29</v>
      </c>
      <c r="I628">
        <v>27.375</v>
      </c>
    </row>
    <row r="629" spans="1:9" x14ac:dyDescent="0.3">
      <c r="B629" s="28" t="s">
        <v>78</v>
      </c>
      <c r="C629" t="s">
        <v>75</v>
      </c>
      <c r="D629">
        <v>314</v>
      </c>
      <c r="E629">
        <v>29</v>
      </c>
      <c r="F629">
        <v>27.375</v>
      </c>
      <c r="G629">
        <v>360</v>
      </c>
      <c r="H629">
        <v>31</v>
      </c>
      <c r="I629">
        <v>29.375</v>
      </c>
    </row>
    <row r="630" spans="1:9" x14ac:dyDescent="0.3">
      <c r="B630" s="28" t="s">
        <v>78</v>
      </c>
      <c r="C630" t="s">
        <v>75</v>
      </c>
      <c r="D630">
        <v>360</v>
      </c>
      <c r="E630">
        <v>31</v>
      </c>
      <c r="F630">
        <v>29.375</v>
      </c>
      <c r="G630">
        <v>420</v>
      </c>
      <c r="H630">
        <v>33</v>
      </c>
      <c r="I630">
        <v>31.375</v>
      </c>
    </row>
    <row r="631" spans="1:9" x14ac:dyDescent="0.3">
      <c r="B631" s="28" t="s">
        <v>78</v>
      </c>
      <c r="C631" t="s">
        <v>75</v>
      </c>
      <c r="D631">
        <v>420</v>
      </c>
      <c r="E631">
        <v>33</v>
      </c>
      <c r="F631">
        <v>31.375</v>
      </c>
      <c r="G631">
        <v>486</v>
      </c>
      <c r="H631">
        <v>35</v>
      </c>
      <c r="I631">
        <v>33.375</v>
      </c>
    </row>
    <row r="632" spans="1:9" x14ac:dyDescent="0.3">
      <c r="B632" s="28" t="s">
        <v>78</v>
      </c>
      <c r="C632" t="s">
        <v>75</v>
      </c>
      <c r="D632">
        <v>486</v>
      </c>
      <c r="E632">
        <v>35</v>
      </c>
      <c r="F632">
        <v>33.375</v>
      </c>
      <c r="G632">
        <v>544</v>
      </c>
      <c r="H632">
        <v>37</v>
      </c>
      <c r="I632">
        <v>35.25</v>
      </c>
    </row>
    <row r="633" spans="1:9" x14ac:dyDescent="0.3">
      <c r="B633" s="28" t="s">
        <v>78</v>
      </c>
      <c r="C633" t="s">
        <v>75</v>
      </c>
      <c r="D633">
        <v>544</v>
      </c>
      <c r="E633">
        <v>37</v>
      </c>
      <c r="F633">
        <v>35.25</v>
      </c>
      <c r="G633">
        <v>610</v>
      </c>
      <c r="H633">
        <v>39</v>
      </c>
      <c r="I633">
        <v>37.25</v>
      </c>
    </row>
    <row r="634" spans="1:9" x14ac:dyDescent="0.3">
      <c r="B634" s="28" t="s">
        <v>78</v>
      </c>
      <c r="C634" t="s">
        <v>75</v>
      </c>
      <c r="D634">
        <v>610</v>
      </c>
      <c r="E634">
        <v>39</v>
      </c>
      <c r="F634">
        <v>37.25</v>
      </c>
      <c r="G634">
        <v>686</v>
      </c>
      <c r="H634">
        <v>42</v>
      </c>
      <c r="I634">
        <v>40.25</v>
      </c>
    </row>
    <row r="635" spans="1:9" x14ac:dyDescent="0.3">
      <c r="B635" s="28" t="s">
        <v>78</v>
      </c>
      <c r="C635" t="s">
        <v>75</v>
      </c>
      <c r="D635">
        <v>686</v>
      </c>
      <c r="E635">
        <v>42</v>
      </c>
      <c r="F635">
        <v>40.25</v>
      </c>
      <c r="G635">
        <v>778</v>
      </c>
      <c r="H635">
        <v>44</v>
      </c>
      <c r="I635">
        <v>42.25</v>
      </c>
    </row>
    <row r="636" spans="1:9" x14ac:dyDescent="0.3">
      <c r="B636" s="28" t="s">
        <v>78</v>
      </c>
      <c r="C636" t="s">
        <v>75</v>
      </c>
      <c r="D636">
        <v>778</v>
      </c>
      <c r="E636">
        <v>44</v>
      </c>
      <c r="F636">
        <v>42.25</v>
      </c>
      <c r="G636">
        <v>959</v>
      </c>
      <c r="H636">
        <v>48</v>
      </c>
      <c r="I636">
        <v>46</v>
      </c>
    </row>
    <row r="637" spans="1:9" x14ac:dyDescent="0.3">
      <c r="B637" s="28" t="s">
        <v>78</v>
      </c>
      <c r="C637" t="s">
        <v>75</v>
      </c>
      <c r="D637">
        <v>959</v>
      </c>
      <c r="E637">
        <v>48</v>
      </c>
      <c r="F637">
        <v>46</v>
      </c>
      <c r="G637">
        <v>1132</v>
      </c>
      <c r="H637">
        <v>52</v>
      </c>
      <c r="I637">
        <v>50</v>
      </c>
    </row>
    <row r="638" spans="1:9" x14ac:dyDescent="0.3">
      <c r="B638" s="28" t="s">
        <v>78</v>
      </c>
      <c r="C638" t="s">
        <v>75</v>
      </c>
      <c r="D638">
        <v>1132</v>
      </c>
      <c r="E638">
        <v>52</v>
      </c>
      <c r="F638">
        <v>50</v>
      </c>
      <c r="G638">
        <v>1333</v>
      </c>
      <c r="H638">
        <v>56</v>
      </c>
      <c r="I638">
        <v>54</v>
      </c>
    </row>
    <row r="639" spans="1:9" x14ac:dyDescent="0.3">
      <c r="B639" s="28" t="s">
        <v>78</v>
      </c>
      <c r="C639" t="s">
        <v>75</v>
      </c>
      <c r="D639">
        <v>1333</v>
      </c>
      <c r="E639">
        <v>56</v>
      </c>
      <c r="F639">
        <v>54</v>
      </c>
      <c r="G639">
        <v>1333</v>
      </c>
      <c r="H639">
        <v>56</v>
      </c>
      <c r="I639">
        <v>54</v>
      </c>
    </row>
    <row r="640" spans="1:9" ht="28.8" x14ac:dyDescent="0.3">
      <c r="A640">
        <v>8</v>
      </c>
      <c r="B640" s="26" t="s">
        <v>68</v>
      </c>
      <c r="C640" s="26" t="s">
        <v>70</v>
      </c>
      <c r="D640" s="26">
        <v>8</v>
      </c>
      <c r="E640" s="26" t="s">
        <v>66</v>
      </c>
      <c r="F640" s="26" t="s">
        <v>67</v>
      </c>
    </row>
    <row r="641" spans="2:9" x14ac:dyDescent="0.3">
      <c r="B641" s="28" t="s">
        <v>77</v>
      </c>
      <c r="C641" t="s">
        <v>74</v>
      </c>
      <c r="D641">
        <v>0</v>
      </c>
      <c r="E641">
        <v>8.0709999999999997</v>
      </c>
      <c r="F641">
        <v>6.8209999999999997</v>
      </c>
      <c r="G641">
        <v>0</v>
      </c>
      <c r="H641">
        <v>10</v>
      </c>
      <c r="I641">
        <v>8.77</v>
      </c>
    </row>
    <row r="642" spans="2:9" x14ac:dyDescent="0.3">
      <c r="B642" s="28" t="s">
        <v>77</v>
      </c>
      <c r="C642" t="s">
        <v>74</v>
      </c>
      <c r="D642">
        <v>0</v>
      </c>
      <c r="E642">
        <v>10</v>
      </c>
      <c r="F642">
        <v>8.77</v>
      </c>
      <c r="G642">
        <v>68</v>
      </c>
      <c r="H642">
        <v>12</v>
      </c>
      <c r="I642">
        <v>10.75</v>
      </c>
    </row>
    <row r="643" spans="2:9" x14ac:dyDescent="0.3">
      <c r="B643" s="28" t="s">
        <v>77</v>
      </c>
      <c r="C643" t="s">
        <v>74</v>
      </c>
      <c r="D643">
        <v>68</v>
      </c>
      <c r="E643">
        <v>12</v>
      </c>
      <c r="F643">
        <v>10.75</v>
      </c>
      <c r="G643">
        <v>74</v>
      </c>
      <c r="H643">
        <v>13.25</v>
      </c>
      <c r="I643">
        <v>12</v>
      </c>
    </row>
    <row r="644" spans="2:9" x14ac:dyDescent="0.3">
      <c r="B644" s="28" t="s">
        <v>77</v>
      </c>
      <c r="C644" t="s">
        <v>74</v>
      </c>
      <c r="D644">
        <v>74</v>
      </c>
      <c r="E644">
        <v>13.25</v>
      </c>
      <c r="F644">
        <v>12</v>
      </c>
      <c r="G644">
        <v>110</v>
      </c>
      <c r="H644">
        <v>15.25</v>
      </c>
      <c r="I644">
        <v>14</v>
      </c>
    </row>
    <row r="645" spans="2:9" x14ac:dyDescent="0.3">
      <c r="B645" s="28" t="s">
        <v>77</v>
      </c>
      <c r="C645" t="s">
        <v>74</v>
      </c>
      <c r="D645">
        <v>110</v>
      </c>
      <c r="E645">
        <v>15.25</v>
      </c>
      <c r="F645">
        <v>14</v>
      </c>
      <c r="G645">
        <v>166</v>
      </c>
      <c r="H645">
        <v>15.25</v>
      </c>
      <c r="I645">
        <v>16</v>
      </c>
    </row>
    <row r="646" spans="2:9" x14ac:dyDescent="0.3">
      <c r="B646" s="28" t="s">
        <v>77</v>
      </c>
      <c r="C646" t="s">
        <v>74</v>
      </c>
      <c r="D646">
        <v>166</v>
      </c>
      <c r="E646">
        <v>15.25</v>
      </c>
      <c r="F646">
        <v>16</v>
      </c>
      <c r="G646">
        <v>210</v>
      </c>
      <c r="H646">
        <v>19.25</v>
      </c>
      <c r="I646">
        <v>18</v>
      </c>
    </row>
    <row r="647" spans="2:9" x14ac:dyDescent="0.3">
      <c r="B647" s="28" t="s">
        <v>77</v>
      </c>
      <c r="C647" t="s">
        <v>74</v>
      </c>
      <c r="D647">
        <v>210</v>
      </c>
      <c r="E647">
        <v>19.25</v>
      </c>
      <c r="F647">
        <v>18</v>
      </c>
      <c r="G647">
        <v>260</v>
      </c>
      <c r="H647">
        <v>21.25</v>
      </c>
      <c r="I647">
        <v>19.25</v>
      </c>
    </row>
    <row r="648" spans="2:9" x14ac:dyDescent="0.3">
      <c r="B648" s="28" t="s">
        <v>77</v>
      </c>
      <c r="C648" t="s">
        <v>74</v>
      </c>
      <c r="D648">
        <v>260</v>
      </c>
      <c r="E648">
        <v>21.25</v>
      </c>
      <c r="F648">
        <v>19.25</v>
      </c>
      <c r="G648">
        <v>328</v>
      </c>
      <c r="H648">
        <v>23.25</v>
      </c>
      <c r="I648">
        <v>21.5</v>
      </c>
    </row>
    <row r="649" spans="2:9" x14ac:dyDescent="0.3">
      <c r="B649" s="28" t="s">
        <v>77</v>
      </c>
      <c r="C649" t="s">
        <v>74</v>
      </c>
      <c r="D649">
        <v>328</v>
      </c>
      <c r="E649">
        <v>23.25</v>
      </c>
      <c r="F649">
        <v>21.5</v>
      </c>
      <c r="G649">
        <v>382</v>
      </c>
      <c r="H649">
        <v>25</v>
      </c>
      <c r="I649">
        <v>23.375</v>
      </c>
    </row>
    <row r="650" spans="2:9" x14ac:dyDescent="0.3">
      <c r="B650" s="28" t="s">
        <v>77</v>
      </c>
      <c r="C650" t="s">
        <v>74</v>
      </c>
      <c r="D650">
        <v>382</v>
      </c>
      <c r="E650">
        <v>25</v>
      </c>
      <c r="F650">
        <v>23.375</v>
      </c>
      <c r="G650">
        <v>464</v>
      </c>
      <c r="H650">
        <v>27</v>
      </c>
      <c r="I650">
        <v>25.375</v>
      </c>
    </row>
    <row r="651" spans="2:9" x14ac:dyDescent="0.3">
      <c r="B651" s="28" t="s">
        <v>77</v>
      </c>
      <c r="C651" t="s">
        <v>74</v>
      </c>
      <c r="D651">
        <v>464</v>
      </c>
      <c r="E651">
        <v>27</v>
      </c>
      <c r="F651">
        <v>25.375</v>
      </c>
      <c r="G651">
        <v>508</v>
      </c>
      <c r="H651">
        <v>29</v>
      </c>
      <c r="I651">
        <v>27.375</v>
      </c>
    </row>
    <row r="652" spans="2:9" x14ac:dyDescent="0.3">
      <c r="B652" s="28" t="s">
        <v>77</v>
      </c>
      <c r="C652" t="s">
        <v>74</v>
      </c>
      <c r="D652">
        <v>508</v>
      </c>
      <c r="E652">
        <v>29</v>
      </c>
      <c r="F652">
        <v>27.375</v>
      </c>
      <c r="G652">
        <v>640</v>
      </c>
      <c r="H652">
        <v>31</v>
      </c>
      <c r="I652">
        <v>29.375</v>
      </c>
    </row>
    <row r="653" spans="2:9" x14ac:dyDescent="0.3">
      <c r="B653" s="28" t="s">
        <v>77</v>
      </c>
      <c r="C653" t="s">
        <v>74</v>
      </c>
      <c r="D653">
        <v>640</v>
      </c>
      <c r="E653">
        <v>31</v>
      </c>
      <c r="F653">
        <v>29.375</v>
      </c>
      <c r="G653">
        <v>732</v>
      </c>
      <c r="H653">
        <v>33</v>
      </c>
      <c r="I653">
        <v>31.375</v>
      </c>
    </row>
    <row r="654" spans="2:9" x14ac:dyDescent="0.3">
      <c r="B654" s="28" t="s">
        <v>77</v>
      </c>
      <c r="C654" t="s">
        <v>74</v>
      </c>
      <c r="D654">
        <v>732</v>
      </c>
      <c r="E654">
        <v>33</v>
      </c>
      <c r="F654">
        <v>31.375</v>
      </c>
      <c r="G654">
        <v>848</v>
      </c>
      <c r="H654">
        <v>35</v>
      </c>
      <c r="I654">
        <v>33.375</v>
      </c>
    </row>
    <row r="655" spans="2:9" x14ac:dyDescent="0.3">
      <c r="B655" s="28" t="s">
        <v>77</v>
      </c>
      <c r="C655" t="s">
        <v>74</v>
      </c>
      <c r="D655">
        <v>848</v>
      </c>
      <c r="E655">
        <v>35</v>
      </c>
      <c r="F655">
        <v>33.375</v>
      </c>
      <c r="G655">
        <v>958</v>
      </c>
      <c r="H655">
        <v>37</v>
      </c>
      <c r="I655">
        <v>35.25</v>
      </c>
    </row>
    <row r="656" spans="2:9" x14ac:dyDescent="0.3">
      <c r="B656" s="28" t="s">
        <v>77</v>
      </c>
      <c r="C656" t="s">
        <v>74</v>
      </c>
      <c r="D656">
        <v>958</v>
      </c>
      <c r="E656">
        <v>37</v>
      </c>
      <c r="F656">
        <v>35.25</v>
      </c>
      <c r="G656">
        <v>1078</v>
      </c>
      <c r="H656">
        <v>39</v>
      </c>
      <c r="I656">
        <v>37.25</v>
      </c>
    </row>
    <row r="657" spans="2:9" x14ac:dyDescent="0.3">
      <c r="B657" s="28" t="s">
        <v>77</v>
      </c>
      <c r="C657" t="s">
        <v>74</v>
      </c>
      <c r="D657">
        <v>1078</v>
      </c>
      <c r="E657">
        <v>39</v>
      </c>
      <c r="F657">
        <v>37.25</v>
      </c>
      <c r="G657">
        <v>1280</v>
      </c>
      <c r="H657">
        <v>42</v>
      </c>
      <c r="I657">
        <v>40.25</v>
      </c>
    </row>
    <row r="658" spans="2:9" x14ac:dyDescent="0.3">
      <c r="B658" s="28" t="s">
        <v>77</v>
      </c>
      <c r="C658" t="s">
        <v>74</v>
      </c>
      <c r="D658">
        <v>1280</v>
      </c>
      <c r="E658">
        <v>42</v>
      </c>
      <c r="F658">
        <v>40.25</v>
      </c>
      <c r="G658">
        <v>1394</v>
      </c>
      <c r="H658">
        <v>44</v>
      </c>
      <c r="I658">
        <v>42.25</v>
      </c>
    </row>
    <row r="659" spans="2:9" x14ac:dyDescent="0.3">
      <c r="B659" s="28" t="s">
        <v>77</v>
      </c>
      <c r="C659" t="s">
        <v>74</v>
      </c>
      <c r="D659">
        <v>1394</v>
      </c>
      <c r="E659">
        <v>44</v>
      </c>
      <c r="F659">
        <v>42.25</v>
      </c>
      <c r="G659">
        <v>1690</v>
      </c>
      <c r="H659">
        <v>48</v>
      </c>
      <c r="I659">
        <v>46</v>
      </c>
    </row>
    <row r="660" spans="2:9" x14ac:dyDescent="0.3">
      <c r="B660" s="28" t="s">
        <v>77</v>
      </c>
      <c r="C660" t="s">
        <v>74</v>
      </c>
      <c r="D660">
        <v>1690</v>
      </c>
      <c r="E660">
        <v>48</v>
      </c>
      <c r="F660">
        <v>46</v>
      </c>
      <c r="G660">
        <v>2010</v>
      </c>
      <c r="H660">
        <v>52</v>
      </c>
      <c r="I660">
        <v>50</v>
      </c>
    </row>
    <row r="661" spans="2:9" x14ac:dyDescent="0.3">
      <c r="B661" s="28" t="s">
        <v>77</v>
      </c>
      <c r="C661" t="s">
        <v>74</v>
      </c>
      <c r="D661">
        <v>2010</v>
      </c>
      <c r="E661">
        <v>52</v>
      </c>
      <c r="F661">
        <v>50</v>
      </c>
      <c r="G661">
        <v>2373</v>
      </c>
      <c r="H661">
        <v>56</v>
      </c>
      <c r="I661">
        <v>54</v>
      </c>
    </row>
    <row r="662" spans="2:9" x14ac:dyDescent="0.3">
      <c r="B662" s="28" t="s">
        <v>77</v>
      </c>
      <c r="C662" t="s">
        <v>74</v>
      </c>
      <c r="D662">
        <v>2373</v>
      </c>
      <c r="E662">
        <v>56</v>
      </c>
      <c r="F662">
        <v>54</v>
      </c>
      <c r="G662">
        <v>0</v>
      </c>
      <c r="H662">
        <v>8.0709999999999997</v>
      </c>
      <c r="I662">
        <v>6.8209999999999997</v>
      </c>
    </row>
    <row r="663" spans="2:9" x14ac:dyDescent="0.3">
      <c r="B663" s="28" t="s">
        <v>77</v>
      </c>
      <c r="C663" t="s">
        <v>73</v>
      </c>
      <c r="D663">
        <v>0</v>
      </c>
      <c r="E663">
        <v>8.0709999999999997</v>
      </c>
      <c r="F663">
        <v>6.8209999999999997</v>
      </c>
      <c r="G663">
        <v>0</v>
      </c>
      <c r="H663">
        <v>10</v>
      </c>
      <c r="I663">
        <v>8.77</v>
      </c>
    </row>
    <row r="664" spans="2:9" x14ac:dyDescent="0.3">
      <c r="B664" s="28" t="s">
        <v>77</v>
      </c>
      <c r="C664" t="s">
        <v>73</v>
      </c>
      <c r="D664">
        <v>0</v>
      </c>
      <c r="E664">
        <v>10</v>
      </c>
      <c r="F664">
        <v>8.77</v>
      </c>
      <c r="G664">
        <v>60</v>
      </c>
      <c r="H664">
        <v>12</v>
      </c>
      <c r="I664">
        <v>10.75</v>
      </c>
    </row>
    <row r="665" spans="2:9" x14ac:dyDescent="0.3">
      <c r="B665" s="28" t="s">
        <v>77</v>
      </c>
      <c r="C665" t="s">
        <v>73</v>
      </c>
      <c r="D665">
        <v>60</v>
      </c>
      <c r="E665">
        <v>12</v>
      </c>
      <c r="F665">
        <v>10.75</v>
      </c>
      <c r="G665">
        <v>70</v>
      </c>
      <c r="H665">
        <v>13.25</v>
      </c>
      <c r="I665">
        <v>12</v>
      </c>
    </row>
    <row r="666" spans="2:9" x14ac:dyDescent="0.3">
      <c r="B666" s="28" t="s">
        <v>77</v>
      </c>
      <c r="C666" t="s">
        <v>73</v>
      </c>
      <c r="D666">
        <v>70</v>
      </c>
      <c r="E666">
        <v>13.25</v>
      </c>
      <c r="F666">
        <v>12</v>
      </c>
      <c r="G666">
        <v>108</v>
      </c>
      <c r="H666">
        <v>15.25</v>
      </c>
      <c r="I666">
        <v>14</v>
      </c>
    </row>
    <row r="667" spans="2:9" x14ac:dyDescent="0.3">
      <c r="B667" s="28" t="s">
        <v>77</v>
      </c>
      <c r="C667" t="s">
        <v>73</v>
      </c>
      <c r="D667">
        <v>108</v>
      </c>
      <c r="E667">
        <v>15.25</v>
      </c>
      <c r="F667">
        <v>14</v>
      </c>
      <c r="G667">
        <v>142</v>
      </c>
      <c r="H667">
        <v>15.25</v>
      </c>
      <c r="I667">
        <v>16</v>
      </c>
    </row>
    <row r="668" spans="2:9" x14ac:dyDescent="0.3">
      <c r="B668" s="28" t="s">
        <v>77</v>
      </c>
      <c r="C668" t="s">
        <v>73</v>
      </c>
      <c r="D668">
        <v>142</v>
      </c>
      <c r="E668">
        <v>15.25</v>
      </c>
      <c r="F668">
        <v>16</v>
      </c>
      <c r="G668">
        <v>188</v>
      </c>
      <c r="H668">
        <v>19.25</v>
      </c>
      <c r="I668">
        <v>18</v>
      </c>
    </row>
    <row r="669" spans="2:9" x14ac:dyDescent="0.3">
      <c r="B669" s="28" t="s">
        <v>77</v>
      </c>
      <c r="C669" t="s">
        <v>73</v>
      </c>
      <c r="D669">
        <v>188</v>
      </c>
      <c r="E669">
        <v>19.25</v>
      </c>
      <c r="F669">
        <v>18</v>
      </c>
      <c r="G669">
        <v>234</v>
      </c>
      <c r="H669">
        <v>21.25</v>
      </c>
      <c r="I669">
        <v>19.25</v>
      </c>
    </row>
    <row r="670" spans="2:9" x14ac:dyDescent="0.3">
      <c r="B670" s="28" t="s">
        <v>77</v>
      </c>
      <c r="C670" t="s">
        <v>73</v>
      </c>
      <c r="D670">
        <v>234</v>
      </c>
      <c r="E670">
        <v>21.25</v>
      </c>
      <c r="F670">
        <v>19.25</v>
      </c>
      <c r="G670">
        <v>292</v>
      </c>
      <c r="H670">
        <v>23.25</v>
      </c>
      <c r="I670">
        <v>21.5</v>
      </c>
    </row>
    <row r="671" spans="2:9" x14ac:dyDescent="0.3">
      <c r="B671" s="28" t="s">
        <v>77</v>
      </c>
      <c r="C671" t="s">
        <v>73</v>
      </c>
      <c r="D671">
        <v>292</v>
      </c>
      <c r="E671">
        <v>23.25</v>
      </c>
      <c r="F671">
        <v>21.5</v>
      </c>
      <c r="G671">
        <v>343</v>
      </c>
      <c r="H671">
        <v>25</v>
      </c>
      <c r="I671">
        <v>23.375</v>
      </c>
    </row>
    <row r="672" spans="2:9" x14ac:dyDescent="0.3">
      <c r="B672" s="28" t="s">
        <v>77</v>
      </c>
      <c r="C672" t="s">
        <v>73</v>
      </c>
      <c r="D672">
        <v>343</v>
      </c>
      <c r="E672">
        <v>25</v>
      </c>
      <c r="F672">
        <v>23.375</v>
      </c>
      <c r="G672">
        <v>408</v>
      </c>
      <c r="H672">
        <v>27</v>
      </c>
      <c r="I672">
        <v>25.375</v>
      </c>
    </row>
    <row r="673" spans="2:9" x14ac:dyDescent="0.3">
      <c r="B673" s="28" t="s">
        <v>77</v>
      </c>
      <c r="C673" t="s">
        <v>73</v>
      </c>
      <c r="D673">
        <v>408</v>
      </c>
      <c r="E673">
        <v>27</v>
      </c>
      <c r="F673">
        <v>25.375</v>
      </c>
      <c r="G673">
        <v>500</v>
      </c>
      <c r="H673">
        <v>29</v>
      </c>
      <c r="I673">
        <v>27.375</v>
      </c>
    </row>
    <row r="674" spans="2:9" x14ac:dyDescent="0.3">
      <c r="B674" s="28" t="s">
        <v>77</v>
      </c>
      <c r="C674" t="s">
        <v>73</v>
      </c>
      <c r="D674">
        <v>500</v>
      </c>
      <c r="E674">
        <v>29</v>
      </c>
      <c r="F674">
        <v>27.375</v>
      </c>
      <c r="G674">
        <v>570</v>
      </c>
      <c r="H674">
        <v>31</v>
      </c>
      <c r="I674">
        <v>29.375</v>
      </c>
    </row>
    <row r="675" spans="2:9" x14ac:dyDescent="0.3">
      <c r="B675" s="28" t="s">
        <v>77</v>
      </c>
      <c r="C675" t="s">
        <v>73</v>
      </c>
      <c r="D675">
        <v>570</v>
      </c>
      <c r="E675">
        <v>31</v>
      </c>
      <c r="F675">
        <v>29.375</v>
      </c>
      <c r="G675">
        <v>672</v>
      </c>
      <c r="H675">
        <v>33</v>
      </c>
      <c r="I675">
        <v>31.375</v>
      </c>
    </row>
    <row r="676" spans="2:9" x14ac:dyDescent="0.3">
      <c r="B676" s="28" t="s">
        <v>77</v>
      </c>
      <c r="C676" t="s">
        <v>73</v>
      </c>
      <c r="D676">
        <v>672</v>
      </c>
      <c r="E676">
        <v>33</v>
      </c>
      <c r="F676">
        <v>31.375</v>
      </c>
      <c r="G676">
        <v>756</v>
      </c>
      <c r="H676">
        <v>35</v>
      </c>
      <c r="I676">
        <v>33.375</v>
      </c>
    </row>
    <row r="677" spans="2:9" x14ac:dyDescent="0.3">
      <c r="B677" s="28" t="s">
        <v>77</v>
      </c>
      <c r="C677" t="s">
        <v>73</v>
      </c>
      <c r="D677">
        <v>756</v>
      </c>
      <c r="E677">
        <v>35</v>
      </c>
      <c r="F677">
        <v>33.375</v>
      </c>
      <c r="G677">
        <v>852</v>
      </c>
      <c r="H677">
        <v>37</v>
      </c>
      <c r="I677">
        <v>35.25</v>
      </c>
    </row>
    <row r="678" spans="2:9" x14ac:dyDescent="0.3">
      <c r="B678" s="28" t="s">
        <v>77</v>
      </c>
      <c r="C678" t="s">
        <v>73</v>
      </c>
      <c r="D678">
        <v>852</v>
      </c>
      <c r="E678">
        <v>37</v>
      </c>
      <c r="F678">
        <v>35.25</v>
      </c>
      <c r="G678">
        <v>952</v>
      </c>
      <c r="H678">
        <v>39</v>
      </c>
      <c r="I678">
        <v>37.25</v>
      </c>
    </row>
    <row r="679" spans="2:9" x14ac:dyDescent="0.3">
      <c r="B679" s="28" t="s">
        <v>77</v>
      </c>
      <c r="C679" t="s">
        <v>73</v>
      </c>
      <c r="D679">
        <v>952</v>
      </c>
      <c r="E679">
        <v>39</v>
      </c>
      <c r="F679">
        <v>37.25</v>
      </c>
      <c r="G679">
        <v>1087</v>
      </c>
      <c r="H679">
        <v>42</v>
      </c>
      <c r="I679">
        <v>40.25</v>
      </c>
    </row>
    <row r="680" spans="2:9" x14ac:dyDescent="0.3">
      <c r="B680" s="28" t="s">
        <v>77</v>
      </c>
      <c r="C680" t="s">
        <v>73</v>
      </c>
      <c r="D680">
        <v>1087</v>
      </c>
      <c r="E680">
        <v>42</v>
      </c>
      <c r="F680">
        <v>40.25</v>
      </c>
      <c r="G680">
        <v>1252</v>
      </c>
      <c r="H680">
        <v>44</v>
      </c>
      <c r="I680">
        <v>42.25</v>
      </c>
    </row>
    <row r="681" spans="2:9" x14ac:dyDescent="0.3">
      <c r="B681" s="28" t="s">
        <v>77</v>
      </c>
      <c r="C681" t="s">
        <v>73</v>
      </c>
      <c r="D681">
        <v>1252</v>
      </c>
      <c r="E681">
        <v>44</v>
      </c>
      <c r="F681">
        <v>42.25</v>
      </c>
      <c r="G681">
        <v>1505</v>
      </c>
      <c r="H681">
        <v>48</v>
      </c>
      <c r="I681">
        <v>46</v>
      </c>
    </row>
    <row r="682" spans="2:9" x14ac:dyDescent="0.3">
      <c r="B682" s="28" t="s">
        <v>77</v>
      </c>
      <c r="C682" t="s">
        <v>73</v>
      </c>
      <c r="D682">
        <v>1505</v>
      </c>
      <c r="E682">
        <v>48</v>
      </c>
      <c r="F682">
        <v>46</v>
      </c>
      <c r="G682">
        <v>1790</v>
      </c>
      <c r="H682">
        <v>52</v>
      </c>
      <c r="I682">
        <v>50</v>
      </c>
    </row>
    <row r="683" spans="2:9" x14ac:dyDescent="0.3">
      <c r="B683" s="28" t="s">
        <v>77</v>
      </c>
      <c r="C683" t="s">
        <v>73</v>
      </c>
      <c r="D683">
        <v>1790</v>
      </c>
      <c r="E683">
        <v>52</v>
      </c>
      <c r="F683">
        <v>50</v>
      </c>
      <c r="G683">
        <v>2110</v>
      </c>
      <c r="H683">
        <v>56</v>
      </c>
      <c r="I683">
        <v>54</v>
      </c>
    </row>
    <row r="684" spans="2:9" x14ac:dyDescent="0.3">
      <c r="B684" s="28" t="s">
        <v>77</v>
      </c>
      <c r="C684" t="s">
        <v>73</v>
      </c>
      <c r="D684">
        <v>2110</v>
      </c>
      <c r="E684">
        <v>56</v>
      </c>
      <c r="F684">
        <v>54</v>
      </c>
      <c r="G684">
        <v>18</v>
      </c>
      <c r="H684">
        <v>8.0709999999999997</v>
      </c>
      <c r="I684">
        <v>6.8209999999999997</v>
      </c>
    </row>
    <row r="685" spans="2:9" x14ac:dyDescent="0.3">
      <c r="B685" s="28" t="s">
        <v>77</v>
      </c>
      <c r="C685" t="s">
        <v>72</v>
      </c>
      <c r="D685">
        <v>18</v>
      </c>
      <c r="E685">
        <v>8.0709999999999997</v>
      </c>
      <c r="F685">
        <v>6.8209999999999997</v>
      </c>
      <c r="G685">
        <v>36</v>
      </c>
      <c r="H685">
        <v>10</v>
      </c>
      <c r="I685">
        <v>8.77</v>
      </c>
    </row>
    <row r="686" spans="2:9" x14ac:dyDescent="0.3">
      <c r="B686" s="28" t="s">
        <v>77</v>
      </c>
      <c r="C686" t="s">
        <v>72</v>
      </c>
      <c r="D686">
        <v>36</v>
      </c>
      <c r="E686">
        <v>10</v>
      </c>
      <c r="F686">
        <v>8.77</v>
      </c>
      <c r="G686">
        <v>78</v>
      </c>
      <c r="H686">
        <v>12</v>
      </c>
      <c r="I686">
        <v>10.75</v>
      </c>
    </row>
    <row r="687" spans="2:9" x14ac:dyDescent="0.3">
      <c r="B687" s="28" t="s">
        <v>77</v>
      </c>
      <c r="C687" t="s">
        <v>72</v>
      </c>
      <c r="D687">
        <v>78</v>
      </c>
      <c r="E687">
        <v>12</v>
      </c>
      <c r="F687">
        <v>10.75</v>
      </c>
      <c r="G687">
        <v>86</v>
      </c>
      <c r="H687">
        <v>13.25</v>
      </c>
      <c r="I687">
        <v>12</v>
      </c>
    </row>
    <row r="688" spans="2:9" x14ac:dyDescent="0.3">
      <c r="B688" s="28" t="s">
        <v>77</v>
      </c>
      <c r="C688" t="s">
        <v>72</v>
      </c>
      <c r="D688">
        <v>86</v>
      </c>
      <c r="E688">
        <v>13.25</v>
      </c>
      <c r="F688">
        <v>12</v>
      </c>
      <c r="G688">
        <v>128</v>
      </c>
      <c r="H688">
        <v>15.25</v>
      </c>
      <c r="I688">
        <v>14</v>
      </c>
    </row>
    <row r="689" spans="2:9" x14ac:dyDescent="0.3">
      <c r="B689" s="28" t="s">
        <v>77</v>
      </c>
      <c r="C689" t="s">
        <v>72</v>
      </c>
      <c r="D689">
        <v>128</v>
      </c>
      <c r="E689">
        <v>15.25</v>
      </c>
      <c r="F689">
        <v>14</v>
      </c>
      <c r="G689">
        <v>178</v>
      </c>
      <c r="H689">
        <v>15.25</v>
      </c>
      <c r="I689">
        <v>16</v>
      </c>
    </row>
    <row r="690" spans="2:9" x14ac:dyDescent="0.3">
      <c r="B690" s="28" t="s">
        <v>77</v>
      </c>
      <c r="C690" t="s">
        <v>72</v>
      </c>
      <c r="D690">
        <v>178</v>
      </c>
      <c r="E690">
        <v>15.25</v>
      </c>
      <c r="F690">
        <v>16</v>
      </c>
      <c r="G690">
        <v>234</v>
      </c>
      <c r="H690">
        <v>19.25</v>
      </c>
      <c r="I690">
        <v>18</v>
      </c>
    </row>
    <row r="691" spans="2:9" x14ac:dyDescent="0.3">
      <c r="B691" s="28" t="s">
        <v>77</v>
      </c>
      <c r="C691" t="s">
        <v>72</v>
      </c>
      <c r="D691">
        <v>234</v>
      </c>
      <c r="E691">
        <v>19.25</v>
      </c>
      <c r="F691">
        <v>18</v>
      </c>
      <c r="G691">
        <v>290</v>
      </c>
      <c r="H691">
        <v>21.25</v>
      </c>
      <c r="I691">
        <v>19.25</v>
      </c>
    </row>
    <row r="692" spans="2:9" x14ac:dyDescent="0.3">
      <c r="B692" s="28" t="s">
        <v>77</v>
      </c>
      <c r="C692" t="s">
        <v>72</v>
      </c>
      <c r="D692">
        <v>290</v>
      </c>
      <c r="E692">
        <v>21.25</v>
      </c>
      <c r="F692">
        <v>19.25</v>
      </c>
      <c r="G692">
        <v>364</v>
      </c>
      <c r="H692">
        <v>23.25</v>
      </c>
      <c r="I692">
        <v>21.5</v>
      </c>
    </row>
    <row r="693" spans="2:9" x14ac:dyDescent="0.3">
      <c r="B693" s="28" t="s">
        <v>77</v>
      </c>
      <c r="C693" t="s">
        <v>72</v>
      </c>
      <c r="D693">
        <v>364</v>
      </c>
      <c r="E693">
        <v>23.25</v>
      </c>
      <c r="F693">
        <v>21.5</v>
      </c>
      <c r="G693">
        <v>434</v>
      </c>
      <c r="H693">
        <v>25</v>
      </c>
      <c r="I693">
        <v>23.375</v>
      </c>
    </row>
    <row r="694" spans="2:9" x14ac:dyDescent="0.3">
      <c r="B694" s="28" t="s">
        <v>77</v>
      </c>
      <c r="C694" t="s">
        <v>72</v>
      </c>
      <c r="D694">
        <v>434</v>
      </c>
      <c r="E694">
        <v>25</v>
      </c>
      <c r="F694">
        <v>23.375</v>
      </c>
      <c r="G694">
        <v>524</v>
      </c>
      <c r="H694">
        <v>27</v>
      </c>
      <c r="I694">
        <v>25.375</v>
      </c>
    </row>
    <row r="695" spans="2:9" x14ac:dyDescent="0.3">
      <c r="B695" s="28" t="s">
        <v>77</v>
      </c>
      <c r="C695" t="s">
        <v>72</v>
      </c>
      <c r="D695">
        <v>524</v>
      </c>
      <c r="E695">
        <v>27</v>
      </c>
      <c r="F695">
        <v>25.375</v>
      </c>
      <c r="G695">
        <v>594</v>
      </c>
      <c r="H695">
        <v>29</v>
      </c>
      <c r="I695">
        <v>27.375</v>
      </c>
    </row>
    <row r="696" spans="2:9" x14ac:dyDescent="0.3">
      <c r="B696" s="28" t="s">
        <v>77</v>
      </c>
      <c r="C696" t="s">
        <v>72</v>
      </c>
      <c r="D696">
        <v>594</v>
      </c>
      <c r="E696">
        <v>29</v>
      </c>
      <c r="F696">
        <v>27.375</v>
      </c>
      <c r="G696">
        <v>720</v>
      </c>
      <c r="H696">
        <v>31</v>
      </c>
      <c r="I696">
        <v>29.375</v>
      </c>
    </row>
    <row r="697" spans="2:9" x14ac:dyDescent="0.3">
      <c r="B697" s="28" t="s">
        <v>77</v>
      </c>
      <c r="C697" t="s">
        <v>72</v>
      </c>
      <c r="D697">
        <v>720</v>
      </c>
      <c r="E697">
        <v>31</v>
      </c>
      <c r="F697">
        <v>29.375</v>
      </c>
      <c r="G697">
        <v>826</v>
      </c>
      <c r="H697">
        <v>33</v>
      </c>
      <c r="I697">
        <v>31.375</v>
      </c>
    </row>
    <row r="698" spans="2:9" x14ac:dyDescent="0.3">
      <c r="B698" s="28" t="s">
        <v>77</v>
      </c>
      <c r="C698" t="s">
        <v>72</v>
      </c>
      <c r="D698">
        <v>826</v>
      </c>
      <c r="E698">
        <v>33</v>
      </c>
      <c r="F698">
        <v>31.375</v>
      </c>
      <c r="G698">
        <v>958</v>
      </c>
      <c r="H698">
        <v>35</v>
      </c>
      <c r="I698">
        <v>33.375</v>
      </c>
    </row>
    <row r="699" spans="2:9" x14ac:dyDescent="0.3">
      <c r="B699" s="28" t="s">
        <v>77</v>
      </c>
      <c r="C699" t="s">
        <v>72</v>
      </c>
      <c r="D699">
        <v>958</v>
      </c>
      <c r="E699">
        <v>35</v>
      </c>
      <c r="F699">
        <v>33.375</v>
      </c>
      <c r="G699">
        <v>1078</v>
      </c>
      <c r="H699">
        <v>37</v>
      </c>
      <c r="I699">
        <v>35.25</v>
      </c>
    </row>
    <row r="700" spans="2:9" x14ac:dyDescent="0.3">
      <c r="B700" s="28" t="s">
        <v>77</v>
      </c>
      <c r="C700" t="s">
        <v>72</v>
      </c>
      <c r="D700">
        <v>1078</v>
      </c>
      <c r="E700">
        <v>37</v>
      </c>
      <c r="F700">
        <v>35.25</v>
      </c>
      <c r="G700">
        <v>1212</v>
      </c>
      <c r="H700">
        <v>39</v>
      </c>
      <c r="I700">
        <v>37.25</v>
      </c>
    </row>
    <row r="701" spans="2:9" x14ac:dyDescent="0.3">
      <c r="B701" s="28" t="s">
        <v>77</v>
      </c>
      <c r="C701" t="s">
        <v>72</v>
      </c>
      <c r="D701">
        <v>1212</v>
      </c>
      <c r="E701">
        <v>39</v>
      </c>
      <c r="F701">
        <v>37.25</v>
      </c>
      <c r="G701">
        <v>1456</v>
      </c>
      <c r="H701">
        <v>42</v>
      </c>
      <c r="I701">
        <v>40.25</v>
      </c>
    </row>
    <row r="702" spans="2:9" x14ac:dyDescent="0.3">
      <c r="B702" s="28" t="s">
        <v>77</v>
      </c>
      <c r="C702" t="s">
        <v>72</v>
      </c>
      <c r="D702">
        <v>1456</v>
      </c>
      <c r="E702">
        <v>42</v>
      </c>
      <c r="F702">
        <v>40.25</v>
      </c>
      <c r="G702">
        <v>1592</v>
      </c>
      <c r="H702">
        <v>44</v>
      </c>
      <c r="I702">
        <v>42.25</v>
      </c>
    </row>
    <row r="703" spans="2:9" x14ac:dyDescent="0.3">
      <c r="B703" s="28" t="s">
        <v>77</v>
      </c>
      <c r="C703" t="s">
        <v>72</v>
      </c>
      <c r="D703">
        <v>1592</v>
      </c>
      <c r="E703">
        <v>44</v>
      </c>
      <c r="F703">
        <v>42.25</v>
      </c>
      <c r="G703">
        <v>1766</v>
      </c>
      <c r="H703">
        <v>48</v>
      </c>
      <c r="I703">
        <v>46</v>
      </c>
    </row>
    <row r="704" spans="2:9" x14ac:dyDescent="0.3">
      <c r="B704" s="28" t="s">
        <v>77</v>
      </c>
      <c r="C704" t="s">
        <v>72</v>
      </c>
      <c r="D704">
        <v>1766</v>
      </c>
      <c r="E704">
        <v>48</v>
      </c>
      <c r="F704">
        <v>46</v>
      </c>
      <c r="G704">
        <v>2110</v>
      </c>
      <c r="H704">
        <v>52</v>
      </c>
      <c r="I704">
        <v>50</v>
      </c>
    </row>
    <row r="705" spans="2:9" x14ac:dyDescent="0.3">
      <c r="B705" s="28" t="s">
        <v>77</v>
      </c>
      <c r="C705" t="s">
        <v>72</v>
      </c>
      <c r="D705">
        <v>2110</v>
      </c>
      <c r="E705">
        <v>52</v>
      </c>
      <c r="F705">
        <v>50</v>
      </c>
      <c r="G705">
        <v>2489</v>
      </c>
      <c r="H705">
        <v>56</v>
      </c>
      <c r="I705">
        <v>54</v>
      </c>
    </row>
    <row r="706" spans="2:9" x14ac:dyDescent="0.3">
      <c r="B706" s="28" t="s">
        <v>77</v>
      </c>
      <c r="C706" t="s">
        <v>72</v>
      </c>
      <c r="D706">
        <v>2489</v>
      </c>
      <c r="E706">
        <v>56</v>
      </c>
      <c r="F706">
        <v>54</v>
      </c>
      <c r="G706">
        <v>0</v>
      </c>
      <c r="H706">
        <v>8.0709999999999997</v>
      </c>
      <c r="I706">
        <v>6.8209999999999997</v>
      </c>
    </row>
    <row r="707" spans="2:9" x14ac:dyDescent="0.3">
      <c r="B707" s="28" t="s">
        <v>78</v>
      </c>
      <c r="C707" t="s">
        <v>76</v>
      </c>
      <c r="D707">
        <v>0</v>
      </c>
      <c r="E707">
        <v>8.0709999999999997</v>
      </c>
      <c r="F707">
        <v>6.8209999999999997</v>
      </c>
      <c r="G707">
        <v>0</v>
      </c>
      <c r="H707">
        <v>10</v>
      </c>
      <c r="I707">
        <v>8.77</v>
      </c>
    </row>
    <row r="708" spans="2:9" x14ac:dyDescent="0.3">
      <c r="B708" s="28" t="s">
        <v>78</v>
      </c>
      <c r="C708" t="s">
        <v>76</v>
      </c>
      <c r="D708">
        <v>0</v>
      </c>
      <c r="E708">
        <v>10</v>
      </c>
      <c r="F708">
        <v>8.77</v>
      </c>
      <c r="G708">
        <v>40</v>
      </c>
      <c r="H708">
        <v>12</v>
      </c>
      <c r="I708">
        <v>10.75</v>
      </c>
    </row>
    <row r="709" spans="2:9" x14ac:dyDescent="0.3">
      <c r="B709" s="28" t="s">
        <v>78</v>
      </c>
      <c r="C709" t="s">
        <v>76</v>
      </c>
      <c r="D709">
        <v>40</v>
      </c>
      <c r="E709">
        <v>12</v>
      </c>
      <c r="F709">
        <v>10.75</v>
      </c>
      <c r="G709">
        <v>50</v>
      </c>
      <c r="H709">
        <v>13.25</v>
      </c>
      <c r="I709">
        <v>12</v>
      </c>
    </row>
    <row r="710" spans="2:9" x14ac:dyDescent="0.3">
      <c r="B710" s="28" t="s">
        <v>78</v>
      </c>
      <c r="C710" t="s">
        <v>76</v>
      </c>
      <c r="D710">
        <v>50</v>
      </c>
      <c r="E710">
        <v>13.25</v>
      </c>
      <c r="F710">
        <v>12</v>
      </c>
      <c r="G710">
        <v>72</v>
      </c>
      <c r="H710">
        <v>15.25</v>
      </c>
      <c r="I710">
        <v>14</v>
      </c>
    </row>
    <row r="711" spans="2:9" x14ac:dyDescent="0.3">
      <c r="B711" s="28" t="s">
        <v>78</v>
      </c>
      <c r="C711" t="s">
        <v>76</v>
      </c>
      <c r="D711">
        <v>72</v>
      </c>
      <c r="E711">
        <v>15.25</v>
      </c>
      <c r="F711">
        <v>14</v>
      </c>
      <c r="G711">
        <v>94</v>
      </c>
      <c r="H711">
        <v>15.25</v>
      </c>
      <c r="I711">
        <v>16</v>
      </c>
    </row>
    <row r="712" spans="2:9" x14ac:dyDescent="0.3">
      <c r="B712" s="28" t="s">
        <v>78</v>
      </c>
      <c r="C712" t="s">
        <v>76</v>
      </c>
      <c r="D712">
        <v>94</v>
      </c>
      <c r="E712">
        <v>15.25</v>
      </c>
      <c r="F712">
        <v>16</v>
      </c>
      <c r="G712">
        <v>128</v>
      </c>
      <c r="H712">
        <v>19.25</v>
      </c>
      <c r="I712">
        <v>18</v>
      </c>
    </row>
    <row r="713" spans="2:9" x14ac:dyDescent="0.3">
      <c r="B713" s="28" t="s">
        <v>78</v>
      </c>
      <c r="C713" t="s">
        <v>76</v>
      </c>
      <c r="D713">
        <v>128</v>
      </c>
      <c r="E713">
        <v>19.25</v>
      </c>
      <c r="F713">
        <v>18</v>
      </c>
      <c r="G713">
        <v>160</v>
      </c>
      <c r="H713">
        <v>21.25</v>
      </c>
      <c r="I713">
        <v>19.25</v>
      </c>
    </row>
    <row r="714" spans="2:9" x14ac:dyDescent="0.3">
      <c r="B714" s="28" t="s">
        <v>78</v>
      </c>
      <c r="C714" t="s">
        <v>76</v>
      </c>
      <c r="D714">
        <v>160</v>
      </c>
      <c r="E714">
        <v>21.25</v>
      </c>
      <c r="F714">
        <v>19.25</v>
      </c>
      <c r="G714">
        <v>202</v>
      </c>
      <c r="H714">
        <v>23.25</v>
      </c>
      <c r="I714">
        <v>21.5</v>
      </c>
    </row>
    <row r="715" spans="2:9" x14ac:dyDescent="0.3">
      <c r="B715" s="28" t="s">
        <v>78</v>
      </c>
      <c r="C715" t="s">
        <v>76</v>
      </c>
      <c r="D715">
        <v>202</v>
      </c>
      <c r="E715">
        <v>23.25</v>
      </c>
      <c r="F715">
        <v>21.5</v>
      </c>
      <c r="G715">
        <v>242</v>
      </c>
      <c r="H715">
        <v>25</v>
      </c>
      <c r="I715">
        <v>23.375</v>
      </c>
    </row>
    <row r="716" spans="2:9" x14ac:dyDescent="0.3">
      <c r="B716" s="28" t="s">
        <v>78</v>
      </c>
      <c r="C716" t="s">
        <v>76</v>
      </c>
      <c r="D716">
        <v>242</v>
      </c>
      <c r="E716">
        <v>25</v>
      </c>
      <c r="F716">
        <v>23.375</v>
      </c>
      <c r="G716">
        <v>286</v>
      </c>
      <c r="H716">
        <v>27</v>
      </c>
      <c r="I716">
        <v>25.375</v>
      </c>
    </row>
    <row r="717" spans="2:9" x14ac:dyDescent="0.3">
      <c r="B717" s="28" t="s">
        <v>78</v>
      </c>
      <c r="C717" t="s">
        <v>76</v>
      </c>
      <c r="D717">
        <v>286</v>
      </c>
      <c r="E717">
        <v>27</v>
      </c>
      <c r="F717">
        <v>25.375</v>
      </c>
      <c r="G717">
        <v>316</v>
      </c>
      <c r="H717">
        <v>29</v>
      </c>
      <c r="I717">
        <v>27.375</v>
      </c>
    </row>
    <row r="718" spans="2:9" x14ac:dyDescent="0.3">
      <c r="B718" s="28" t="s">
        <v>78</v>
      </c>
      <c r="C718" t="s">
        <v>76</v>
      </c>
      <c r="D718">
        <v>316</v>
      </c>
      <c r="E718">
        <v>29</v>
      </c>
      <c r="F718">
        <v>27.375</v>
      </c>
      <c r="G718">
        <v>400</v>
      </c>
      <c r="H718">
        <v>31</v>
      </c>
      <c r="I718">
        <v>29.375</v>
      </c>
    </row>
    <row r="719" spans="2:9" x14ac:dyDescent="0.3">
      <c r="B719" s="28" t="s">
        <v>78</v>
      </c>
      <c r="C719" t="s">
        <v>76</v>
      </c>
      <c r="D719">
        <v>400</v>
      </c>
      <c r="E719">
        <v>31</v>
      </c>
      <c r="F719">
        <v>29.375</v>
      </c>
      <c r="G719">
        <v>454</v>
      </c>
      <c r="H719">
        <v>33</v>
      </c>
      <c r="I719">
        <v>31.375</v>
      </c>
    </row>
    <row r="720" spans="2:9" x14ac:dyDescent="0.3">
      <c r="B720" s="28" t="s">
        <v>78</v>
      </c>
      <c r="C720" t="s">
        <v>76</v>
      </c>
      <c r="D720">
        <v>454</v>
      </c>
      <c r="E720">
        <v>33</v>
      </c>
      <c r="F720">
        <v>31.375</v>
      </c>
      <c r="G720">
        <v>532</v>
      </c>
      <c r="H720">
        <v>35</v>
      </c>
      <c r="I720">
        <v>33.375</v>
      </c>
    </row>
    <row r="721" spans="2:9" x14ac:dyDescent="0.3">
      <c r="B721" s="28" t="s">
        <v>78</v>
      </c>
      <c r="C721" t="s">
        <v>76</v>
      </c>
      <c r="D721">
        <v>532</v>
      </c>
      <c r="E721">
        <v>35</v>
      </c>
      <c r="F721">
        <v>33.375</v>
      </c>
      <c r="G721">
        <v>598</v>
      </c>
      <c r="H721">
        <v>37</v>
      </c>
      <c r="I721">
        <v>35.25</v>
      </c>
    </row>
    <row r="722" spans="2:9" x14ac:dyDescent="0.3">
      <c r="B722" s="28" t="s">
        <v>78</v>
      </c>
      <c r="C722" t="s">
        <v>76</v>
      </c>
      <c r="D722">
        <v>598</v>
      </c>
      <c r="E722">
        <v>37</v>
      </c>
      <c r="F722">
        <v>35.25</v>
      </c>
      <c r="G722">
        <v>672</v>
      </c>
      <c r="H722">
        <v>39</v>
      </c>
      <c r="I722">
        <v>37.25</v>
      </c>
    </row>
    <row r="723" spans="2:9" x14ac:dyDescent="0.3">
      <c r="B723" s="28" t="s">
        <v>78</v>
      </c>
      <c r="C723" t="s">
        <v>76</v>
      </c>
      <c r="D723">
        <v>672</v>
      </c>
      <c r="E723">
        <v>39</v>
      </c>
      <c r="F723">
        <v>37.25</v>
      </c>
      <c r="G723">
        <v>800</v>
      </c>
      <c r="H723">
        <v>42</v>
      </c>
      <c r="I723">
        <v>40.25</v>
      </c>
    </row>
    <row r="724" spans="2:9" x14ac:dyDescent="0.3">
      <c r="B724" s="28" t="s">
        <v>78</v>
      </c>
      <c r="C724" t="s">
        <v>76</v>
      </c>
      <c r="D724">
        <v>800</v>
      </c>
      <c r="E724">
        <v>42</v>
      </c>
      <c r="F724">
        <v>40.25</v>
      </c>
      <c r="G724">
        <v>871</v>
      </c>
      <c r="H724">
        <v>44</v>
      </c>
      <c r="I724">
        <v>42.25</v>
      </c>
    </row>
    <row r="725" spans="2:9" x14ac:dyDescent="0.3">
      <c r="B725" s="28" t="s">
        <v>78</v>
      </c>
      <c r="C725" t="s">
        <v>76</v>
      </c>
      <c r="D725">
        <v>871</v>
      </c>
      <c r="E725">
        <v>44</v>
      </c>
      <c r="F725">
        <v>42.25</v>
      </c>
      <c r="G725">
        <v>1055</v>
      </c>
      <c r="H725">
        <v>48</v>
      </c>
      <c r="I725">
        <v>46</v>
      </c>
    </row>
    <row r="726" spans="2:9" x14ac:dyDescent="0.3">
      <c r="B726" s="28" t="s">
        <v>78</v>
      </c>
      <c r="C726" t="s">
        <v>76</v>
      </c>
      <c r="D726">
        <v>1055</v>
      </c>
      <c r="E726">
        <v>48</v>
      </c>
      <c r="F726">
        <v>46</v>
      </c>
      <c r="G726">
        <v>1262</v>
      </c>
      <c r="H726">
        <v>52</v>
      </c>
      <c r="I726">
        <v>50</v>
      </c>
    </row>
    <row r="727" spans="2:9" x14ac:dyDescent="0.3">
      <c r="B727" s="28" t="s">
        <v>78</v>
      </c>
      <c r="C727" t="s">
        <v>76</v>
      </c>
      <c r="D727">
        <v>1262</v>
      </c>
      <c r="E727">
        <v>52</v>
      </c>
      <c r="F727">
        <v>50</v>
      </c>
      <c r="G727">
        <v>1472</v>
      </c>
      <c r="H727">
        <v>56</v>
      </c>
      <c r="I727">
        <v>54</v>
      </c>
    </row>
    <row r="728" spans="2:9" x14ac:dyDescent="0.3">
      <c r="B728" s="28" t="s">
        <v>78</v>
      </c>
      <c r="C728" t="s">
        <v>76</v>
      </c>
      <c r="D728">
        <v>1472</v>
      </c>
      <c r="E728">
        <v>56</v>
      </c>
      <c r="F728">
        <v>54</v>
      </c>
      <c r="G728">
        <v>0</v>
      </c>
      <c r="H728">
        <v>8.0709999999999997</v>
      </c>
      <c r="I728">
        <v>6.8209999999999997</v>
      </c>
    </row>
    <row r="729" spans="2:9" x14ac:dyDescent="0.3">
      <c r="B729" s="28" t="s">
        <v>78</v>
      </c>
      <c r="C729" t="s">
        <v>75</v>
      </c>
      <c r="D729">
        <v>0</v>
      </c>
      <c r="E729">
        <v>8.0709999999999997</v>
      </c>
      <c r="F729">
        <v>6.8209999999999997</v>
      </c>
      <c r="G729">
        <v>0</v>
      </c>
      <c r="H729">
        <v>10</v>
      </c>
      <c r="I729">
        <v>8.77</v>
      </c>
    </row>
    <row r="730" spans="2:9" x14ac:dyDescent="0.3">
      <c r="B730" s="28" t="s">
        <v>78</v>
      </c>
      <c r="C730" t="s">
        <v>75</v>
      </c>
      <c r="D730">
        <v>0</v>
      </c>
      <c r="E730">
        <v>10</v>
      </c>
      <c r="F730">
        <v>8.77</v>
      </c>
      <c r="G730">
        <v>36</v>
      </c>
      <c r="H730">
        <v>12</v>
      </c>
      <c r="I730">
        <v>10.75</v>
      </c>
    </row>
    <row r="731" spans="2:9" x14ac:dyDescent="0.3">
      <c r="B731" s="28" t="s">
        <v>78</v>
      </c>
      <c r="C731" t="s">
        <v>75</v>
      </c>
      <c r="D731">
        <v>36</v>
      </c>
      <c r="E731">
        <v>12</v>
      </c>
      <c r="F731">
        <v>10.75</v>
      </c>
      <c r="G731">
        <v>44</v>
      </c>
      <c r="H731">
        <v>13.25</v>
      </c>
      <c r="I731">
        <v>12</v>
      </c>
    </row>
    <row r="732" spans="2:9" x14ac:dyDescent="0.3">
      <c r="B732" s="28" t="s">
        <v>78</v>
      </c>
      <c r="C732" t="s">
        <v>75</v>
      </c>
      <c r="D732">
        <v>44</v>
      </c>
      <c r="E732">
        <v>13.25</v>
      </c>
      <c r="F732">
        <v>12</v>
      </c>
      <c r="G732">
        <v>64</v>
      </c>
      <c r="H732">
        <v>15.25</v>
      </c>
      <c r="I732">
        <v>14</v>
      </c>
    </row>
    <row r="733" spans="2:9" x14ac:dyDescent="0.3">
      <c r="B733" s="28" t="s">
        <v>78</v>
      </c>
      <c r="C733" t="s">
        <v>75</v>
      </c>
      <c r="D733">
        <v>64</v>
      </c>
      <c r="E733">
        <v>15.25</v>
      </c>
      <c r="F733">
        <v>14</v>
      </c>
      <c r="G733">
        <v>82</v>
      </c>
      <c r="H733">
        <v>15.25</v>
      </c>
      <c r="I733">
        <v>16</v>
      </c>
    </row>
    <row r="734" spans="2:9" x14ac:dyDescent="0.3">
      <c r="B734" s="28" t="s">
        <v>78</v>
      </c>
      <c r="C734" t="s">
        <v>75</v>
      </c>
      <c r="D734">
        <v>82</v>
      </c>
      <c r="E734">
        <v>15.25</v>
      </c>
      <c r="F734">
        <v>16</v>
      </c>
      <c r="G734">
        <v>116</v>
      </c>
      <c r="H734">
        <v>19.25</v>
      </c>
      <c r="I734">
        <v>18</v>
      </c>
    </row>
    <row r="735" spans="2:9" x14ac:dyDescent="0.3">
      <c r="B735" s="28" t="s">
        <v>78</v>
      </c>
      <c r="C735" t="s">
        <v>75</v>
      </c>
      <c r="D735">
        <v>116</v>
      </c>
      <c r="E735">
        <v>19.25</v>
      </c>
      <c r="F735">
        <v>18</v>
      </c>
      <c r="G735">
        <v>148</v>
      </c>
      <c r="H735">
        <v>21.25</v>
      </c>
      <c r="I735">
        <v>19.25</v>
      </c>
    </row>
    <row r="736" spans="2:9" x14ac:dyDescent="0.3">
      <c r="B736" s="28" t="s">
        <v>78</v>
      </c>
      <c r="C736" t="s">
        <v>75</v>
      </c>
      <c r="D736">
        <v>148</v>
      </c>
      <c r="E736">
        <v>21.25</v>
      </c>
      <c r="F736">
        <v>19.25</v>
      </c>
      <c r="G736">
        <v>184</v>
      </c>
      <c r="H736">
        <v>23.25</v>
      </c>
      <c r="I736">
        <v>21.5</v>
      </c>
    </row>
    <row r="737" spans="2:9" x14ac:dyDescent="0.3">
      <c r="B737" s="28" t="s">
        <v>78</v>
      </c>
      <c r="C737" t="s">
        <v>75</v>
      </c>
      <c r="D737">
        <v>184</v>
      </c>
      <c r="E737">
        <v>23.25</v>
      </c>
      <c r="F737">
        <v>21.5</v>
      </c>
      <c r="G737">
        <v>210</v>
      </c>
      <c r="H737">
        <v>25</v>
      </c>
      <c r="I737">
        <v>23.375</v>
      </c>
    </row>
    <row r="738" spans="2:9" x14ac:dyDescent="0.3">
      <c r="B738" s="28" t="s">
        <v>78</v>
      </c>
      <c r="C738" t="s">
        <v>75</v>
      </c>
      <c r="D738">
        <v>210</v>
      </c>
      <c r="E738">
        <v>25</v>
      </c>
      <c r="F738">
        <v>23.375</v>
      </c>
      <c r="G738">
        <v>250</v>
      </c>
      <c r="H738">
        <v>27</v>
      </c>
      <c r="I738">
        <v>25.375</v>
      </c>
    </row>
    <row r="739" spans="2:9" x14ac:dyDescent="0.3">
      <c r="B739" s="28" t="s">
        <v>78</v>
      </c>
      <c r="C739" t="s">
        <v>75</v>
      </c>
      <c r="D739">
        <v>250</v>
      </c>
      <c r="E739">
        <v>27</v>
      </c>
      <c r="F739">
        <v>25.375</v>
      </c>
      <c r="G739">
        <v>310</v>
      </c>
      <c r="H739">
        <v>29</v>
      </c>
      <c r="I739">
        <v>27.375</v>
      </c>
    </row>
    <row r="740" spans="2:9" x14ac:dyDescent="0.3">
      <c r="B740" s="28" t="s">
        <v>78</v>
      </c>
      <c r="C740" t="s">
        <v>75</v>
      </c>
      <c r="D740">
        <v>310</v>
      </c>
      <c r="E740">
        <v>29</v>
      </c>
      <c r="F740">
        <v>27.375</v>
      </c>
      <c r="G740">
        <v>348</v>
      </c>
      <c r="H740">
        <v>31</v>
      </c>
      <c r="I740">
        <v>29.375</v>
      </c>
    </row>
    <row r="741" spans="2:9" x14ac:dyDescent="0.3">
      <c r="B741" s="28" t="s">
        <v>78</v>
      </c>
      <c r="C741" t="s">
        <v>75</v>
      </c>
      <c r="D741">
        <v>348</v>
      </c>
      <c r="E741">
        <v>31</v>
      </c>
      <c r="F741">
        <v>29.375</v>
      </c>
      <c r="G741">
        <v>414</v>
      </c>
      <c r="H741">
        <v>33</v>
      </c>
      <c r="I741">
        <v>31.375</v>
      </c>
    </row>
    <row r="742" spans="2:9" x14ac:dyDescent="0.3">
      <c r="B742" s="28" t="s">
        <v>78</v>
      </c>
      <c r="C742" t="s">
        <v>75</v>
      </c>
      <c r="D742">
        <v>414</v>
      </c>
      <c r="E742">
        <v>33</v>
      </c>
      <c r="F742">
        <v>31.375</v>
      </c>
      <c r="G742">
        <v>480</v>
      </c>
      <c r="H742">
        <v>35</v>
      </c>
      <c r="I742">
        <v>33.375</v>
      </c>
    </row>
    <row r="743" spans="2:9" x14ac:dyDescent="0.3">
      <c r="B743" s="28" t="s">
        <v>78</v>
      </c>
      <c r="C743" t="s">
        <v>75</v>
      </c>
      <c r="D743">
        <v>480</v>
      </c>
      <c r="E743">
        <v>35</v>
      </c>
      <c r="F743">
        <v>33.375</v>
      </c>
      <c r="G743">
        <v>538</v>
      </c>
      <c r="H743">
        <v>37</v>
      </c>
      <c r="I743">
        <v>35.25</v>
      </c>
    </row>
    <row r="744" spans="2:9" x14ac:dyDescent="0.3">
      <c r="B744" s="28" t="s">
        <v>78</v>
      </c>
      <c r="C744" t="s">
        <v>75</v>
      </c>
      <c r="D744">
        <v>538</v>
      </c>
      <c r="E744">
        <v>37</v>
      </c>
      <c r="F744">
        <v>35.25</v>
      </c>
      <c r="G744">
        <v>605</v>
      </c>
      <c r="H744">
        <v>39</v>
      </c>
      <c r="I744">
        <v>37.25</v>
      </c>
    </row>
    <row r="745" spans="2:9" x14ac:dyDescent="0.3">
      <c r="B745" s="28" t="s">
        <v>78</v>
      </c>
      <c r="C745" t="s">
        <v>75</v>
      </c>
      <c r="D745">
        <v>605</v>
      </c>
      <c r="E745">
        <v>39</v>
      </c>
      <c r="F745">
        <v>37.25</v>
      </c>
      <c r="G745">
        <v>680</v>
      </c>
      <c r="H745">
        <v>42</v>
      </c>
      <c r="I745">
        <v>40.25</v>
      </c>
    </row>
    <row r="746" spans="2:9" x14ac:dyDescent="0.3">
      <c r="B746" s="28" t="s">
        <v>78</v>
      </c>
      <c r="C746" t="s">
        <v>75</v>
      </c>
      <c r="D746">
        <v>680</v>
      </c>
      <c r="E746">
        <v>42</v>
      </c>
      <c r="F746">
        <v>40.25</v>
      </c>
      <c r="G746">
        <v>763</v>
      </c>
      <c r="H746">
        <v>44</v>
      </c>
      <c r="I746">
        <v>42.25</v>
      </c>
    </row>
    <row r="747" spans="2:9" x14ac:dyDescent="0.3">
      <c r="B747" s="28" t="s">
        <v>78</v>
      </c>
      <c r="C747" t="s">
        <v>75</v>
      </c>
      <c r="D747">
        <v>763</v>
      </c>
      <c r="E747">
        <v>44</v>
      </c>
      <c r="F747">
        <v>42.25</v>
      </c>
      <c r="G747">
        <v>940</v>
      </c>
      <c r="H747">
        <v>48</v>
      </c>
      <c r="I747">
        <v>46</v>
      </c>
    </row>
    <row r="748" spans="2:9" x14ac:dyDescent="0.3">
      <c r="B748" s="28" t="s">
        <v>78</v>
      </c>
      <c r="C748" t="s">
        <v>75</v>
      </c>
      <c r="D748">
        <v>940</v>
      </c>
      <c r="E748">
        <v>48</v>
      </c>
      <c r="F748">
        <v>46</v>
      </c>
      <c r="G748">
        <v>1110</v>
      </c>
      <c r="H748">
        <v>52</v>
      </c>
      <c r="I748">
        <v>50</v>
      </c>
    </row>
    <row r="749" spans="2:9" x14ac:dyDescent="0.3">
      <c r="B749" s="28" t="s">
        <v>78</v>
      </c>
      <c r="C749" t="s">
        <v>75</v>
      </c>
      <c r="D749">
        <v>1110</v>
      </c>
      <c r="E749">
        <v>52</v>
      </c>
      <c r="F749">
        <v>50</v>
      </c>
      <c r="G749">
        <v>1307</v>
      </c>
      <c r="H749">
        <v>56</v>
      </c>
      <c r="I749">
        <v>54</v>
      </c>
    </row>
    <row r="750" spans="2:9" x14ac:dyDescent="0.3">
      <c r="B750" s="28" t="s">
        <v>78</v>
      </c>
      <c r="C750" t="s">
        <v>75</v>
      </c>
      <c r="D750">
        <v>1307</v>
      </c>
      <c r="E750">
        <v>56</v>
      </c>
      <c r="F750">
        <v>54</v>
      </c>
      <c r="G750">
        <v>1307</v>
      </c>
      <c r="H750">
        <v>56</v>
      </c>
      <c r="I750">
        <v>54</v>
      </c>
    </row>
    <row r="752" spans="2:9" x14ac:dyDescent="0.3">
      <c r="B752" s="28" t="s">
        <v>87</v>
      </c>
      <c r="C752" t="s">
        <v>80</v>
      </c>
      <c r="D752" t="s">
        <v>69</v>
      </c>
      <c r="E752" t="s">
        <v>88</v>
      </c>
    </row>
    <row r="753" spans="2:8" x14ac:dyDescent="0.3">
      <c r="B753">
        <v>0.5</v>
      </c>
      <c r="C753" t="s">
        <v>89</v>
      </c>
      <c r="D753" t="s">
        <v>96</v>
      </c>
      <c r="E753">
        <v>0.88</v>
      </c>
      <c r="G753" t="s">
        <v>79</v>
      </c>
    </row>
    <row r="754" spans="2:8" x14ac:dyDescent="0.3">
      <c r="B754">
        <v>0.5</v>
      </c>
      <c r="C754" t="s">
        <v>93</v>
      </c>
      <c r="D754" t="s">
        <v>97</v>
      </c>
      <c r="E754">
        <v>0.74</v>
      </c>
      <c r="G754" t="s">
        <v>72</v>
      </c>
      <c r="H754">
        <f>15/16</f>
        <v>0.9375</v>
      </c>
    </row>
    <row r="755" spans="2:8" x14ac:dyDescent="0.3">
      <c r="B755">
        <v>0.75</v>
      </c>
      <c r="C755" t="s">
        <v>90</v>
      </c>
      <c r="D755" t="s">
        <v>96</v>
      </c>
      <c r="E755">
        <v>0.72</v>
      </c>
      <c r="G755" t="s">
        <v>73</v>
      </c>
      <c r="H755">
        <v>1</v>
      </c>
    </row>
    <row r="756" spans="2:8" x14ac:dyDescent="0.3">
      <c r="B756">
        <v>0.75</v>
      </c>
      <c r="C756" t="s">
        <v>73</v>
      </c>
      <c r="D756" t="s">
        <v>96</v>
      </c>
      <c r="E756">
        <v>0.95</v>
      </c>
      <c r="G756" t="s">
        <v>74</v>
      </c>
      <c r="H756">
        <v>1</v>
      </c>
    </row>
    <row r="757" spans="2:8" x14ac:dyDescent="0.3">
      <c r="B757">
        <v>0.75</v>
      </c>
      <c r="C757" t="s">
        <v>72</v>
      </c>
      <c r="D757" t="s">
        <v>97</v>
      </c>
      <c r="E757">
        <v>0.55000000000000004</v>
      </c>
      <c r="G757" t="s">
        <v>75</v>
      </c>
      <c r="H757">
        <f>5/4</f>
        <v>1.25</v>
      </c>
    </row>
    <row r="758" spans="2:8" x14ac:dyDescent="0.3">
      <c r="B758">
        <v>0.75</v>
      </c>
      <c r="C758" t="s">
        <v>74</v>
      </c>
      <c r="D758" t="s">
        <v>97</v>
      </c>
      <c r="E758">
        <v>0.73</v>
      </c>
      <c r="G758" t="s">
        <v>76</v>
      </c>
      <c r="H758">
        <f>1.25</f>
        <v>1.25</v>
      </c>
    </row>
    <row r="759" spans="2:8" x14ac:dyDescent="0.3">
      <c r="B759">
        <v>1</v>
      </c>
      <c r="C759" t="s">
        <v>75</v>
      </c>
      <c r="D759" t="s">
        <v>96</v>
      </c>
      <c r="E759">
        <v>0.99</v>
      </c>
      <c r="G759" t="s">
        <v>90</v>
      </c>
      <c r="H759">
        <f>15/16</f>
        <v>0.9375</v>
      </c>
    </row>
    <row r="760" spans="2:8" x14ac:dyDescent="0.3">
      <c r="B760">
        <v>1</v>
      </c>
      <c r="C760" t="s">
        <v>76</v>
      </c>
      <c r="D760" t="s">
        <v>97</v>
      </c>
      <c r="E760">
        <v>0.72</v>
      </c>
      <c r="G760" t="s">
        <v>89</v>
      </c>
      <c r="H760">
        <f>3/4</f>
        <v>0.75</v>
      </c>
    </row>
    <row r="761" spans="2:8" x14ac:dyDescent="0.3">
      <c r="B761">
        <v>1.25</v>
      </c>
      <c r="C761" t="s">
        <v>91</v>
      </c>
      <c r="D761" t="s">
        <v>96</v>
      </c>
      <c r="E761">
        <v>1.23</v>
      </c>
      <c r="G761" t="s">
        <v>93</v>
      </c>
      <c r="H761">
        <f>3/4</f>
        <v>0.75</v>
      </c>
    </row>
    <row r="762" spans="2:8" x14ac:dyDescent="0.3">
      <c r="B762">
        <v>1.25</v>
      </c>
      <c r="C762" t="s">
        <v>94</v>
      </c>
      <c r="D762" t="s">
        <v>97</v>
      </c>
      <c r="E762">
        <v>0.91</v>
      </c>
      <c r="G762" t="s">
        <v>91</v>
      </c>
      <c r="H762">
        <f>25/16</f>
        <v>1.5625</v>
      </c>
    </row>
    <row r="763" spans="2:8" x14ac:dyDescent="0.3">
      <c r="B763">
        <v>1.5</v>
      </c>
      <c r="C763" t="s">
        <v>92</v>
      </c>
      <c r="D763" t="s">
        <v>96</v>
      </c>
      <c r="E763">
        <v>1.48</v>
      </c>
      <c r="G763" t="s">
        <v>94</v>
      </c>
      <c r="H763">
        <f>25/16</f>
        <v>1.5625</v>
      </c>
    </row>
    <row r="764" spans="2:8" x14ac:dyDescent="0.3">
      <c r="B764">
        <v>1.5</v>
      </c>
      <c r="C764" t="s">
        <v>95</v>
      </c>
      <c r="D764" t="s">
        <v>97</v>
      </c>
      <c r="E764">
        <v>1.08</v>
      </c>
      <c r="G764" t="s">
        <v>92</v>
      </c>
      <c r="H764">
        <f>15/8</f>
        <v>1.875</v>
      </c>
    </row>
    <row r="765" spans="2:8" x14ac:dyDescent="0.3">
      <c r="G765" t="s">
        <v>95</v>
      </c>
      <c r="H765">
        <f>15/8</f>
        <v>1.875</v>
      </c>
    </row>
  </sheetData>
  <sortState xmlns:xlrd2="http://schemas.microsoft.com/office/spreadsheetml/2017/richdata2" ref="B753:E764">
    <sortCondition ref="B753"/>
  </sortState>
  <mergeCells count="2">
    <mergeCell ref="E2:F2"/>
    <mergeCell ref="F83:J8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Trocador</vt:lpstr>
      <vt:lpstr>Tabelas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Felipe Rocha</cp:lastModifiedBy>
  <dcterms:created xsi:type="dcterms:W3CDTF">2022-05-31T11:52:58Z</dcterms:created>
  <dcterms:modified xsi:type="dcterms:W3CDTF">2025-06-26T03:36:21Z</dcterms:modified>
</cp:coreProperties>
</file>