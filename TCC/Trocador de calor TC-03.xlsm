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310" documentId="8_{0C5EFBA6-40FB-48D3-B4EF-3FD1F503FC50}" xr6:coauthVersionLast="47" xr6:coauthVersionMax="47" xr10:uidLastSave="{A7C31188-6561-4321-BA41-BB9BA73DFF63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F14" i="1"/>
  <c r="G14" i="1"/>
  <c r="C12" i="1"/>
  <c r="I10" i="1"/>
  <c r="G10" i="1"/>
  <c r="A10" i="1"/>
  <c r="B18" i="1"/>
  <c r="A18" i="1"/>
  <c r="A7" i="1"/>
  <c r="A6" i="1" s="1"/>
  <c r="C6" i="1"/>
  <c r="B7" i="1"/>
  <c r="F7" i="1"/>
  <c r="F6" i="1" s="1"/>
  <c r="H10" i="1"/>
  <c r="F12" i="1"/>
  <c r="E12" i="1"/>
  <c r="D12" i="1"/>
  <c r="F10" i="1"/>
  <c r="B6" i="1" l="1"/>
  <c r="G12" i="1"/>
  <c r="A12" i="1"/>
  <c r="B12" i="1" s="1"/>
  <c r="B14" i="1"/>
  <c r="H765" i="2" l="1"/>
  <c r="H764" i="2"/>
  <c r="H763" i="2"/>
  <c r="H762" i="2"/>
  <c r="H761" i="2"/>
  <c r="H760" i="2"/>
  <c r="H759" i="2"/>
  <c r="H758" i="2"/>
  <c r="H757" i="2"/>
  <c r="H754" i="2"/>
  <c r="M10" i="1"/>
  <c r="I6" i="1"/>
  <c r="H6" i="1"/>
  <c r="H7" i="1" s="1"/>
  <c r="G6" i="1"/>
  <c r="G7" i="1" s="1"/>
  <c r="A26" i="1" s="1"/>
  <c r="E6" i="1"/>
  <c r="D6" i="1"/>
  <c r="D7" i="1" s="1"/>
  <c r="C7" i="1"/>
  <c r="B26" i="1" s="1"/>
  <c r="E7" i="1" l="1"/>
  <c r="B10" i="1"/>
  <c r="I7" i="1"/>
  <c r="C10" i="1"/>
  <c r="D10" i="1"/>
  <c r="E10" i="1" l="1"/>
  <c r="H12" i="1" s="1"/>
  <c r="I12" i="1" l="1"/>
  <c r="A14" i="1" l="1"/>
  <c r="C14" i="1" s="1"/>
  <c r="A20" i="1" s="1"/>
  <c r="A22" i="1" s="1"/>
  <c r="D14" i="1" l="1"/>
  <c r="B20" i="1" s="1"/>
  <c r="B22" i="1" s="1"/>
  <c r="B24" i="1" s="1"/>
  <c r="B28" i="1" s="1"/>
  <c r="E14" i="1"/>
  <c r="A24" i="1"/>
  <c r="I14" i="1" l="1"/>
  <c r="H14" i="1"/>
  <c r="A32" i="1"/>
  <c r="A34" i="1" s="1"/>
  <c r="A28" i="1"/>
  <c r="A30" i="1" s="1"/>
  <c r="C16" i="1" s="1"/>
  <c r="D16" i="1" s="1"/>
  <c r="B32" i="1"/>
  <c r="B34" i="1" s="1"/>
  <c r="A36" i="1" l="1"/>
  <c r="E16" i="1"/>
  <c r="B36" i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<sst xmlns="http://schemas.openxmlformats.org/spreadsheetml/2006/main" count="1774" uniqueCount="132">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</sst>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4" borderId="0" xfId="0" applyFill="1"/>
    <xf numFmtId="11" fontId="0" fillId="0" borderId="12" xfId="0" applyNumberFormat="1" applyBorder="1" applyAlignment="1">
      <alignment horizontal="center"/>
    </xf>
    <xf numFmtId="0" fontId="0" fillId="0" borderId="0" xfId="0" quotePrefix="1"/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F17" sqref="F17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2" t="s">
        <v>3</v>
      </c>
      <c r="C3" s="42"/>
      <c r="D3" s="42"/>
      <c r="E3" s="42"/>
      <c r="F3" s="42"/>
      <c r="G3" s="42"/>
      <c r="H3" s="42"/>
      <c r="I3" s="42"/>
      <c r="L3" s="45" t="s">
        <v>4</v>
      </c>
      <c r="M3" s="46"/>
      <c r="N3" s="46"/>
      <c r="O3" s="46"/>
      <c r="P3" s="46"/>
      <c r="Q3" s="46"/>
      <c r="R3" s="46"/>
      <c r="S3" s="47"/>
    </row>
    <row r="4" spans="1:19" x14ac:dyDescent="0.3">
      <c r="A4" s="44" t="s">
        <v>6</v>
      </c>
      <c r="B4" s="50" t="s">
        <v>0</v>
      </c>
      <c r="C4" s="50"/>
      <c r="D4" s="50"/>
      <c r="E4" s="50"/>
      <c r="F4" s="51" t="s">
        <v>1</v>
      </c>
      <c r="G4" s="51"/>
      <c r="H4" s="51"/>
      <c r="I4" s="51"/>
      <c r="K4" s="54" t="s">
        <v>6</v>
      </c>
      <c r="L4" s="52" t="s">
        <v>0</v>
      </c>
      <c r="M4" s="50"/>
      <c r="N4" s="50"/>
      <c r="O4" s="50"/>
      <c r="P4" s="51" t="s">
        <v>1</v>
      </c>
      <c r="Q4" s="51"/>
      <c r="R4" s="51"/>
      <c r="S4" s="53"/>
    </row>
    <row r="5" spans="1:19" ht="15" thickBot="1" x14ac:dyDescent="0.35">
      <c r="A5" s="44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5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A7*1055.05585261999/(4.184*1000)</f>
        <v>25909312.405339222</v>
      </c>
      <c r="B6" s="11">
        <f>B7/2.20462262184877</f>
        <v>161374.71169630624</v>
      </c>
      <c r="C6" s="12">
        <f>IFERROR(IF(M6&lt;&gt;0,M6,IF(K6&lt;&gt;0,K6,P6*Q6*(S6-R6)/(L6*(N6-O6)))),0)</f>
        <v>0.25800000000000001</v>
      </c>
      <c r="D6" s="12">
        <f>IFERROR(IF(N6&lt;&gt;0,N6,IF(K6&lt;&gt;0,K6,O6+P6*Q6*(S6-R6)/(L6*M6))),0)</f>
        <v>265</v>
      </c>
      <c r="E6" s="12">
        <f>IFERROR(IF(O6&lt;&gt;0,O6,IF(K6&lt;&gt;0,K6,N6-P6*Q6*(S6-R6)/(L6*M6))),0)</f>
        <v>160</v>
      </c>
      <c r="F6" s="11">
        <f>F7/2.20462262184877</f>
        <v>797187.22949789208</v>
      </c>
      <c r="G6" s="12">
        <f>IFERROR(IF(Q6&lt;&gt;0,Q6,IF(K6&lt;&gt;0,K6,L6*M6*(O6-N6)/(P6*(R6-S6)))),0)</f>
        <v>1</v>
      </c>
      <c r="H6" s="12">
        <f>IFERROR(IF(R6&lt;&gt;0,R6,IF(K6&lt;&gt;0,K6,S6+L6*M6*(O6-N6)/(P6*Q6))),0)</f>
        <v>30</v>
      </c>
      <c r="I6" s="12">
        <f>IFERROR(IF(S6&lt;&gt;0,S6,IF(K6&lt;&gt;0,K6,R6-L6*M6*(O6-N6)/(P6*Q6))),0)</f>
        <v>45</v>
      </c>
      <c r="K6" s="13">
        <v>102747700.83</v>
      </c>
      <c r="L6" s="38">
        <v>355770.34</v>
      </c>
      <c r="M6" s="14">
        <v>0.25800000000000001</v>
      </c>
      <c r="N6" s="14">
        <v>265</v>
      </c>
      <c r="O6" s="14">
        <v>160</v>
      </c>
      <c r="P6" s="14">
        <v>1757497</v>
      </c>
      <c r="Q6" s="14">
        <v>1</v>
      </c>
      <c r="R6" s="14">
        <v>30</v>
      </c>
      <c r="S6" s="15">
        <v>45</v>
      </c>
    </row>
    <row r="7" spans="1:19" s="1" customFormat="1" x14ac:dyDescent="0.3">
      <c r="A7" s="11">
        <f>IF(K6&lt;&gt;0,K6,IF(L6*M6*(N6-O6)&lt;&gt;0,L6*M6*(N6-O6),P6*Q6*(S6-R6)))</f>
        <v>102747700.83</v>
      </c>
      <c r="B7" s="11">
        <f>IFERROR(IF(L6&lt;&gt;0,L6,IF(K6&lt;&gt;0,K6,P6*Q6*(S6-R6)/(M6*(N6-O6)))),0)</f>
        <v>355770.34</v>
      </c>
      <c r="C7" s="12">
        <f>C6</f>
        <v>0.25800000000000001</v>
      </c>
      <c r="D7" s="12">
        <f>D6*1.8+32</f>
        <v>509</v>
      </c>
      <c r="E7" s="12">
        <f>E6*1.8+32</f>
        <v>320</v>
      </c>
      <c r="F7" s="11">
        <f>IFERROR(IF(P6&lt;&gt;0,P6,IF(K6&lt;&gt;0,K6,L6*M6*(O6-N6)/(Q6*(R6-S6)))),0)</f>
        <v>1757497</v>
      </c>
      <c r="G7" s="12">
        <f>G6</f>
        <v>1</v>
      </c>
      <c r="H7" s="12">
        <f>H6*1.8+32</f>
        <v>86</v>
      </c>
      <c r="I7" s="12">
        <f>I6*1.8+32</f>
        <v>113</v>
      </c>
      <c r="J7" s="3" t="s">
        <v>43</v>
      </c>
      <c r="K7" s="44" t="s">
        <v>11</v>
      </c>
      <c r="L7" s="42" t="s">
        <v>33</v>
      </c>
      <c r="M7" s="42"/>
      <c r="N7" s="44" t="s">
        <v>47</v>
      </c>
      <c r="O7" s="48" t="s">
        <v>56</v>
      </c>
      <c r="P7" s="2"/>
      <c r="Q7" s="2"/>
      <c r="R7" s="46" t="s">
        <v>80</v>
      </c>
      <c r="S7" s="2"/>
    </row>
    <row r="8" spans="1:19" x14ac:dyDescent="0.3">
      <c r="A8" s="39"/>
      <c r="B8" s="39"/>
      <c r="C8" s="39"/>
      <c r="D8" s="39"/>
      <c r="E8" s="39"/>
      <c r="F8" s="42" t="s">
        <v>44</v>
      </c>
      <c r="G8" s="42"/>
      <c r="H8" s="42"/>
      <c r="I8" s="42"/>
      <c r="K8" s="44"/>
      <c r="L8" s="3" t="s">
        <v>13</v>
      </c>
      <c r="M8" s="3" t="s">
        <v>14</v>
      </c>
      <c r="N8" s="44"/>
      <c r="O8" s="49"/>
      <c r="P8" s="3" t="s">
        <v>52</v>
      </c>
      <c r="Q8" s="3" t="s">
        <v>63</v>
      </c>
      <c r="R8" s="42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20</v>
      </c>
      <c r="M9" t="s">
        <v>15</v>
      </c>
      <c r="N9" s="1">
        <v>0.02</v>
      </c>
      <c r="O9" s="1">
        <v>1</v>
      </c>
      <c r="P9" s="1">
        <v>14</v>
      </c>
      <c r="Q9" s="1">
        <v>34.29</v>
      </c>
      <c r="R9" t="s">
        <v>76</v>
      </c>
      <c r="S9" s="1">
        <v>9</v>
      </c>
    </row>
    <row r="10" spans="1:19" ht="15" thickBot="1" x14ac:dyDescent="0.35">
      <c r="A10" s="23">
        <f>((E6-H6)-(D6-I6))/LN((E6-H6)/(D6-I6))</f>
        <v>171.07238376999771</v>
      </c>
      <c r="B10" s="23">
        <f>A10*1.8</f>
        <v>307.93029078599591</v>
      </c>
      <c r="C10" s="12">
        <f>(I6-H6)/(D6-H6)</f>
        <v>6.3829787234042548E-2</v>
      </c>
      <c r="D10" s="24">
        <f>(D6-E6)/(I6-H6)</f>
        <v>7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0.99083758726126814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IFERROR(IF(L9=Tabelas!A3,VLOOKUP(M9,Tabelas!C3:H13,3,FALSE),IF(L9=Tabelas!A4,VLOOKUP(M9,Tabelas!C14:H21,3,FALSE),IF(L9=Tabelas!A5,VLOOKUP(M9,Tabelas!C22:H25,3,FALSE),IF(L9=Tabelas!A6,VLOOKUP(M9,Tabelas!C26:H28,3,FALSE),VLOOKUP(M9,Tabelas!C29:H129,3,FALSE))))),0.0025)</f>
        <v>2.5000000000000001E-3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IFERROR(IF(L9=Tabelas!A3,VLOOKUP(M9,Tabelas!C3:H13,5,FALSE),IF(L9=Tabelas!A4,VLOOKUP(M9,Tabelas!C14:H21,5,FALSE),IF(L9=Tabelas!A5,VLOOKUP(M9,Tabelas!C22:H25,5,FALSE),IF(L9=Tabelas!A6,VLOOKUP(M9,Tabelas!C26:H28,5,FALSE),VLOOKUP(M9,Tabelas!C29:H129,5,FALSE))))),300)</f>
        <v>300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IFERROR(IF(L9=Tabelas!A3,VLOOKUP(M9,Tabelas!C3:H13,4,FALSE),IF(L9=Tabelas!A4,VLOOKUP(M9,Tabelas!C14:H21,4,FALSE),IF(L9=Tabelas!A5,VLOOKUP(M9,Tabelas!C22:H25,4,FALSE),IF(L9=Tabelas!A6,VLOOKUP(M9,Tabelas!C26:H28,4,FALSE),VLOOKUP(M9,Tabelas!C29:H129,4,FALSE))))),0.0025)</f>
        <v>2.5000000000000001E-3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IFERROR(IF(L9=Tabelas!A3,VLOOKUP(M9,Tabelas!C3:H13,6,FALSE),IF(L9=Tabelas!A4,VLOOKUP(M9,Tabelas!C14:H21,6,FALSE),IF(L9=Tabelas!A5,VLOOKUP(M9,Tabelas!C22:H25,6,FALSE),IF(L9=Tabelas!A6,VLOOKUP(M9,Tabelas!C26:H28,6,FALSE),VLOOKUP(M9,Tabelas!C29:H129,6,FALSE))))),200)</f>
        <v>200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6</v>
      </c>
      <c r="N11" s="43" t="s">
        <v>113</v>
      </c>
      <c r="O11" s="43"/>
      <c r="P11" s="43"/>
    </row>
    <row r="12" spans="1:19" x14ac:dyDescent="0.3">
      <c r="A12" s="12">
        <f>(1/G10-H10)^-1</f>
        <v>1199.9999999999998</v>
      </c>
      <c r="B12" s="12">
        <f>(1/A12+IF(N9=0,F10,N9))^-1</f>
        <v>47.999999999999993</v>
      </c>
      <c r="C12" s="23">
        <f>A7/(G10*B10*E10)</f>
        <v>1122.5248721122862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ROUNDUP(12*(F7/(3600*M12*M11))/(E12),0)</f>
        <v>29</v>
      </c>
      <c r="H12" s="12">
        <f>ROUNDUP((C12/(F12*G12*Q9)),0)</f>
        <v>5</v>
      </c>
      <c r="I12" s="12">
        <f>G12*H12</f>
        <v>145</v>
      </c>
      <c r="K12" s="18" t="s">
        <v>61</v>
      </c>
      <c r="L12" s="40">
        <v>2.2229999999999999</v>
      </c>
      <c r="M12" s="33">
        <v>62.4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2.2200000000000001E-2</v>
      </c>
      <c r="M13" s="33">
        <v>1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6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148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19.25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18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19.25</v>
      </c>
      <c r="I14" s="12">
        <f>D14/5</f>
        <v>3.85</v>
      </c>
      <c r="K14" s="3" t="s">
        <v>111</v>
      </c>
      <c r="L14" s="33">
        <v>3.1399999999999997E-2</v>
      </c>
      <c r="M14" s="33">
        <v>0.57779999999999998</v>
      </c>
    </row>
    <row r="15" spans="1:19" x14ac:dyDescent="0.3">
      <c r="A15" s="42" t="s">
        <v>99</v>
      </c>
      <c r="B15" s="42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196.04410576052175</v>
      </c>
      <c r="D16" s="30">
        <f>(C16-B12)/(C16*B12)</f>
        <v>1.573244036784141E-2</v>
      </c>
      <c r="E16" s="12" t="str">
        <f>IF(D16&gt;0.002,"Aprovado","Reprovado")</f>
        <v>Aprovado</v>
      </c>
    </row>
    <row r="17" spans="1:5" x14ac:dyDescent="0.3">
      <c r="A17" s="8" t="s">
        <v>103</v>
      </c>
      <c r="B17" s="8" t="s">
        <v>125</v>
      </c>
    </row>
    <row r="18" spans="1:5" x14ac:dyDescent="0.3">
      <c r="A18" s="12">
        <f>IF(S9&lt;&gt;0,S9,2.5)</f>
        <v>9</v>
      </c>
      <c r="B18" s="12">
        <f>(VLOOKUP(R9,Tabelas!G754:H765,2,FALSE)-O9)*1.68</f>
        <v>0.42</v>
      </c>
    </row>
    <row r="19" spans="1:5" x14ac:dyDescent="0.3">
      <c r="A19" s="8" t="s">
        <v>102</v>
      </c>
      <c r="B19" s="8" t="s">
        <v>124</v>
      </c>
      <c r="E19" s="41"/>
    </row>
    <row r="20" spans="1:5" x14ac:dyDescent="0.3">
      <c r="A20" s="12">
        <f>C14*E12/(144*H12)</f>
        <v>0.11223333333333334</v>
      </c>
      <c r="B20" s="12">
        <f>D14*B18*A18/(144*K9)</f>
        <v>0.50531249999999994</v>
      </c>
    </row>
    <row r="21" spans="1:5" x14ac:dyDescent="0.3">
      <c r="A21" s="8" t="s">
        <v>126</v>
      </c>
      <c r="B21" s="8" t="s">
        <v>127</v>
      </c>
    </row>
    <row r="22" spans="1:5" x14ac:dyDescent="0.3">
      <c r="A22" s="12">
        <f>F7/A20</f>
        <v>15659313.929313928</v>
      </c>
      <c r="B22" s="12">
        <f>B7/B20</f>
        <v>704060.04205318505</v>
      </c>
    </row>
    <row r="23" spans="1:5" x14ac:dyDescent="0.3">
      <c r="A23" s="8" t="s">
        <v>106</v>
      </c>
      <c r="B23" s="8" t="s">
        <v>107</v>
      </c>
      <c r="D23" s="1"/>
    </row>
    <row r="24" spans="1:5" x14ac:dyDescent="0.3">
      <c r="A24" s="12">
        <f>D12/12*A22/(2.42*M13)</f>
        <v>449719.96615178429</v>
      </c>
      <c r="B24" s="12">
        <f>G14*B22/(L13*2.42)</f>
        <v>786307.84236451308</v>
      </c>
    </row>
    <row r="25" spans="1:5" x14ac:dyDescent="0.3">
      <c r="A25" s="8" t="s">
        <v>108</v>
      </c>
      <c r="B25" s="8" t="s">
        <v>109</v>
      </c>
    </row>
    <row r="26" spans="1:5" x14ac:dyDescent="0.3">
      <c r="A26" s="12">
        <f>G7*2.42*M13/M14</f>
        <v>4.1883004499826928</v>
      </c>
      <c r="B26" s="12">
        <f>C7*L13*2.42/L14</f>
        <v>0.44142649681528667</v>
      </c>
    </row>
    <row r="27" spans="1:5" x14ac:dyDescent="0.3">
      <c r="A27" s="8" t="s">
        <v>123</v>
      </c>
      <c r="B27" s="8" t="s">
        <v>117</v>
      </c>
    </row>
    <row r="28" spans="1:5" x14ac:dyDescent="0.3">
      <c r="A28" s="12">
        <f>IF(N11="Sim",149.71*(0.9944+0.0111*(I7+H7)/2)*M11^0.8/D12^0.2,EXP(-4.287+0.85*LN(A24))*(M14/D12)*A26^(1/3))</f>
        <v>1366.2179978291185</v>
      </c>
      <c r="B28" s="12">
        <f>EXP(-0.665+0.5195*LN(B24))*(L14/G14)*B26^(1/3)</f>
        <v>236.78402177013595</v>
      </c>
    </row>
    <row r="29" spans="1:5" x14ac:dyDescent="0.3">
      <c r="A29" s="8" t="s">
        <v>116</v>
      </c>
      <c r="B29" s="8" t="s">
        <v>122</v>
      </c>
    </row>
    <row r="30" spans="1:5" x14ac:dyDescent="0.3">
      <c r="A30" s="12">
        <f>A28*D12/O9</f>
        <v>1139.4258101894848</v>
      </c>
      <c r="B30" s="12">
        <f>ROUNDDOWN(12*Q9/A18,0)-1</f>
        <v>44</v>
      </c>
    </row>
    <row r="31" spans="1:5" x14ac:dyDescent="0.3">
      <c r="A31" s="8" t="s">
        <v>119</v>
      </c>
      <c r="B31" s="8" t="s">
        <v>120</v>
      </c>
    </row>
    <row r="32" spans="1:5" x14ac:dyDescent="0.3">
      <c r="A32" s="12">
        <f>0.0029*A24^-0.2562</f>
        <v>1.0330330450638985E-4</v>
      </c>
      <c r="B32" s="12">
        <f>0.01197*B24^-0.188</f>
        <v>9.3265868818301085E-4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12*A32*Q9*H12*A22^2/(5.22*10^11*(12*D12)*M13/0.092)</f>
        <v>0.91780081428324689</v>
      </c>
      <c r="B34" s="12">
        <f>B32*(D14/144)*(B30+1)*B22^2/(522000000000*F14*(L13/M13))</f>
        <v>0.33332425443547553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296" workbookViewId="0">
      <selection activeCell="G3" sqref="G3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6" t="s">
        <v>26</v>
      </c>
      <c r="F2" s="56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6" t="s">
        <v>71</v>
      </c>
      <c r="G83" s="56"/>
      <c r="H83" s="56"/>
      <c r="I83" s="56"/>
      <c r="J83" s="56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2025-06-27T04:11:49Z</dcterms:modified>
</cp:coreProperties>
</file>