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179" documentId="8_{0C5EFBA6-40FB-48D3-B4EF-3FD1F503FC50}" xr6:coauthVersionLast="47" xr6:coauthVersionMax="47" xr10:uidLastSave="{387839A2-B7F7-4513-BB17-4D58BD12D6D0}"/>
  <bookViews>
    <workbookView xWindow="-108" yWindow="-108" windowWidth="23256" windowHeight="12456" xr2:uid="{00000000-000D-0000-FFFF-FFFF00000000}"/>
  </bookViews>
  <sheets>
    <sheet name="Trocador" sheetId="1" r:id="rId1"/>
    <sheet name="Tabel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" l="1"/>
  <c r="C14" i="1"/>
  <c r="F12" i="1"/>
  <c r="E12" i="1"/>
  <c r="G10" i="1"/>
  <c r="F14" i="1" l="1"/>
  <c r="A12" i="1"/>
  <c r="B12" i="1" s="1"/>
  <c r="G14" i="1"/>
  <c r="H10" i="1"/>
  <c r="L6" i="1"/>
  <c r="A6" i="1" s="1"/>
  <c r="A7" i="1" s="1"/>
  <c r="B14" i="1"/>
  <c r="D12" i="1" l="1"/>
  <c r="B6" i="1"/>
  <c r="B7" i="1" s="1"/>
  <c r="B18" i="1"/>
  <c r="A18" i="1" l="1"/>
  <c r="B30" i="1" s="1"/>
  <c r="H765" i="2"/>
  <c r="H764" i="2"/>
  <c r="H763" i="2"/>
  <c r="H762" i="2"/>
  <c r="H761" i="2"/>
  <c r="H760" i="2"/>
  <c r="H759" i="2"/>
  <c r="H758" i="2"/>
  <c r="H757" i="2"/>
  <c r="H754" i="2"/>
  <c r="F10" i="1"/>
  <c r="M10" i="1"/>
  <c r="I10" i="1"/>
  <c r="I6" i="1"/>
  <c r="H6" i="1"/>
  <c r="H7" i="1" s="1"/>
  <c r="G6" i="1"/>
  <c r="G7" i="1" s="1"/>
  <c r="A26" i="1" s="1"/>
  <c r="F6" i="1"/>
  <c r="F7" i="1" s="1"/>
  <c r="G12" i="1" s="1"/>
  <c r="E6" i="1"/>
  <c r="E7" i="1" s="1"/>
  <c r="D6" i="1"/>
  <c r="C6" i="1"/>
  <c r="C7" i="1" s="1"/>
  <c r="B26" i="1" s="1"/>
  <c r="A10" i="1" l="1"/>
  <c r="B10" i="1" s="1"/>
  <c r="D7" i="1"/>
  <c r="D10" i="1"/>
  <c r="I7" i="1"/>
  <c r="C10" i="1"/>
  <c r="E10" i="1" l="1"/>
  <c r="C12" i="1" s="1"/>
  <c r="H12" i="1" l="1"/>
  <c r="A14" i="1" s="1"/>
  <c r="I12" i="1" l="1"/>
  <c r="A20" i="1" s="1"/>
  <c r="I14" i="1" l="1"/>
  <c r="A22" i="1"/>
  <c r="A24" i="1" s="1"/>
  <c r="B20" i="1" l="1"/>
  <c r="B22" i="1" s="1"/>
  <c r="B24" i="1" s="1"/>
  <c r="B28" i="1" s="1"/>
  <c r="E14" i="1"/>
  <c r="A28" i="1"/>
  <c r="A30" i="1" s="1"/>
  <c r="H14" i="1"/>
  <c r="C16" i="1" l="1"/>
  <c r="D16" i="1" s="1"/>
  <c r="E16" i="1" s="1"/>
  <c r="A32" i="1"/>
  <c r="A34" i="1" s="1"/>
  <c r="B32" i="1"/>
  <c r="B34" i="1" s="1"/>
  <c r="A36" i="1" l="1"/>
  <c r="B36" i="1"/>
</calcChain>
</file>

<file path=xl/sharedStrings.xml><?xml version="1.0" encoding="utf-8"?>
<sst xmlns="http://schemas.openxmlformats.org/spreadsheetml/2006/main" count="1774" uniqueCount="132">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</sst>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11" fontId="0" fillId="0" borderId="12" xfId="0" applyNumberFormat="1" applyBorder="1"/>
    <xf numFmtId="0" fontId="0" fillId="0" borderId="2" xfId="0" quotePrefix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36"/>
  <sheetViews>
    <sheetView tabSelected="1" workbookViewId="0">
      <selection activeCell="A12" sqref="A12"/>
    </sheetView>
  </sheetViews>
  <sheetFormatPr defaultRowHeight="14.4" x14ac:dyDescent="0.3"/>
  <cols>
    <col min="1" max="1" width="17.44140625" bestFit="1" customWidth="1"/>
    <col min="2" max="2" width="17" bestFit="1" customWidth="1"/>
    <col min="3" max="3" width="15.6640625" customWidth="1"/>
    <col min="4" max="4" width="12.21875" customWidth="1"/>
    <col min="5" max="5" width="15.5546875" bestFit="1" customWidth="1"/>
    <col min="6" max="6" width="15.33203125" bestFit="1" customWidth="1"/>
    <col min="7" max="7" width="17" bestFit="1" customWidth="1"/>
    <col min="8" max="8" width="15.33203125" bestFit="1" customWidth="1"/>
    <col min="9" max="9" width="17" bestFit="1" customWidth="1"/>
    <col min="11" max="11" width="14.44140625" customWidth="1"/>
    <col min="12" max="12" width="17.5546875" customWidth="1"/>
    <col min="13" max="13" width="20.44140625" customWidth="1"/>
    <col min="14" max="14" width="12.33203125" customWidth="1"/>
    <col min="16" max="16" width="20.109375" customWidth="1"/>
    <col min="17" max="17" width="20.44140625" customWidth="1"/>
    <col min="18" max="18" width="9.44140625" customWidth="1"/>
  </cols>
  <sheetData>
    <row r="2" spans="1:19" s="1" customFormat="1" ht="15" thickBot="1" x14ac:dyDescent="0.35"/>
    <row r="3" spans="1:19" ht="15" thickBot="1" x14ac:dyDescent="0.35">
      <c r="A3" s="4"/>
      <c r="B3" s="40" t="s">
        <v>3</v>
      </c>
      <c r="C3" s="40"/>
      <c r="D3" s="40"/>
      <c r="E3" s="40"/>
      <c r="F3" s="40"/>
      <c r="G3" s="40"/>
      <c r="H3" s="40"/>
      <c r="I3" s="40"/>
      <c r="L3" s="43" t="s">
        <v>4</v>
      </c>
      <c r="M3" s="44"/>
      <c r="N3" s="44"/>
      <c r="O3" s="44"/>
      <c r="P3" s="44"/>
      <c r="Q3" s="44"/>
      <c r="R3" s="44"/>
      <c r="S3" s="45"/>
    </row>
    <row r="4" spans="1:19" x14ac:dyDescent="0.3">
      <c r="A4" s="42" t="s">
        <v>6</v>
      </c>
      <c r="B4" s="48" t="s">
        <v>0</v>
      </c>
      <c r="C4" s="48"/>
      <c r="D4" s="48"/>
      <c r="E4" s="48"/>
      <c r="F4" s="49" t="s">
        <v>1</v>
      </c>
      <c r="G4" s="49"/>
      <c r="H4" s="49"/>
      <c r="I4" s="49"/>
      <c r="K4" s="52" t="s">
        <v>6</v>
      </c>
      <c r="L4" s="50" t="s">
        <v>0</v>
      </c>
      <c r="M4" s="48"/>
      <c r="N4" s="48"/>
      <c r="O4" s="48"/>
      <c r="P4" s="49" t="s">
        <v>1</v>
      </c>
      <c r="Q4" s="49"/>
      <c r="R4" s="49"/>
      <c r="S4" s="51"/>
    </row>
    <row r="5" spans="1:19" ht="15" thickBot="1" x14ac:dyDescent="0.35">
      <c r="A5" s="42"/>
      <c r="B5" s="9" t="s">
        <v>2</v>
      </c>
      <c r="C5" s="9" t="s">
        <v>5</v>
      </c>
      <c r="D5" s="9" t="s">
        <v>35</v>
      </c>
      <c r="E5" s="9" t="s">
        <v>36</v>
      </c>
      <c r="F5" s="10" t="s">
        <v>2</v>
      </c>
      <c r="G5" s="10" t="s">
        <v>5</v>
      </c>
      <c r="H5" s="10" t="s">
        <v>37</v>
      </c>
      <c r="I5" s="10" t="s">
        <v>38</v>
      </c>
      <c r="K5" s="53"/>
      <c r="L5" s="19" t="s">
        <v>2</v>
      </c>
      <c r="M5" s="20" t="s">
        <v>5</v>
      </c>
      <c r="N5" s="20" t="s">
        <v>35</v>
      </c>
      <c r="O5" s="20" t="s">
        <v>36</v>
      </c>
      <c r="P5" s="21" t="s">
        <v>2</v>
      </c>
      <c r="Q5" s="21" t="s">
        <v>5</v>
      </c>
      <c r="R5" s="21" t="s">
        <v>37</v>
      </c>
      <c r="S5" s="22" t="s">
        <v>38</v>
      </c>
    </row>
    <row r="6" spans="1:19" s="1" customFormat="1" ht="15" thickBot="1" x14ac:dyDescent="0.35">
      <c r="A6" s="11">
        <f>IF(K6&lt;&gt;0,K6,IF(L6*M6*(N6-O6)&lt;&gt;0,L6*M6*(N6-O6),P6*Q6*(S6-R6)))</f>
        <v>1935.8450695977147</v>
      </c>
      <c r="B6" s="11">
        <f>IFERROR(IF(L6&lt;&gt;0,L6,IF(K6&lt;&gt;0,K6,P6*Q6*(S6-R6)/(M6*(N6-O6)))),0)</f>
        <v>6.1590647463572985</v>
      </c>
      <c r="C6" s="12">
        <f>IFERROR(IF(M6&lt;&gt;0,M6,IF(K6&lt;&gt;0,K6,P6*Q6*(S6-R6)/(L6*(N6-O6)))),0)</f>
        <v>1</v>
      </c>
      <c r="D6" s="12">
        <f>IFERROR(IF(N6&lt;&gt;0,N6,IF(K6&lt;&gt;0,K6,O6+P6*Q6*(S6-R6)/(L6*M6))),0)</f>
        <v>254</v>
      </c>
      <c r="E6" s="12">
        <f>IFERROR(IF(O6&lt;&gt;0,O6,IF(K6&lt;&gt;0,K6,N6-P6*Q6*(S6-R6)/(L6*M6))),0)</f>
        <v>100</v>
      </c>
      <c r="F6" s="11">
        <f>IFERROR(IF(P6&lt;&gt;0,P6,IF(K6&lt;&gt;0,K6,L6*M6*(O6-N6)/(Q6*(R6-S6)))),0)</f>
        <v>894.04983858122546</v>
      </c>
      <c r="G6" s="12">
        <f>IFERROR(IF(Q6&lt;&gt;0,Q6,IF(K6&lt;&gt;0,K6,L6*M6*(O6-N6)/(P6*(R6-S6)))),0)</f>
        <v>0.25</v>
      </c>
      <c r="H6" s="12">
        <f>IFERROR(IF(R6&lt;&gt;0,R6,IF(K6&lt;&gt;0,K6,S6+L6*M6*(O6-N6)/(P6*Q6))),0)</f>
        <v>241</v>
      </c>
      <c r="I6" s="12">
        <f>IFERROR(IF(S6&lt;&gt;0,S6,IF(K6&lt;&gt;0,K6,R6-L6*M6*(O6-N6)/(P6*Q6))),0)</f>
        <v>251</v>
      </c>
      <c r="K6" s="13">
        <v>1935.8450695977147</v>
      </c>
      <c r="L6" s="39">
        <f>P6*Q6*(S6-R6)/362.9</f>
        <v>6.1590647463572985</v>
      </c>
      <c r="M6" s="14">
        <v>1</v>
      </c>
      <c r="N6" s="14">
        <v>254</v>
      </c>
      <c r="O6" s="14">
        <v>100</v>
      </c>
      <c r="P6" s="14">
        <v>894.04983858122546</v>
      </c>
      <c r="Q6" s="14">
        <v>0.25</v>
      </c>
      <c r="R6" s="14">
        <v>241</v>
      </c>
      <c r="S6" s="15">
        <v>251</v>
      </c>
    </row>
    <row r="7" spans="1:19" s="1" customFormat="1" x14ac:dyDescent="0.3">
      <c r="A7" s="11">
        <f>A6*4.184*1000/1055.05585261999</f>
        <v>7676.9165832153758</v>
      </c>
      <c r="B7" s="11">
        <f>2.20462262184877*B6</f>
        <v>13.578413469250556</v>
      </c>
      <c r="C7" s="12">
        <f>C6</f>
        <v>1</v>
      </c>
      <c r="D7" s="12">
        <f>D6*1.8+32</f>
        <v>489.2</v>
      </c>
      <c r="E7" s="12">
        <f>E6*1.8+32</f>
        <v>212</v>
      </c>
      <c r="F7" s="11">
        <f>2.20462262184877*F6</f>
        <v>1971.0424991964107</v>
      </c>
      <c r="G7" s="12">
        <f>G6</f>
        <v>0.25</v>
      </c>
      <c r="H7" s="12">
        <f>H6*1.8+32</f>
        <v>465.8</v>
      </c>
      <c r="I7" s="12">
        <f>I6*1.8+32</f>
        <v>483.8</v>
      </c>
      <c r="J7" s="3" t="s">
        <v>43</v>
      </c>
      <c r="K7" s="42" t="s">
        <v>11</v>
      </c>
      <c r="L7" s="40" t="s">
        <v>33</v>
      </c>
      <c r="M7" s="40"/>
      <c r="N7" s="42" t="s">
        <v>47</v>
      </c>
      <c r="O7" s="46" t="s">
        <v>56</v>
      </c>
      <c r="P7" s="2"/>
      <c r="Q7" s="2"/>
      <c r="R7" s="44" t="s">
        <v>80</v>
      </c>
      <c r="S7" s="2"/>
    </row>
    <row r="8" spans="1:19" x14ac:dyDescent="0.3">
      <c r="F8" s="40" t="s">
        <v>44</v>
      </c>
      <c r="G8" s="40"/>
      <c r="H8" s="40"/>
      <c r="I8" s="40"/>
      <c r="K8" s="42"/>
      <c r="L8" s="3" t="s">
        <v>13</v>
      </c>
      <c r="M8" s="3" t="s">
        <v>14</v>
      </c>
      <c r="N8" s="42"/>
      <c r="O8" s="47"/>
      <c r="P8" s="3" t="s">
        <v>52</v>
      </c>
      <c r="Q8" s="3" t="s">
        <v>63</v>
      </c>
      <c r="R8" s="40"/>
      <c r="S8" s="3" t="s">
        <v>103</v>
      </c>
    </row>
    <row r="9" spans="1:19" ht="15" thickBot="1" x14ac:dyDescent="0.35">
      <c r="A9" s="3" t="s">
        <v>39</v>
      </c>
      <c r="B9" s="3" t="s">
        <v>7</v>
      </c>
      <c r="C9" s="3" t="s">
        <v>9</v>
      </c>
      <c r="D9" s="3" t="s">
        <v>8</v>
      </c>
      <c r="E9" s="3" t="s">
        <v>10</v>
      </c>
      <c r="F9" s="3" t="s">
        <v>65</v>
      </c>
      <c r="G9" s="3" t="s">
        <v>27</v>
      </c>
      <c r="H9" s="3" t="s">
        <v>40</v>
      </c>
      <c r="I9" s="3" t="s">
        <v>41</v>
      </c>
      <c r="K9" s="1">
        <v>1</v>
      </c>
      <c r="L9" t="s">
        <v>31</v>
      </c>
      <c r="M9" t="s">
        <v>20</v>
      </c>
      <c r="N9" s="1">
        <v>2.5000000000000001E-3</v>
      </c>
      <c r="O9" s="1">
        <v>1</v>
      </c>
      <c r="P9" s="1">
        <v>14</v>
      </c>
      <c r="Q9" s="1">
        <v>36.36</v>
      </c>
      <c r="R9" t="s">
        <v>76</v>
      </c>
      <c r="S9" s="1">
        <v>5</v>
      </c>
    </row>
    <row r="10" spans="1:19" ht="15" thickBot="1" x14ac:dyDescent="0.35">
      <c r="A10" s="23">
        <f>((D6-H6)-(D6-I6))/LN((D6-H6)/(D6-I6))</f>
        <v>6.8197143841071162</v>
      </c>
      <c r="B10" s="23">
        <f>A10*1.8</f>
        <v>12.27548589139281</v>
      </c>
      <c r="C10" s="12">
        <f>(I6-H6)/(D6-H6)</f>
        <v>0.76923076923076927</v>
      </c>
      <c r="D10" s="24">
        <f>(D6-E6)/(I6-H6)</f>
        <v>15.4</v>
      </c>
      <c r="E10" s="25">
        <f>IFERROR(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,1)</f>
        <v>1</v>
      </c>
      <c r="F10" s="12">
        <f>IFERROR(IF(L9=Tabelas!A3,VLOOKUP(M9,Tabelas!C3:H13,3,FALSE),IF(L9=Tabelas!A4,VLOOKUP(M9,Tabelas!C14:H21,3,FALSE),IF(L9=Tabelas!A5,VLOOKUP(M9,Tabelas!C22:H25,3,FALSE),IF(L9=Tabelas!A6,VLOOKUP(M9,Tabelas!C26:H28,3,FALSE),VLOOKUP(M9,Tabelas!C29:H129,3,FALSE))))),0)</f>
        <v>1E-3</v>
      </c>
      <c r="G10" s="12">
        <f>IFERROR(IF(L9=Tabelas!A3,VLOOKUP(M9,Tabelas!C3:H13,5,FALSE),IF(L9=Tabelas!A4,VLOOKUP(M9,Tabelas!C14:H21,5,FALSE),IF(L9=Tabelas!A5,VLOOKUP(M9,Tabelas!C22:H25,5,FALSE),IF(L9=Tabelas!A6,VLOOKUP(M9,Tabelas!C26:H28,5,FALSE),VLOOKUP(M9,Tabelas!C29:H129,5,FALSE))))),0)</f>
        <v>135</v>
      </c>
      <c r="H10" s="12">
        <f>IFERROR(IF(L9=Tabelas!A3,VLOOKUP(M9,Tabelas!C3:H13,4,FALSE),IF(L9=Tabelas!A4,VLOOKUP(M9,Tabelas!C14:H21,4,FALSE),IF(L9=Tabelas!A5,VLOOKUP(M9,Tabelas!C22:H25,4,FALSE),IF(L9=Tabelas!A6,VLOOKUP(M9,Tabelas!C26:H28,4,FALSE),VLOOKUP(M9,Tabelas!C29:H129,4,FALSE))))),0)</f>
        <v>1E-3</v>
      </c>
      <c r="I10" s="12">
        <f>IFERROR(IF(L9=Tabelas!A3,VLOOKUP(M9,Tabelas!C3:H13,6,FALSE),IF(L9=Tabelas!A4,VLOOKUP(M9,Tabelas!C14:H21,6,FALSE),IF(L9=Tabelas!A5,VLOOKUP(M9,Tabelas!C22:H25,6,FALSE),IF(L9=Tabelas!A6,VLOOKUP(M9,Tabelas!C26:H28,6,FALSE),VLOOKUP(M9,Tabelas!C29:H129,6,FALSE))))),0)</f>
        <v>135</v>
      </c>
      <c r="K10" s="16" t="s">
        <v>46</v>
      </c>
      <c r="L10" s="34" t="s">
        <v>49</v>
      </c>
      <c r="M10" s="35" t="str">
        <f>IF(L10="Casco","Tubos","Casco")</f>
        <v>Tubos</v>
      </c>
      <c r="N10" s="8" t="s">
        <v>112</v>
      </c>
      <c r="O10" s="8"/>
      <c r="P10" s="8"/>
    </row>
    <row r="11" spans="1:19" x14ac:dyDescent="0.3">
      <c r="A11" s="3" t="s">
        <v>42</v>
      </c>
      <c r="B11" s="3" t="s">
        <v>27</v>
      </c>
      <c r="C11" s="3" t="s">
        <v>45</v>
      </c>
      <c r="D11" s="3" t="s">
        <v>57</v>
      </c>
      <c r="E11" s="3" t="s">
        <v>58</v>
      </c>
      <c r="F11" s="3" t="s">
        <v>59</v>
      </c>
      <c r="G11" s="3" t="s">
        <v>62</v>
      </c>
      <c r="H11" s="3" t="s">
        <v>64</v>
      </c>
      <c r="I11" s="3" t="s">
        <v>50</v>
      </c>
      <c r="K11" s="3" t="s">
        <v>60</v>
      </c>
      <c r="L11" s="36"/>
      <c r="M11" s="37">
        <v>15</v>
      </c>
      <c r="N11" s="41" t="s">
        <v>114</v>
      </c>
      <c r="O11" s="41"/>
      <c r="P11" s="41"/>
    </row>
    <row r="12" spans="1:19" x14ac:dyDescent="0.3">
      <c r="A12" s="12">
        <f>(1/G10-H10)^-1</f>
        <v>156.06936416184971</v>
      </c>
      <c r="B12" s="12">
        <f>(1/A12+IF(N9=0,F10,N9))^-1</f>
        <v>112.26611226611227</v>
      </c>
      <c r="C12" s="23">
        <f>A7/(B12*B10*E10)</f>
        <v>5.5705675721828927</v>
      </c>
      <c r="D12" s="23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0.83399999999999996</v>
      </c>
      <c r="E12" s="12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</f>
        <v>0.54600000000000004</v>
      </c>
      <c r="F12" s="12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</f>
        <v>0.26179999999999998</v>
      </c>
      <c r="G12" s="12">
        <f>ROUNDUP((F7/(3600*M12*M11))/(E12/12),0)</f>
        <v>5</v>
      </c>
      <c r="H12" s="12">
        <f>ROUNDUP((C12/(F12*G12))/Q9,0)</f>
        <v>1</v>
      </c>
      <c r="I12" s="12">
        <f>G12*H12</f>
        <v>5</v>
      </c>
      <c r="K12" s="18" t="s">
        <v>61</v>
      </c>
      <c r="L12" s="38">
        <v>86.98</v>
      </c>
      <c r="M12" s="33">
        <v>0.19789999999999999</v>
      </c>
    </row>
    <row r="13" spans="1:19" x14ac:dyDescent="0.3">
      <c r="A13" s="3" t="s">
        <v>82</v>
      </c>
      <c r="B13" s="3" t="s">
        <v>50</v>
      </c>
      <c r="C13" s="3" t="s">
        <v>84</v>
      </c>
      <c r="D13" s="3" t="s">
        <v>85</v>
      </c>
      <c r="E13" s="3" t="s">
        <v>86</v>
      </c>
      <c r="F13" s="8" t="s">
        <v>88</v>
      </c>
      <c r="G13" s="3" t="s">
        <v>98</v>
      </c>
      <c r="H13" s="3" t="s">
        <v>104</v>
      </c>
      <c r="I13" s="3" t="s">
        <v>105</v>
      </c>
      <c r="K13" s="3" t="s">
        <v>110</v>
      </c>
      <c r="L13" s="33">
        <v>0.02</v>
      </c>
      <c r="M13" s="33">
        <v>0.09</v>
      </c>
    </row>
    <row r="14" spans="1:19" x14ac:dyDescent="0.3">
      <c r="A14" s="12">
        <f>IF(VLOOKUP(H12,Tabelas!K2:K6,1,TRUE)&lt;H12,IF(VLOOKUP(H12,Tabelas!K2:K6,1,TRUE)=1,VLOOKUP(H12,Tabelas!K2:K6,1,TRUE)+1,IF(VLOOKUP(H12,Tabelas!K2:K6,1,TRUE)&lt;8,VLOOKUP(H12,Tabelas!K2:K6,1,TRUE)+2,8)),H12)</f>
        <v>1</v>
      </c>
      <c r="B14" s="12">
        <f>IF(O9&gt;=1,1,"3/4")</f>
        <v>1</v>
      </c>
      <c r="C14" s="12">
        <f>IFERROR(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,8.5)</f>
        <v>8.5</v>
      </c>
      <c r="D14" s="29">
        <f>IFERROR(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,8.2)</f>
        <v>8.1999999999999993</v>
      </c>
      <c r="E14" s="12">
        <f>IFERROR(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,0.939814815*D14)</f>
        <v>7.7064814829999992</v>
      </c>
      <c r="F14" s="12">
        <f>VLOOKUP(R9,IF(O9=Tabelas!B753,Tabelas!C753:E754,IF(O9=Tabelas!B755,Tabelas!C755:E758,IF(O9=Tabelas!B759,Tabelas!C759:E760,IF(O9=Tabelas!B761,Tabelas!C761:E762,Tabelas!C763:E764)))),3,TRUE)</f>
        <v>0.72</v>
      </c>
      <c r="G14" s="31">
        <f>F14/12</f>
        <v>0.06</v>
      </c>
      <c r="H14" s="29">
        <f>D14</f>
        <v>8.1999999999999993</v>
      </c>
      <c r="I14" s="12">
        <f>D14/5</f>
        <v>1.64</v>
      </c>
      <c r="K14" s="3" t="s">
        <v>111</v>
      </c>
      <c r="L14" s="33">
        <v>0.33</v>
      </c>
      <c r="M14" s="33">
        <v>2.8889999999999999E-2</v>
      </c>
    </row>
    <row r="15" spans="1:19" x14ac:dyDescent="0.3">
      <c r="A15" s="40" t="s">
        <v>99</v>
      </c>
      <c r="B15" s="40"/>
      <c r="C15" s="8" t="s">
        <v>42</v>
      </c>
      <c r="D15" s="3" t="s">
        <v>118</v>
      </c>
      <c r="E15" s="3" t="s">
        <v>121</v>
      </c>
    </row>
    <row r="16" spans="1:19" x14ac:dyDescent="0.3">
      <c r="A16" s="8" t="s">
        <v>101</v>
      </c>
      <c r="B16" s="8" t="s">
        <v>100</v>
      </c>
      <c r="C16" s="12">
        <f>A30*B28/(A30+B28)</f>
        <v>0.26045665482195685</v>
      </c>
      <c r="D16" s="30">
        <f>(C16-B12)/(C16*B12)</f>
        <v>-3.8305030337793644</v>
      </c>
      <c r="E16" s="12" t="str">
        <f>IF(D16&gt;0.002,"Aprovado","Reprovado")</f>
        <v>Reprovado</v>
      </c>
    </row>
    <row r="17" spans="1:4" x14ac:dyDescent="0.3">
      <c r="A17" s="8" t="s">
        <v>103</v>
      </c>
      <c r="B17" s="8" t="s">
        <v>125</v>
      </c>
    </row>
    <row r="18" spans="1:4" x14ac:dyDescent="0.3">
      <c r="A18" s="12">
        <f>IF(S9&lt;&gt;0,S9,2.5)</f>
        <v>5</v>
      </c>
      <c r="B18" s="12">
        <f>VLOOKUP(R9,Tabelas!G754:H765,2,FALSE)-O9</f>
        <v>0.25</v>
      </c>
    </row>
    <row r="19" spans="1:4" x14ac:dyDescent="0.3">
      <c r="A19" s="8" t="s">
        <v>102</v>
      </c>
      <c r="B19" s="8" t="s">
        <v>124</v>
      </c>
    </row>
    <row r="20" spans="1:4" x14ac:dyDescent="0.3">
      <c r="A20" s="12">
        <f>C14*E12/(12*H12)</f>
        <v>0.38674999999999998</v>
      </c>
      <c r="B20" s="12">
        <f>D14*B18*A18/(144*K9)</f>
        <v>7.1180555555555552E-2</v>
      </c>
    </row>
    <row r="21" spans="1:4" x14ac:dyDescent="0.3">
      <c r="A21" s="8" t="s">
        <v>126</v>
      </c>
      <c r="B21" s="8" t="s">
        <v>127</v>
      </c>
    </row>
    <row r="22" spans="1:4" x14ac:dyDescent="0.3">
      <c r="A22" s="12">
        <f>F7/A20</f>
        <v>5096.425337288716</v>
      </c>
      <c r="B22" s="12">
        <f>B7/B20</f>
        <v>190.76015020215416</v>
      </c>
    </row>
    <row r="23" spans="1:4" x14ac:dyDescent="0.3">
      <c r="A23" s="8" t="s">
        <v>106</v>
      </c>
      <c r="B23" s="8" t="s">
        <v>107</v>
      </c>
      <c r="D23" s="1"/>
    </row>
    <row r="24" spans="1:4" x14ac:dyDescent="0.3">
      <c r="A24" s="12">
        <f>D12/12*A22/(2.42*M13)</f>
        <v>1626.2697931201365</v>
      </c>
      <c r="B24" s="12">
        <f>G14*B22/(L13*2.42)</f>
        <v>236.47952504399277</v>
      </c>
    </row>
    <row r="25" spans="1:4" x14ac:dyDescent="0.3">
      <c r="A25" s="8" t="s">
        <v>108</v>
      </c>
      <c r="B25" s="8" t="s">
        <v>109</v>
      </c>
    </row>
    <row r="26" spans="1:4" x14ac:dyDescent="0.3">
      <c r="A26" s="12">
        <f>G7*2.42*M13/M14</f>
        <v>1.8847352024922119</v>
      </c>
      <c r="B26" s="12">
        <f>C7*L13*2.42/L14</f>
        <v>0.14666666666666667</v>
      </c>
    </row>
    <row r="27" spans="1:4" x14ac:dyDescent="0.3">
      <c r="A27" s="8" t="s">
        <v>123</v>
      </c>
      <c r="B27" s="8" t="s">
        <v>117</v>
      </c>
    </row>
    <row r="28" spans="1:4" x14ac:dyDescent="0.3">
      <c r="A28" s="12">
        <f>IF(N11="Sim",149.71*(0.9944+0.0111*(I7+H7)/2)*M11^0.8/D12^0.2,EXP(-4.287+0.85*LN(A24))*(M14/D12)*A26^(1/3))</f>
        <v>0.31551852820055809</v>
      </c>
      <c r="B28" s="12">
        <f>EXP(-0.665+0.5195*LN(B24))*(L14/G14)*B26^(1/3)</f>
        <v>25.518378764526382</v>
      </c>
    </row>
    <row r="29" spans="1:4" x14ac:dyDescent="0.3">
      <c r="A29" s="8" t="s">
        <v>116</v>
      </c>
      <c r="B29" s="8" t="s">
        <v>122</v>
      </c>
    </row>
    <row r="30" spans="1:4" x14ac:dyDescent="0.3">
      <c r="A30" s="12">
        <f>A28*D12/O9</f>
        <v>0.26314245251926544</v>
      </c>
      <c r="B30" s="12">
        <f>ROUNDDOWN(12*Q9/A18,0)-1</f>
        <v>86</v>
      </c>
    </row>
    <row r="31" spans="1:4" x14ac:dyDescent="0.3">
      <c r="A31" s="8" t="s">
        <v>119</v>
      </c>
      <c r="B31" s="8" t="s">
        <v>120</v>
      </c>
    </row>
    <row r="32" spans="1:4" x14ac:dyDescent="0.3">
      <c r="A32" s="12">
        <f>0.0029*A24^-0.2562</f>
        <v>4.3620481478876547E-4</v>
      </c>
      <c r="B32" s="12">
        <f>0.01197*B24^-0.188</f>
        <v>4.2837188960249666E-3</v>
      </c>
    </row>
    <row r="33" spans="1:2" x14ac:dyDescent="0.3">
      <c r="A33" s="8" t="s">
        <v>128</v>
      </c>
      <c r="B33" s="8" t="s">
        <v>129</v>
      </c>
    </row>
    <row r="34" spans="1:2" x14ac:dyDescent="0.3">
      <c r="A34" s="12">
        <f>12*A32*Q9*H12*A22^2/(5.22*10^10*D12*M13/0.092)</f>
        <v>1.1607419279814747E-4</v>
      </c>
      <c r="B34" s="12">
        <f>B32*D14*(B30+1)*B22^2/(52200000000*F14*(L13/M13))</f>
        <v>1.331493022223551E-5</v>
      </c>
    </row>
    <row r="35" spans="1:2" x14ac:dyDescent="0.3">
      <c r="A35" s="32" t="s">
        <v>130</v>
      </c>
      <c r="B35" s="32" t="s">
        <v>131</v>
      </c>
    </row>
    <row r="36" spans="1:2" x14ac:dyDescent="0.3">
      <c r="A36" s="30" t="str">
        <f>IF(A34&lt;10,"Aprovado","Reprovado")</f>
        <v>Aprovado</v>
      </c>
      <c r="B36" s="30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Tabelas!$A$3:$A$7</xm:f>
          </x14:formula1>
          <xm:sqref>L9</xm:sqref>
        </x14:dataValidation>
        <x14:dataValidation type="list" allowBlank="1" showInputMessage="1" showErrorMessage="1" xr:uid="{00000000-0002-0000-0000-000001000000}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 xr:uid="{00000000-0002-0000-0000-000002000000}">
          <x14:formula1>
            <xm:f>Tabelas!$J$2:$J$3</xm:f>
          </x14:formula1>
          <xm:sqref>L10</xm:sqref>
        </x14:dataValidation>
        <x14:dataValidation type="list" allowBlank="1" showInputMessage="1" showErrorMessage="1" xr:uid="{00000000-0002-0000-0000-000003000000}">
          <x14:formula1>
            <xm:f>Tabelas!$A$34:$A$38</xm:f>
          </x14:formula1>
          <xm:sqref>O9</xm:sqref>
        </x14:dataValidation>
        <x14:dataValidation type="list" allowBlank="1" showInputMessage="1" showErrorMessage="1" xr:uid="{00000000-0002-0000-0000-000004000000}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 xr:uid="{00000000-0002-0000-0000-000005000000}">
          <x14:formula1>
            <xm:f>Tabelas!$E$85:$E$89</xm:f>
          </x14:formula1>
          <xm:sqref>R9</xm:sqref>
        </x14:dataValidation>
        <x14:dataValidation type="list" allowBlank="1" showInputMessage="1" showErrorMessage="1" xr:uid="{00000000-0002-0000-0000-000006000000}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765"/>
  <sheetViews>
    <sheetView topLeftCell="A82" workbookViewId="0">
      <selection activeCell="F85" sqref="F85"/>
    </sheetView>
  </sheetViews>
  <sheetFormatPr defaultRowHeight="14.4" x14ac:dyDescent="0.3"/>
  <cols>
    <col min="2" max="2" width="12" customWidth="1"/>
    <col min="3" max="3" width="14.109375" bestFit="1" customWidth="1"/>
    <col min="4" max="4" width="13.44140625" bestFit="1" customWidth="1"/>
    <col min="5" max="5" width="14.44140625" bestFit="1" customWidth="1"/>
    <col min="6" max="8" width="13.109375" bestFit="1" customWidth="1"/>
    <col min="9" max="9" width="10.6640625" customWidth="1"/>
    <col min="10" max="10" width="14.5546875" customWidth="1"/>
  </cols>
  <sheetData>
    <row r="1" spans="1:12" x14ac:dyDescent="0.3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3">
      <c r="A2" t="s">
        <v>34</v>
      </c>
      <c r="B2" t="s">
        <v>13</v>
      </c>
      <c r="C2" t="s">
        <v>14</v>
      </c>
      <c r="D2" t="s">
        <v>17</v>
      </c>
      <c r="E2" s="54" t="s">
        <v>26</v>
      </c>
      <c r="F2" s="54"/>
      <c r="G2" t="s">
        <v>27</v>
      </c>
      <c r="J2" t="s">
        <v>49</v>
      </c>
      <c r="K2">
        <v>1</v>
      </c>
      <c r="L2" t="s">
        <v>113</v>
      </c>
    </row>
    <row r="3" spans="1:12" x14ac:dyDescent="0.3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3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3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3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3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3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3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3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3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3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3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3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3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3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3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3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3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3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3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3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3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3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3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3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3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3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3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3">
      <c r="B31" t="s">
        <v>32</v>
      </c>
    </row>
    <row r="33" spans="1:6" ht="46.5" customHeight="1" x14ac:dyDescent="0.3">
      <c r="A33" t="s">
        <v>34</v>
      </c>
      <c r="B33" s="1" t="s">
        <v>51</v>
      </c>
      <c r="C33" s="1" t="s">
        <v>52</v>
      </c>
      <c r="D33" s="1" t="s">
        <v>53</v>
      </c>
      <c r="E33" s="17" t="s">
        <v>54</v>
      </c>
      <c r="F33" s="17" t="s">
        <v>55</v>
      </c>
    </row>
    <row r="34" spans="1:6" x14ac:dyDescent="0.3">
      <c r="A34" s="7">
        <v>0.5</v>
      </c>
      <c r="B34">
        <v>0.5</v>
      </c>
      <c r="C34">
        <v>12</v>
      </c>
      <c r="D34" s="6">
        <v>0.28199999999999997</v>
      </c>
      <c r="E34">
        <v>6.25E-2</v>
      </c>
      <c r="F34">
        <v>0.13089999999999999</v>
      </c>
    </row>
    <row r="35" spans="1:6" x14ac:dyDescent="0.3">
      <c r="A35" s="7">
        <v>0.75</v>
      </c>
      <c r="C35">
        <v>14</v>
      </c>
      <c r="D35" s="6">
        <v>0.33400000000000002</v>
      </c>
      <c r="E35">
        <v>8.7599999999999997E-2</v>
      </c>
      <c r="F35">
        <v>0.13089999999999999</v>
      </c>
    </row>
    <row r="36" spans="1:6" x14ac:dyDescent="0.3">
      <c r="A36" s="7">
        <v>1</v>
      </c>
      <c r="C36">
        <v>16</v>
      </c>
      <c r="D36" s="6">
        <v>0.37</v>
      </c>
      <c r="E36">
        <v>0.1076</v>
      </c>
      <c r="F36">
        <v>0.13089999999999999</v>
      </c>
    </row>
    <row r="37" spans="1:6" x14ac:dyDescent="0.3">
      <c r="A37" s="7">
        <v>1.25</v>
      </c>
      <c r="C37">
        <v>18</v>
      </c>
      <c r="D37" s="6">
        <v>0.40200000000000002</v>
      </c>
      <c r="E37" s="5">
        <v>0.127</v>
      </c>
      <c r="F37">
        <v>0.13089999999999999</v>
      </c>
    </row>
    <row r="38" spans="1:6" x14ac:dyDescent="0.3">
      <c r="A38" s="7">
        <v>1.5</v>
      </c>
      <c r="C38">
        <v>20</v>
      </c>
      <c r="D38" s="6">
        <v>0.43</v>
      </c>
      <c r="E38" s="5">
        <v>0.14499999999999999</v>
      </c>
      <c r="F38">
        <v>0.13089999999999999</v>
      </c>
    </row>
    <row r="39" spans="1:6" x14ac:dyDescent="0.3">
      <c r="B39">
        <v>0.75</v>
      </c>
      <c r="C39">
        <v>10</v>
      </c>
      <c r="D39" s="6">
        <v>0.48199999999999998</v>
      </c>
      <c r="E39">
        <v>0.182</v>
      </c>
      <c r="F39">
        <v>0.1963</v>
      </c>
    </row>
    <row r="40" spans="1:6" x14ac:dyDescent="0.3">
      <c r="C40">
        <v>11</v>
      </c>
      <c r="D40" s="6">
        <v>0.51</v>
      </c>
      <c r="E40">
        <v>0.20399999999999999</v>
      </c>
      <c r="F40">
        <v>0.1963</v>
      </c>
    </row>
    <row r="41" spans="1:6" x14ac:dyDescent="0.3">
      <c r="C41">
        <v>12</v>
      </c>
      <c r="D41" s="6">
        <v>0.53200000000000003</v>
      </c>
      <c r="E41">
        <v>0.223</v>
      </c>
      <c r="F41">
        <v>0.1963</v>
      </c>
    </row>
    <row r="42" spans="1:6" x14ac:dyDescent="0.3">
      <c r="C42">
        <v>13</v>
      </c>
      <c r="D42" s="6">
        <v>0.56000000000000005</v>
      </c>
      <c r="E42">
        <v>0.247</v>
      </c>
      <c r="F42">
        <v>0.1963</v>
      </c>
    </row>
    <row r="43" spans="1:6" x14ac:dyDescent="0.3">
      <c r="C43">
        <v>14</v>
      </c>
      <c r="D43" s="6">
        <v>0.58399999999999996</v>
      </c>
      <c r="E43">
        <v>0.26800000000000002</v>
      </c>
      <c r="F43">
        <v>0.1963</v>
      </c>
    </row>
    <row r="44" spans="1:6" x14ac:dyDescent="0.3">
      <c r="C44">
        <v>15</v>
      </c>
      <c r="D44" s="6">
        <v>0.60599999999999998</v>
      </c>
      <c r="E44">
        <v>0.28899999999999998</v>
      </c>
      <c r="F44">
        <v>0.1963</v>
      </c>
    </row>
    <row r="45" spans="1:6" x14ac:dyDescent="0.3">
      <c r="C45">
        <v>16</v>
      </c>
      <c r="D45" s="6">
        <v>0.62</v>
      </c>
      <c r="E45">
        <v>0.30199999999999999</v>
      </c>
      <c r="F45">
        <v>0.1963</v>
      </c>
    </row>
    <row r="46" spans="1:6" x14ac:dyDescent="0.3">
      <c r="C46">
        <v>17</v>
      </c>
      <c r="D46" s="6">
        <v>0.63400000000000001</v>
      </c>
      <c r="E46">
        <v>0.314</v>
      </c>
      <c r="F46">
        <v>0.1963</v>
      </c>
    </row>
    <row r="47" spans="1:6" x14ac:dyDescent="0.3">
      <c r="C47">
        <v>18</v>
      </c>
      <c r="D47" s="6">
        <v>0.65200000000000002</v>
      </c>
      <c r="E47">
        <v>0.33400000000000002</v>
      </c>
      <c r="F47">
        <v>0.1963</v>
      </c>
    </row>
    <row r="48" spans="1:6" x14ac:dyDescent="0.3">
      <c r="B48">
        <v>1</v>
      </c>
      <c r="C48">
        <v>8</v>
      </c>
      <c r="D48" s="6">
        <v>0.67</v>
      </c>
      <c r="E48">
        <v>0.35499999999999998</v>
      </c>
      <c r="F48">
        <v>0.26179999999999998</v>
      </c>
    </row>
    <row r="49" spans="2:6" x14ac:dyDescent="0.3">
      <c r="C49">
        <v>9</v>
      </c>
      <c r="D49" s="6">
        <v>0.70399999999999996</v>
      </c>
      <c r="E49">
        <v>0.38900000000000001</v>
      </c>
      <c r="F49">
        <v>0.26179999999999998</v>
      </c>
    </row>
    <row r="50" spans="2:6" x14ac:dyDescent="0.3">
      <c r="C50">
        <v>10</v>
      </c>
      <c r="D50" s="6">
        <v>0.73199999999999998</v>
      </c>
      <c r="E50">
        <v>0.42099999999999999</v>
      </c>
      <c r="F50">
        <v>0.26179999999999998</v>
      </c>
    </row>
    <row r="51" spans="2:6" x14ac:dyDescent="0.3">
      <c r="C51">
        <v>11</v>
      </c>
      <c r="D51" s="6">
        <v>0.76</v>
      </c>
      <c r="E51">
        <v>0.45500000000000002</v>
      </c>
      <c r="F51">
        <v>0.26179999999999998</v>
      </c>
    </row>
    <row r="52" spans="2:6" x14ac:dyDescent="0.3">
      <c r="C52">
        <v>12</v>
      </c>
      <c r="D52" s="6">
        <v>0.78200000000000003</v>
      </c>
      <c r="E52">
        <v>0.47899999999999998</v>
      </c>
      <c r="F52">
        <v>0.26179999999999998</v>
      </c>
    </row>
    <row r="53" spans="2:6" x14ac:dyDescent="0.3">
      <c r="C53">
        <v>13</v>
      </c>
      <c r="D53" s="6">
        <v>0.81</v>
      </c>
      <c r="E53">
        <v>0.51500000000000001</v>
      </c>
      <c r="F53">
        <v>0.26179999999999998</v>
      </c>
    </row>
    <row r="54" spans="2:6" x14ac:dyDescent="0.3">
      <c r="C54">
        <v>14</v>
      </c>
      <c r="D54" s="6">
        <v>0.83399999999999996</v>
      </c>
      <c r="E54">
        <v>0.54600000000000004</v>
      </c>
      <c r="F54">
        <v>0.26179999999999998</v>
      </c>
    </row>
    <row r="55" spans="2:6" x14ac:dyDescent="0.3">
      <c r="C55">
        <v>15</v>
      </c>
      <c r="D55" s="6">
        <v>0.85599999999999998</v>
      </c>
      <c r="E55">
        <v>0.57599999999999996</v>
      </c>
      <c r="F55">
        <v>0.26179999999999998</v>
      </c>
    </row>
    <row r="56" spans="2:6" x14ac:dyDescent="0.3">
      <c r="C56">
        <v>16</v>
      </c>
      <c r="D56" s="6">
        <v>0.87</v>
      </c>
      <c r="E56">
        <v>0.59399999999999997</v>
      </c>
      <c r="F56">
        <v>0.26179999999999998</v>
      </c>
    </row>
    <row r="57" spans="2:6" x14ac:dyDescent="0.3">
      <c r="C57">
        <v>17</v>
      </c>
      <c r="D57" s="6">
        <v>0.88400000000000001</v>
      </c>
      <c r="E57">
        <v>0.61299999999999999</v>
      </c>
      <c r="F57">
        <v>0.26179999999999998</v>
      </c>
    </row>
    <row r="58" spans="2:6" x14ac:dyDescent="0.3">
      <c r="C58">
        <v>18</v>
      </c>
      <c r="D58" s="6">
        <v>0.90200000000000002</v>
      </c>
      <c r="E58">
        <v>0.63900000000000001</v>
      </c>
      <c r="F58">
        <v>0.26179999999999998</v>
      </c>
    </row>
    <row r="59" spans="2:6" x14ac:dyDescent="0.3">
      <c r="B59">
        <v>1.25</v>
      </c>
      <c r="C59">
        <v>8</v>
      </c>
      <c r="D59" s="6">
        <v>0.92</v>
      </c>
      <c r="E59">
        <v>0.66500000000000004</v>
      </c>
      <c r="F59">
        <v>0.3271</v>
      </c>
    </row>
    <row r="60" spans="2:6" x14ac:dyDescent="0.3">
      <c r="C60">
        <v>9</v>
      </c>
      <c r="D60" s="6">
        <v>0.95399999999999996</v>
      </c>
      <c r="E60">
        <v>0.71399999999999997</v>
      </c>
      <c r="F60">
        <v>0.3271</v>
      </c>
    </row>
    <row r="61" spans="2:6" x14ac:dyDescent="0.3">
      <c r="C61">
        <v>10</v>
      </c>
      <c r="D61" s="6">
        <v>0.98199999999999998</v>
      </c>
      <c r="E61">
        <v>0.75700000000000001</v>
      </c>
      <c r="F61">
        <v>0.3271</v>
      </c>
    </row>
    <row r="62" spans="2:6" x14ac:dyDescent="0.3">
      <c r="C62">
        <v>11</v>
      </c>
      <c r="D62" s="6">
        <v>1.01</v>
      </c>
      <c r="E62">
        <v>0.8</v>
      </c>
      <c r="F62">
        <v>0.3271</v>
      </c>
    </row>
    <row r="63" spans="2:6" x14ac:dyDescent="0.3">
      <c r="C63">
        <v>12</v>
      </c>
      <c r="D63" s="6">
        <v>1.03</v>
      </c>
      <c r="E63">
        <v>0.83599999999999997</v>
      </c>
      <c r="F63">
        <v>0.3271</v>
      </c>
    </row>
    <row r="64" spans="2:6" x14ac:dyDescent="0.3">
      <c r="C64">
        <v>13</v>
      </c>
      <c r="D64" s="6">
        <v>1.06</v>
      </c>
      <c r="E64">
        <v>0.88400000000000001</v>
      </c>
      <c r="F64">
        <v>0.3271</v>
      </c>
    </row>
    <row r="65" spans="2:6" x14ac:dyDescent="0.3">
      <c r="C65">
        <v>14</v>
      </c>
      <c r="D65" s="6">
        <v>1.08</v>
      </c>
      <c r="E65">
        <v>0.92300000000000004</v>
      </c>
      <c r="F65">
        <v>0.3271</v>
      </c>
    </row>
    <row r="66" spans="2:6" x14ac:dyDescent="0.3">
      <c r="C66">
        <v>15</v>
      </c>
      <c r="D66" s="6">
        <v>1.1100000000000001</v>
      </c>
      <c r="E66">
        <v>0.96</v>
      </c>
      <c r="F66">
        <v>0.3271</v>
      </c>
    </row>
    <row r="67" spans="2:6" x14ac:dyDescent="0.3">
      <c r="C67">
        <v>16</v>
      </c>
      <c r="D67" s="6">
        <v>1.1200000000000001</v>
      </c>
      <c r="E67">
        <v>0.98499999999999999</v>
      </c>
      <c r="F67">
        <v>0.3271</v>
      </c>
    </row>
    <row r="68" spans="2:6" x14ac:dyDescent="0.3">
      <c r="C68">
        <v>17</v>
      </c>
      <c r="D68" s="6">
        <v>1.1299999999999999</v>
      </c>
      <c r="E68">
        <v>1.01</v>
      </c>
      <c r="F68">
        <v>0.3271</v>
      </c>
    </row>
    <row r="69" spans="2:6" x14ac:dyDescent="0.3">
      <c r="C69">
        <v>18</v>
      </c>
      <c r="D69" s="6">
        <v>1.1499999999999999</v>
      </c>
      <c r="E69">
        <v>1.04</v>
      </c>
      <c r="F69">
        <v>0.3271</v>
      </c>
    </row>
    <row r="70" spans="2:6" x14ac:dyDescent="0.3">
      <c r="B70">
        <v>1.5</v>
      </c>
      <c r="C70">
        <v>8</v>
      </c>
      <c r="D70" s="6">
        <v>1.17</v>
      </c>
      <c r="E70">
        <v>1.075</v>
      </c>
      <c r="F70">
        <v>0.39250000000000002</v>
      </c>
    </row>
    <row r="71" spans="2:6" x14ac:dyDescent="0.3">
      <c r="C71">
        <v>9</v>
      </c>
      <c r="D71" s="6">
        <v>1.2</v>
      </c>
      <c r="E71">
        <v>1.1399999999999999</v>
      </c>
      <c r="F71">
        <v>0.39250000000000002</v>
      </c>
    </row>
    <row r="72" spans="2:6" x14ac:dyDescent="0.3">
      <c r="C72">
        <v>10</v>
      </c>
      <c r="D72" s="6">
        <v>1.23</v>
      </c>
      <c r="E72">
        <v>1.19</v>
      </c>
      <c r="F72">
        <v>0.39250000000000002</v>
      </c>
    </row>
    <row r="73" spans="2:6" x14ac:dyDescent="0.3">
      <c r="C73">
        <v>11</v>
      </c>
      <c r="D73" s="6">
        <v>1.26</v>
      </c>
      <c r="E73">
        <v>1.25</v>
      </c>
      <c r="F73">
        <v>0.39250000000000002</v>
      </c>
    </row>
    <row r="74" spans="2:6" x14ac:dyDescent="0.3">
      <c r="C74">
        <v>12</v>
      </c>
      <c r="D74" s="6">
        <v>1.28</v>
      </c>
      <c r="E74">
        <v>1.29</v>
      </c>
      <c r="F74">
        <v>0.39250000000000002</v>
      </c>
    </row>
    <row r="75" spans="2:6" x14ac:dyDescent="0.3">
      <c r="C75">
        <v>13</v>
      </c>
      <c r="D75" s="6">
        <v>1.31</v>
      </c>
      <c r="E75">
        <v>1.35</v>
      </c>
      <c r="F75">
        <v>0.39250000000000002</v>
      </c>
    </row>
    <row r="76" spans="2:6" x14ac:dyDescent="0.3">
      <c r="C76">
        <v>14</v>
      </c>
      <c r="D76" s="6">
        <v>1.33</v>
      </c>
      <c r="E76">
        <v>1.4</v>
      </c>
      <c r="F76">
        <v>0.39250000000000002</v>
      </c>
    </row>
    <row r="77" spans="2:6" x14ac:dyDescent="0.3">
      <c r="C77">
        <v>15</v>
      </c>
      <c r="D77" s="6">
        <v>1.36</v>
      </c>
      <c r="E77">
        <v>1.44</v>
      </c>
      <c r="F77">
        <v>0.39250000000000002</v>
      </c>
    </row>
    <row r="78" spans="2:6" x14ac:dyDescent="0.3">
      <c r="C78">
        <v>16</v>
      </c>
      <c r="D78" s="6">
        <v>1.37</v>
      </c>
      <c r="E78">
        <v>1.47</v>
      </c>
      <c r="F78">
        <v>0.39250000000000002</v>
      </c>
    </row>
    <row r="79" spans="2:6" x14ac:dyDescent="0.3">
      <c r="C79">
        <v>17</v>
      </c>
      <c r="D79" s="6">
        <v>1.38</v>
      </c>
      <c r="E79">
        <v>1.5</v>
      </c>
      <c r="F79">
        <v>0.39250000000000002</v>
      </c>
    </row>
    <row r="80" spans="2:6" x14ac:dyDescent="0.3">
      <c r="C80">
        <v>18</v>
      </c>
      <c r="D80" s="6">
        <v>1.4</v>
      </c>
      <c r="E80">
        <v>1.54</v>
      </c>
      <c r="F80">
        <v>0.39250000000000002</v>
      </c>
    </row>
    <row r="83" spans="1:10" x14ac:dyDescent="0.3">
      <c r="F83" s="54" t="s">
        <v>71</v>
      </c>
      <c r="G83" s="54"/>
      <c r="H83" s="54"/>
      <c r="I83" s="54"/>
      <c r="J83" s="54"/>
    </row>
    <row r="84" spans="1:10" ht="34.5" customHeight="1" x14ac:dyDescent="0.3">
      <c r="A84" s="26" t="s">
        <v>34</v>
      </c>
      <c r="B84" s="26" t="s">
        <v>66</v>
      </c>
      <c r="C84" s="26" t="s">
        <v>67</v>
      </c>
      <c r="D84" s="26" t="s">
        <v>68</v>
      </c>
      <c r="E84" s="26" t="s">
        <v>70</v>
      </c>
      <c r="F84" s="26">
        <v>1</v>
      </c>
      <c r="G84" s="26">
        <v>2</v>
      </c>
      <c r="H84">
        <v>4</v>
      </c>
      <c r="I84" s="26">
        <v>6</v>
      </c>
      <c r="J84" s="26">
        <v>8</v>
      </c>
    </row>
    <row r="85" spans="1:10" x14ac:dyDescent="0.3">
      <c r="B85">
        <v>8.0709999999999997</v>
      </c>
      <c r="C85">
        <v>6.8209999999999997</v>
      </c>
      <c r="D85" s="28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3">
      <c r="D86" s="28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3">
      <c r="D87" s="28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3">
      <c r="D88" s="28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3">
      <c r="D89" s="28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3">
      <c r="B90">
        <v>10</v>
      </c>
      <c r="C90">
        <v>8.77</v>
      </c>
      <c r="D90" s="28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3">
      <c r="D91" s="28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3">
      <c r="D92" s="28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3">
      <c r="D93" s="28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3">
      <c r="D94" s="28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3">
      <c r="B95">
        <v>12</v>
      </c>
      <c r="C95">
        <v>10.75</v>
      </c>
      <c r="D95" s="28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3">
      <c r="D96" s="28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3">
      <c r="D97" s="28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3">
      <c r="D98" s="28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3">
      <c r="D99" s="28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3">
      <c r="B100">
        <v>13.25</v>
      </c>
      <c r="C100">
        <v>12</v>
      </c>
      <c r="D100" s="28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3">
      <c r="D101" s="28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3">
      <c r="D102" s="28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3">
      <c r="D103" s="28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3">
      <c r="D104" s="28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3">
      <c r="B105">
        <v>15.25</v>
      </c>
      <c r="C105">
        <v>14</v>
      </c>
      <c r="D105" s="28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3">
      <c r="D106" s="28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3">
      <c r="D107" s="28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3">
      <c r="D108" s="28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3">
      <c r="D109" s="28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3">
      <c r="B110">
        <v>15.25</v>
      </c>
      <c r="C110">
        <v>16</v>
      </c>
      <c r="D110" s="28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3">
      <c r="D111" s="28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3">
      <c r="D112" s="28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3">
      <c r="D113" s="28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3">
      <c r="D114" s="28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3">
      <c r="B115">
        <v>19.25</v>
      </c>
      <c r="C115">
        <v>18</v>
      </c>
      <c r="D115" s="28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3">
      <c r="D116" s="28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3">
      <c r="D117" s="28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3">
      <c r="D118" s="28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3">
      <c r="D119" s="28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3">
      <c r="B120">
        <v>21.25</v>
      </c>
      <c r="C120">
        <v>19.25</v>
      </c>
      <c r="D120" s="28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3">
      <c r="D121" s="28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3">
      <c r="D122" s="28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3">
      <c r="D123" s="28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3">
      <c r="D124" s="28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3">
      <c r="B125">
        <v>23.25</v>
      </c>
      <c r="C125">
        <v>21.5</v>
      </c>
      <c r="D125" s="28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3">
      <c r="D126" s="28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3">
      <c r="D127" s="28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3">
      <c r="D128" s="28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3">
      <c r="D129" s="28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3">
      <c r="B130">
        <v>25</v>
      </c>
      <c r="C130">
        <v>23.375</v>
      </c>
      <c r="D130" s="28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3">
      <c r="D131" s="28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3">
      <c r="D132" s="28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3">
      <c r="D133" s="28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3">
      <c r="D134" s="28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3">
      <c r="B135">
        <v>27</v>
      </c>
      <c r="C135">
        <v>25.375</v>
      </c>
      <c r="D135" s="28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3">
      <c r="D136" s="28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3">
      <c r="D137" s="28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3">
      <c r="D138" s="28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3">
      <c r="D139" s="28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3">
      <c r="B140">
        <v>29</v>
      </c>
      <c r="C140">
        <v>27.375</v>
      </c>
      <c r="D140" s="28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3">
      <c r="D141" s="28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3">
      <c r="D142" s="28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3">
      <c r="D143" s="28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3">
      <c r="D144" s="28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3">
      <c r="B145">
        <v>31</v>
      </c>
      <c r="C145">
        <v>29.375</v>
      </c>
      <c r="D145" s="28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3">
      <c r="D146" s="28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3">
      <c r="D147" s="28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3">
      <c r="D148" s="28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3">
      <c r="D149" s="28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3">
      <c r="B150">
        <v>33</v>
      </c>
      <c r="C150">
        <v>31.375</v>
      </c>
      <c r="D150" s="28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3">
      <c r="D151" s="28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3">
      <c r="D152" s="28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3">
      <c r="D153" s="28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3">
      <c r="D154" s="28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3">
      <c r="B155">
        <v>35</v>
      </c>
      <c r="C155">
        <v>33.375</v>
      </c>
      <c r="D155" s="28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3">
      <c r="D156" s="28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3">
      <c r="D157" s="28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3">
      <c r="D158" s="28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3">
      <c r="D159" s="28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3">
      <c r="B160">
        <v>37</v>
      </c>
      <c r="C160">
        <v>35.25</v>
      </c>
      <c r="D160" s="28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3">
      <c r="D161" s="28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3">
      <c r="D162" s="28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3">
      <c r="D163" s="28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3">
      <c r="D164" s="28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3">
      <c r="B165">
        <v>39</v>
      </c>
      <c r="C165">
        <v>37.25</v>
      </c>
      <c r="D165" s="28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3">
      <c r="D166" s="28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3">
      <c r="D167" s="28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3">
      <c r="D168" s="28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3">
      <c r="D169" s="28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3">
      <c r="B170">
        <v>42</v>
      </c>
      <c r="C170">
        <v>40.25</v>
      </c>
      <c r="D170" s="28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3">
      <c r="D171" s="28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3">
      <c r="D172" s="28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3">
      <c r="D173" s="28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3">
      <c r="D174" s="28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3">
      <c r="B175">
        <v>44</v>
      </c>
      <c r="C175">
        <v>42.25</v>
      </c>
      <c r="D175" s="28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3">
      <c r="D176" s="28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3">
      <c r="D177" s="28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3">
      <c r="D178" s="28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3">
      <c r="D179" s="28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3">
      <c r="B180">
        <v>48</v>
      </c>
      <c r="C180">
        <v>46</v>
      </c>
      <c r="D180" s="28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3">
      <c r="D181" s="28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3">
      <c r="D182" s="28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3">
      <c r="D183" s="28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3">
      <c r="D184" s="28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3">
      <c r="B185">
        <v>52</v>
      </c>
      <c r="C185">
        <v>50</v>
      </c>
      <c r="D185" s="28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3">
      <c r="D186" s="28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3">
      <c r="D187" s="28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3">
      <c r="D188" s="28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3">
      <c r="D189" s="28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3">
      <c r="B190">
        <v>56</v>
      </c>
      <c r="C190">
        <v>54</v>
      </c>
      <c r="D190" s="28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3">
      <c r="D191" s="28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3">
      <c r="D192" s="28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3">
      <c r="D193" s="28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3">
      <c r="D194" s="28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3">
      <c r="D195" s="27"/>
    </row>
    <row r="196" spans="1:30" ht="28.8" x14ac:dyDescent="0.3">
      <c r="A196">
        <v>1</v>
      </c>
      <c r="B196" s="26" t="s">
        <v>68</v>
      </c>
      <c r="C196" s="26" t="s">
        <v>70</v>
      </c>
      <c r="D196" s="26">
        <v>1</v>
      </c>
      <c r="E196" s="26" t="s">
        <v>66</v>
      </c>
      <c r="F196" s="26" t="s">
        <v>67</v>
      </c>
      <c r="G196" s="26" t="s">
        <v>83</v>
      </c>
      <c r="I196" s="26"/>
      <c r="J196" s="26"/>
      <c r="AA196" s="26" t="s">
        <v>66</v>
      </c>
      <c r="AB196" s="26" t="s">
        <v>67</v>
      </c>
      <c r="AC196" s="26" t="s">
        <v>68</v>
      </c>
      <c r="AD196" s="26" t="s">
        <v>70</v>
      </c>
    </row>
    <row r="197" spans="1:30" x14ac:dyDescent="0.3">
      <c r="B197" s="28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28" t="s">
        <v>77</v>
      </c>
      <c r="AD197" t="s">
        <v>72</v>
      </c>
    </row>
    <row r="198" spans="1:30" x14ac:dyDescent="0.3">
      <c r="B198" s="28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28" t="s">
        <v>77</v>
      </c>
      <c r="AD198" t="s">
        <v>73</v>
      </c>
    </row>
    <row r="199" spans="1:30" x14ac:dyDescent="0.3">
      <c r="B199" s="28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28" t="s">
        <v>77</v>
      </c>
      <c r="AD199" t="s">
        <v>74</v>
      </c>
    </row>
    <row r="200" spans="1:30" x14ac:dyDescent="0.3">
      <c r="B200" s="28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28" t="s">
        <v>78</v>
      </c>
      <c r="AD200" t="s">
        <v>75</v>
      </c>
    </row>
    <row r="201" spans="1:30" x14ac:dyDescent="0.3">
      <c r="B201" s="28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28" t="s">
        <v>78</v>
      </c>
      <c r="AD201" t="s">
        <v>76</v>
      </c>
    </row>
    <row r="202" spans="1:30" x14ac:dyDescent="0.3">
      <c r="B202" s="28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28" t="s">
        <v>77</v>
      </c>
      <c r="AD202" t="s">
        <v>72</v>
      </c>
    </row>
    <row r="203" spans="1:30" x14ac:dyDescent="0.3">
      <c r="B203" s="28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28" t="s">
        <v>77</v>
      </c>
      <c r="AD203" t="s">
        <v>73</v>
      </c>
    </row>
    <row r="204" spans="1:30" x14ac:dyDescent="0.3">
      <c r="B204" s="28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28" t="s">
        <v>77</v>
      </c>
      <c r="AD204" t="s">
        <v>74</v>
      </c>
    </row>
    <row r="205" spans="1:30" x14ac:dyDescent="0.3">
      <c r="B205" s="28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28" t="s">
        <v>78</v>
      </c>
      <c r="AD205" t="s">
        <v>75</v>
      </c>
    </row>
    <row r="206" spans="1:30" x14ac:dyDescent="0.3">
      <c r="B206" s="28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28" t="s">
        <v>78</v>
      </c>
      <c r="AD206" t="s">
        <v>76</v>
      </c>
    </row>
    <row r="207" spans="1:30" x14ac:dyDescent="0.3">
      <c r="B207" s="28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28" t="s">
        <v>77</v>
      </c>
      <c r="AD207" t="s">
        <v>72</v>
      </c>
    </row>
    <row r="208" spans="1:30" x14ac:dyDescent="0.3">
      <c r="B208" s="28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28" t="s">
        <v>77</v>
      </c>
      <c r="AD208" t="s">
        <v>73</v>
      </c>
    </row>
    <row r="209" spans="2:30" x14ac:dyDescent="0.3">
      <c r="B209" s="28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28" t="s">
        <v>77</v>
      </c>
      <c r="AD209" t="s">
        <v>74</v>
      </c>
    </row>
    <row r="210" spans="2:30" x14ac:dyDescent="0.3">
      <c r="B210" s="28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28" t="s">
        <v>78</v>
      </c>
      <c r="AD210" t="s">
        <v>75</v>
      </c>
    </row>
    <row r="211" spans="2:30" x14ac:dyDescent="0.3">
      <c r="B211" s="28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28" t="s">
        <v>78</v>
      </c>
      <c r="AD211" t="s">
        <v>76</v>
      </c>
    </row>
    <row r="212" spans="2:30" x14ac:dyDescent="0.3">
      <c r="B212" s="28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28" t="s">
        <v>77</v>
      </c>
      <c r="AD212" t="s">
        <v>72</v>
      </c>
    </row>
    <row r="213" spans="2:30" x14ac:dyDescent="0.3">
      <c r="B213" s="28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28" t="s">
        <v>77</v>
      </c>
      <c r="AD213" t="s">
        <v>73</v>
      </c>
    </row>
    <row r="214" spans="2:30" x14ac:dyDescent="0.3">
      <c r="B214" s="28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28" t="s">
        <v>77</v>
      </c>
      <c r="AD214" t="s">
        <v>74</v>
      </c>
    </row>
    <row r="215" spans="2:30" x14ac:dyDescent="0.3">
      <c r="B215" s="28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28" t="s">
        <v>78</v>
      </c>
      <c r="AD215" t="s">
        <v>75</v>
      </c>
    </row>
    <row r="216" spans="2:30" x14ac:dyDescent="0.3">
      <c r="B216" s="28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28" t="s">
        <v>78</v>
      </c>
      <c r="AD216" t="s">
        <v>76</v>
      </c>
    </row>
    <row r="217" spans="2:30" x14ac:dyDescent="0.3">
      <c r="B217" s="28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28" t="s">
        <v>77</v>
      </c>
      <c r="AD217" t="s">
        <v>72</v>
      </c>
    </row>
    <row r="218" spans="2:30" x14ac:dyDescent="0.3">
      <c r="B218" s="28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28" t="s">
        <v>77</v>
      </c>
      <c r="AD218" t="s">
        <v>73</v>
      </c>
    </row>
    <row r="219" spans="2:30" x14ac:dyDescent="0.3">
      <c r="B219" s="28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28" t="s">
        <v>77</v>
      </c>
      <c r="AD219" t="s">
        <v>74</v>
      </c>
    </row>
    <row r="220" spans="2:30" x14ac:dyDescent="0.3">
      <c r="B220" s="28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28" t="s">
        <v>78</v>
      </c>
      <c r="AD220" t="s">
        <v>75</v>
      </c>
    </row>
    <row r="221" spans="2:30" x14ac:dyDescent="0.3">
      <c r="B221" s="28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28" t="s">
        <v>78</v>
      </c>
      <c r="AD221" t="s">
        <v>76</v>
      </c>
    </row>
    <row r="222" spans="2:30" x14ac:dyDescent="0.3">
      <c r="B222" s="28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28" t="s">
        <v>77</v>
      </c>
      <c r="AD222" t="s">
        <v>72</v>
      </c>
    </row>
    <row r="223" spans="2:30" x14ac:dyDescent="0.3">
      <c r="B223" s="28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28" t="s">
        <v>77</v>
      </c>
      <c r="AD223" t="s">
        <v>73</v>
      </c>
    </row>
    <row r="224" spans="2:30" x14ac:dyDescent="0.3">
      <c r="B224" s="28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28" t="s">
        <v>77</v>
      </c>
      <c r="AD224" t="s">
        <v>74</v>
      </c>
    </row>
    <row r="225" spans="2:30" x14ac:dyDescent="0.3">
      <c r="B225" s="28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28" t="s">
        <v>78</v>
      </c>
      <c r="AD225" t="s">
        <v>75</v>
      </c>
    </row>
    <row r="226" spans="2:30" x14ac:dyDescent="0.3">
      <c r="B226" s="28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28" t="s">
        <v>78</v>
      </c>
      <c r="AD226" t="s">
        <v>76</v>
      </c>
    </row>
    <row r="227" spans="2:30" x14ac:dyDescent="0.3">
      <c r="B227" s="28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28" t="s">
        <v>77</v>
      </c>
      <c r="AD227" t="s">
        <v>72</v>
      </c>
    </row>
    <row r="228" spans="2:30" x14ac:dyDescent="0.3">
      <c r="B228" s="28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28" t="s">
        <v>77</v>
      </c>
      <c r="AD228" t="s">
        <v>73</v>
      </c>
    </row>
    <row r="229" spans="2:30" x14ac:dyDescent="0.3">
      <c r="B229" s="28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28" t="s">
        <v>77</v>
      </c>
      <c r="AD229" t="s">
        <v>74</v>
      </c>
    </row>
    <row r="230" spans="2:30" x14ac:dyDescent="0.3">
      <c r="B230" s="28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28" t="s">
        <v>78</v>
      </c>
      <c r="AD230" t="s">
        <v>75</v>
      </c>
    </row>
    <row r="231" spans="2:30" x14ac:dyDescent="0.3">
      <c r="B231" s="28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28" t="s">
        <v>78</v>
      </c>
      <c r="AD231" t="s">
        <v>76</v>
      </c>
    </row>
    <row r="232" spans="2:30" x14ac:dyDescent="0.3">
      <c r="B232" s="28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28" t="s">
        <v>77</v>
      </c>
      <c r="AD232" t="s">
        <v>72</v>
      </c>
    </row>
    <row r="233" spans="2:30" x14ac:dyDescent="0.3">
      <c r="B233" s="28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28" t="s">
        <v>77</v>
      </c>
      <c r="AD233" t="s">
        <v>73</v>
      </c>
    </row>
    <row r="234" spans="2:30" x14ac:dyDescent="0.3">
      <c r="B234" s="28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28" t="s">
        <v>77</v>
      </c>
      <c r="AD234" t="s">
        <v>74</v>
      </c>
    </row>
    <row r="235" spans="2:30" x14ac:dyDescent="0.3">
      <c r="B235" s="28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28" t="s">
        <v>78</v>
      </c>
      <c r="AD235" t="s">
        <v>75</v>
      </c>
    </row>
    <row r="236" spans="2:30" x14ac:dyDescent="0.3">
      <c r="B236" s="28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28" t="s">
        <v>78</v>
      </c>
      <c r="AD236" t="s">
        <v>76</v>
      </c>
    </row>
    <row r="237" spans="2:30" x14ac:dyDescent="0.3">
      <c r="B237" s="28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28" t="s">
        <v>77</v>
      </c>
      <c r="AD237" t="s">
        <v>72</v>
      </c>
    </row>
    <row r="238" spans="2:30" x14ac:dyDescent="0.3">
      <c r="B238" s="28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28" t="s">
        <v>77</v>
      </c>
      <c r="AD238" t="s">
        <v>73</v>
      </c>
    </row>
    <row r="239" spans="2:30" x14ac:dyDescent="0.3">
      <c r="B239" s="28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28" t="s">
        <v>77</v>
      </c>
      <c r="AD239" t="s">
        <v>74</v>
      </c>
    </row>
    <row r="240" spans="2:30" x14ac:dyDescent="0.3">
      <c r="B240" s="28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28" t="s">
        <v>78</v>
      </c>
      <c r="AD240" t="s">
        <v>75</v>
      </c>
    </row>
    <row r="241" spans="2:30" x14ac:dyDescent="0.3">
      <c r="B241" s="28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28" t="s">
        <v>78</v>
      </c>
      <c r="AD241" t="s">
        <v>76</v>
      </c>
    </row>
    <row r="242" spans="2:30" x14ac:dyDescent="0.3">
      <c r="B242" s="28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28" t="s">
        <v>77</v>
      </c>
      <c r="AD242" t="s">
        <v>72</v>
      </c>
    </row>
    <row r="243" spans="2:30" x14ac:dyDescent="0.3">
      <c r="B243" s="28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28" t="s">
        <v>77</v>
      </c>
      <c r="AD243" t="s">
        <v>73</v>
      </c>
    </row>
    <row r="244" spans="2:30" x14ac:dyDescent="0.3">
      <c r="B244" s="28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28" t="s">
        <v>77</v>
      </c>
      <c r="AD244" t="s">
        <v>74</v>
      </c>
    </row>
    <row r="245" spans="2:30" x14ac:dyDescent="0.3">
      <c r="B245" s="28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28" t="s">
        <v>78</v>
      </c>
      <c r="AD245" t="s">
        <v>75</v>
      </c>
    </row>
    <row r="246" spans="2:30" x14ac:dyDescent="0.3">
      <c r="B246" s="28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28" t="s">
        <v>78</v>
      </c>
      <c r="AD246" t="s">
        <v>76</v>
      </c>
    </row>
    <row r="247" spans="2:30" x14ac:dyDescent="0.3">
      <c r="B247" s="28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28" t="s">
        <v>77</v>
      </c>
      <c r="AD247" t="s">
        <v>72</v>
      </c>
    </row>
    <row r="248" spans="2:30" x14ac:dyDescent="0.3">
      <c r="B248" s="28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28" t="s">
        <v>77</v>
      </c>
      <c r="AD248" t="s">
        <v>73</v>
      </c>
    </row>
    <row r="249" spans="2:30" x14ac:dyDescent="0.3">
      <c r="B249" s="28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28" t="s">
        <v>77</v>
      </c>
      <c r="AD249" t="s">
        <v>74</v>
      </c>
    </row>
    <row r="250" spans="2:30" x14ac:dyDescent="0.3">
      <c r="B250" s="28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28" t="s">
        <v>78</v>
      </c>
      <c r="AD250" t="s">
        <v>75</v>
      </c>
    </row>
    <row r="251" spans="2:30" x14ac:dyDescent="0.3">
      <c r="B251" s="28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28" t="s">
        <v>78</v>
      </c>
      <c r="AD251" t="s">
        <v>76</v>
      </c>
    </row>
    <row r="252" spans="2:30" x14ac:dyDescent="0.3">
      <c r="B252" s="28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28" t="s">
        <v>77</v>
      </c>
      <c r="AD252" t="s">
        <v>72</v>
      </c>
    </row>
    <row r="253" spans="2:30" x14ac:dyDescent="0.3">
      <c r="B253" s="28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28" t="s">
        <v>77</v>
      </c>
      <c r="AD253" t="s">
        <v>73</v>
      </c>
    </row>
    <row r="254" spans="2:30" x14ac:dyDescent="0.3">
      <c r="B254" s="28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28" t="s">
        <v>77</v>
      </c>
      <c r="AD254" t="s">
        <v>74</v>
      </c>
    </row>
    <row r="255" spans="2:30" x14ac:dyDescent="0.3">
      <c r="B255" s="28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28" t="s">
        <v>78</v>
      </c>
      <c r="AD255" t="s">
        <v>75</v>
      </c>
    </row>
    <row r="256" spans="2:30" x14ac:dyDescent="0.3">
      <c r="B256" s="28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28" t="s">
        <v>78</v>
      </c>
      <c r="AD256" t="s">
        <v>76</v>
      </c>
    </row>
    <row r="257" spans="2:30" x14ac:dyDescent="0.3">
      <c r="B257" s="28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28" t="s">
        <v>77</v>
      </c>
      <c r="AD257" t="s">
        <v>72</v>
      </c>
    </row>
    <row r="258" spans="2:30" x14ac:dyDescent="0.3">
      <c r="B258" s="28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28" t="s">
        <v>77</v>
      </c>
      <c r="AD258" t="s">
        <v>73</v>
      </c>
    </row>
    <row r="259" spans="2:30" x14ac:dyDescent="0.3">
      <c r="B259" s="28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28" t="s">
        <v>77</v>
      </c>
      <c r="AD259" t="s">
        <v>74</v>
      </c>
    </row>
    <row r="260" spans="2:30" x14ac:dyDescent="0.3">
      <c r="B260" s="28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28" t="s">
        <v>78</v>
      </c>
      <c r="AD260" t="s">
        <v>75</v>
      </c>
    </row>
    <row r="261" spans="2:30" x14ac:dyDescent="0.3">
      <c r="B261" s="28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28" t="s">
        <v>78</v>
      </c>
      <c r="AD261" t="s">
        <v>76</v>
      </c>
    </row>
    <row r="262" spans="2:30" x14ac:dyDescent="0.3">
      <c r="B262" s="28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28" t="s">
        <v>77</v>
      </c>
      <c r="AD262" t="s">
        <v>72</v>
      </c>
    </row>
    <row r="263" spans="2:30" x14ac:dyDescent="0.3">
      <c r="B263" s="28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28" t="s">
        <v>77</v>
      </c>
      <c r="AD263" t="s">
        <v>73</v>
      </c>
    </row>
    <row r="264" spans="2:30" x14ac:dyDescent="0.3">
      <c r="B264" s="28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28" t="s">
        <v>77</v>
      </c>
      <c r="AD264" t="s">
        <v>74</v>
      </c>
    </row>
    <row r="265" spans="2:30" x14ac:dyDescent="0.3">
      <c r="B265" s="28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28" t="s">
        <v>78</v>
      </c>
      <c r="AD265" t="s">
        <v>75</v>
      </c>
    </row>
    <row r="266" spans="2:30" x14ac:dyDescent="0.3">
      <c r="B266" s="28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28" t="s">
        <v>78</v>
      </c>
      <c r="AD266" t="s">
        <v>76</v>
      </c>
    </row>
    <row r="267" spans="2:30" x14ac:dyDescent="0.3">
      <c r="B267" s="28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28" t="s">
        <v>77</v>
      </c>
      <c r="AD267" t="s">
        <v>72</v>
      </c>
    </row>
    <row r="268" spans="2:30" x14ac:dyDescent="0.3">
      <c r="B268" s="28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28" t="s">
        <v>77</v>
      </c>
      <c r="AD268" t="s">
        <v>73</v>
      </c>
    </row>
    <row r="269" spans="2:30" x14ac:dyDescent="0.3">
      <c r="B269" s="28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28" t="s">
        <v>77</v>
      </c>
      <c r="AD269" t="s">
        <v>74</v>
      </c>
    </row>
    <row r="270" spans="2:30" x14ac:dyDescent="0.3">
      <c r="B270" s="28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28" t="s">
        <v>78</v>
      </c>
      <c r="AD270" t="s">
        <v>75</v>
      </c>
    </row>
    <row r="271" spans="2:30" x14ac:dyDescent="0.3">
      <c r="B271" s="28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28" t="s">
        <v>78</v>
      </c>
      <c r="AD271" t="s">
        <v>76</v>
      </c>
    </row>
    <row r="272" spans="2:30" x14ac:dyDescent="0.3">
      <c r="B272" s="28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28" t="s">
        <v>77</v>
      </c>
      <c r="AD272" t="s">
        <v>72</v>
      </c>
    </row>
    <row r="273" spans="2:30" x14ac:dyDescent="0.3">
      <c r="B273" s="28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28" t="s">
        <v>77</v>
      </c>
      <c r="AD273" t="s">
        <v>73</v>
      </c>
    </row>
    <row r="274" spans="2:30" x14ac:dyDescent="0.3">
      <c r="B274" s="28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28" t="s">
        <v>77</v>
      </c>
      <c r="AD274" t="s">
        <v>74</v>
      </c>
    </row>
    <row r="275" spans="2:30" x14ac:dyDescent="0.3">
      <c r="B275" s="28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28" t="s">
        <v>78</v>
      </c>
      <c r="AD275" t="s">
        <v>75</v>
      </c>
    </row>
    <row r="276" spans="2:30" x14ac:dyDescent="0.3">
      <c r="B276" s="28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28" t="s">
        <v>78</v>
      </c>
      <c r="AD276" t="s">
        <v>76</v>
      </c>
    </row>
    <row r="277" spans="2:30" x14ac:dyDescent="0.3">
      <c r="B277" s="28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28" t="s">
        <v>77</v>
      </c>
      <c r="AD277" t="s">
        <v>72</v>
      </c>
    </row>
    <row r="278" spans="2:30" x14ac:dyDescent="0.3">
      <c r="B278" s="28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28" t="s">
        <v>77</v>
      </c>
      <c r="AD278" t="s">
        <v>73</v>
      </c>
    </row>
    <row r="279" spans="2:30" x14ac:dyDescent="0.3">
      <c r="B279" s="28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28" t="s">
        <v>77</v>
      </c>
      <c r="AD279" t="s">
        <v>74</v>
      </c>
    </row>
    <row r="280" spans="2:30" x14ac:dyDescent="0.3">
      <c r="B280" s="28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28" t="s">
        <v>78</v>
      </c>
      <c r="AD280" t="s">
        <v>75</v>
      </c>
    </row>
    <row r="281" spans="2:30" x14ac:dyDescent="0.3">
      <c r="B281" s="28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28" t="s">
        <v>78</v>
      </c>
      <c r="AD281" t="s">
        <v>76</v>
      </c>
    </row>
    <row r="282" spans="2:30" x14ac:dyDescent="0.3">
      <c r="B282" s="28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28" t="s">
        <v>77</v>
      </c>
      <c r="AD282" t="s">
        <v>72</v>
      </c>
    </row>
    <row r="283" spans="2:30" x14ac:dyDescent="0.3">
      <c r="B283" s="28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28" t="s">
        <v>77</v>
      </c>
      <c r="AD283" t="s">
        <v>73</v>
      </c>
    </row>
    <row r="284" spans="2:30" x14ac:dyDescent="0.3">
      <c r="B284" s="28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28" t="s">
        <v>77</v>
      </c>
      <c r="AD284" t="s">
        <v>74</v>
      </c>
    </row>
    <row r="285" spans="2:30" x14ac:dyDescent="0.3">
      <c r="B285" s="28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28" t="s">
        <v>78</v>
      </c>
      <c r="AD285" t="s">
        <v>75</v>
      </c>
    </row>
    <row r="286" spans="2:30" x14ac:dyDescent="0.3">
      <c r="B286" s="28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28" t="s">
        <v>78</v>
      </c>
      <c r="AD286" t="s">
        <v>76</v>
      </c>
    </row>
    <row r="287" spans="2:30" x14ac:dyDescent="0.3">
      <c r="B287" s="28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28" t="s">
        <v>77</v>
      </c>
      <c r="AD287" t="s">
        <v>72</v>
      </c>
    </row>
    <row r="288" spans="2:30" x14ac:dyDescent="0.3">
      <c r="B288" s="28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28" t="s">
        <v>77</v>
      </c>
      <c r="AD288" t="s">
        <v>73</v>
      </c>
    </row>
    <row r="289" spans="2:30" x14ac:dyDescent="0.3">
      <c r="B289" s="28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28" t="s">
        <v>77</v>
      </c>
      <c r="AD289" t="s">
        <v>74</v>
      </c>
    </row>
    <row r="290" spans="2:30" x14ac:dyDescent="0.3">
      <c r="B290" s="28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28" t="s">
        <v>78</v>
      </c>
      <c r="AD290" t="s">
        <v>75</v>
      </c>
    </row>
    <row r="291" spans="2:30" x14ac:dyDescent="0.3">
      <c r="B291" s="28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28" t="s">
        <v>78</v>
      </c>
      <c r="AD291" t="s">
        <v>76</v>
      </c>
    </row>
    <row r="292" spans="2:30" x14ac:dyDescent="0.3">
      <c r="B292" s="28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28" t="s">
        <v>77</v>
      </c>
      <c r="AD292" t="s">
        <v>72</v>
      </c>
    </row>
    <row r="293" spans="2:30" x14ac:dyDescent="0.3">
      <c r="B293" s="28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28" t="s">
        <v>77</v>
      </c>
      <c r="AD293" t="s">
        <v>73</v>
      </c>
    </row>
    <row r="294" spans="2:30" x14ac:dyDescent="0.3">
      <c r="B294" s="28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28" t="s">
        <v>77</v>
      </c>
      <c r="AD294" t="s">
        <v>74</v>
      </c>
    </row>
    <row r="295" spans="2:30" x14ac:dyDescent="0.3">
      <c r="B295" s="28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28" t="s">
        <v>78</v>
      </c>
      <c r="AD295" t="s">
        <v>75</v>
      </c>
    </row>
    <row r="296" spans="2:30" x14ac:dyDescent="0.3">
      <c r="B296" s="28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28" t="s">
        <v>78</v>
      </c>
      <c r="AD296" t="s">
        <v>76</v>
      </c>
    </row>
    <row r="297" spans="2:30" x14ac:dyDescent="0.3">
      <c r="B297" s="28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28" t="s">
        <v>77</v>
      </c>
      <c r="AD297" t="s">
        <v>72</v>
      </c>
    </row>
    <row r="298" spans="2:30" x14ac:dyDescent="0.3">
      <c r="B298" s="28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28" t="s">
        <v>77</v>
      </c>
      <c r="AD298" t="s">
        <v>73</v>
      </c>
    </row>
    <row r="299" spans="2:30" x14ac:dyDescent="0.3">
      <c r="B299" s="28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28" t="s">
        <v>77</v>
      </c>
      <c r="AD299" t="s">
        <v>74</v>
      </c>
    </row>
    <row r="300" spans="2:30" x14ac:dyDescent="0.3">
      <c r="B300" s="28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28" t="s">
        <v>78</v>
      </c>
      <c r="AD300" t="s">
        <v>75</v>
      </c>
    </row>
    <row r="301" spans="2:30" x14ac:dyDescent="0.3">
      <c r="B301" s="28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28" t="s">
        <v>78</v>
      </c>
      <c r="AD301" t="s">
        <v>76</v>
      </c>
    </row>
    <row r="302" spans="2:30" x14ac:dyDescent="0.3">
      <c r="B302" s="28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28" t="s">
        <v>77</v>
      </c>
      <c r="AD302" t="s">
        <v>72</v>
      </c>
    </row>
    <row r="303" spans="2:30" x14ac:dyDescent="0.3">
      <c r="B303" s="28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28" t="s">
        <v>77</v>
      </c>
      <c r="AD303" t="s">
        <v>73</v>
      </c>
    </row>
    <row r="304" spans="2:30" x14ac:dyDescent="0.3">
      <c r="B304" s="28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28" t="s">
        <v>77</v>
      </c>
      <c r="AD304" t="s">
        <v>74</v>
      </c>
    </row>
    <row r="305" spans="1:30" x14ac:dyDescent="0.3">
      <c r="B305" s="28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28" t="s">
        <v>78</v>
      </c>
      <c r="AD305" t="s">
        <v>75</v>
      </c>
    </row>
    <row r="306" spans="1:30" x14ac:dyDescent="0.3">
      <c r="B306" s="28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28" t="s">
        <v>78</v>
      </c>
      <c r="AD306" t="s">
        <v>76</v>
      </c>
    </row>
    <row r="307" spans="1:30" ht="28.8" x14ac:dyDescent="0.3">
      <c r="A307">
        <v>2</v>
      </c>
      <c r="B307" s="26" t="s">
        <v>68</v>
      </c>
      <c r="C307" s="26" t="s">
        <v>70</v>
      </c>
      <c r="D307" s="26">
        <v>2</v>
      </c>
      <c r="E307" s="26" t="s">
        <v>66</v>
      </c>
      <c r="F307" s="26" t="s">
        <v>67</v>
      </c>
    </row>
    <row r="308" spans="1:30" x14ac:dyDescent="0.3">
      <c r="B308" s="28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3">
      <c r="B309" s="28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3">
      <c r="B310" s="28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3">
      <c r="B311" s="28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3">
      <c r="B312" s="28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3">
      <c r="B313" s="28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3">
      <c r="B314" s="28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3">
      <c r="B315" s="28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3">
      <c r="B316" s="28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3">
      <c r="B317" s="28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3">
      <c r="B318" s="28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3">
      <c r="B319" s="28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3">
      <c r="B320" s="28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3">
      <c r="B321" s="28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3">
      <c r="B322" s="28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3">
      <c r="B323" s="28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3">
      <c r="B324" s="28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3">
      <c r="B325" s="28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3">
      <c r="B326" s="28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3">
      <c r="B327" s="28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3">
      <c r="B328" s="28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3">
      <c r="B329" s="28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3">
      <c r="B330" s="28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3">
      <c r="B331" s="28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3">
      <c r="B332" s="28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3">
      <c r="B333" s="28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3">
      <c r="B334" s="28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3">
      <c r="B335" s="28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3">
      <c r="B336" s="28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3">
      <c r="B337" s="28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3">
      <c r="B338" s="28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3">
      <c r="B339" s="28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3">
      <c r="B340" s="28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3">
      <c r="B341" s="28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3">
      <c r="B342" s="28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3">
      <c r="B343" s="28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3">
      <c r="B344" s="28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3">
      <c r="B345" s="28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3">
      <c r="B346" s="28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3">
      <c r="B347" s="28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3">
      <c r="B348" s="28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3">
      <c r="B349" s="28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3">
      <c r="B350" s="28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3">
      <c r="B351" s="28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3">
      <c r="B352" s="28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3">
      <c r="B353" s="28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3">
      <c r="B354" s="28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3">
      <c r="B355" s="28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3">
      <c r="B356" s="28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3">
      <c r="B357" s="28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3">
      <c r="B358" s="28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3">
      <c r="B359" s="28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3">
      <c r="B360" s="28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3">
      <c r="B361" s="28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3">
      <c r="B362" s="28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3">
      <c r="B363" s="28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3">
      <c r="B364" s="28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3">
      <c r="B365" s="28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3">
      <c r="B366" s="28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3">
      <c r="B367" s="28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3">
      <c r="B368" s="28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3">
      <c r="B369" s="28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3">
      <c r="B370" s="28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3">
      <c r="B371" s="28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3">
      <c r="B372" s="28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3">
      <c r="B373" s="28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3">
      <c r="B374" s="28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3">
      <c r="B375" s="28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3">
      <c r="B376" s="28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3">
      <c r="B377" s="28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3">
      <c r="B378" s="28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3">
      <c r="B379" s="28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3">
      <c r="B380" s="28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3">
      <c r="B381" s="28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3">
      <c r="B382" s="28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3">
      <c r="B383" s="28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3">
      <c r="B384" s="28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3">
      <c r="B385" s="28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3">
      <c r="B386" s="28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3">
      <c r="B387" s="28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3">
      <c r="B388" s="28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3">
      <c r="B389" s="28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3">
      <c r="B390" s="28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3">
      <c r="B391" s="28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3">
      <c r="B392" s="28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3">
      <c r="B393" s="28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3">
      <c r="B394" s="28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3">
      <c r="B395" s="28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3">
      <c r="B396" s="28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3">
      <c r="B397" s="28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3">
      <c r="B398" s="28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3">
      <c r="B399" s="28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3">
      <c r="B400" s="28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3">
      <c r="B401" s="28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3">
      <c r="B402" s="28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3">
      <c r="B403" s="28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3">
      <c r="B404" s="28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3">
      <c r="B405" s="28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3">
      <c r="B406" s="28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3">
      <c r="B407" s="28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3">
      <c r="B408" s="28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3">
      <c r="B409" s="28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3">
      <c r="B410" s="28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3">
      <c r="B411" s="28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3">
      <c r="B412" s="28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3">
      <c r="B413" s="28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3">
      <c r="B414" s="28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3">
      <c r="B415" s="28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3">
      <c r="B416" s="28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3">
      <c r="B417" s="28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28.8" x14ac:dyDescent="0.3">
      <c r="A418">
        <v>4</v>
      </c>
      <c r="B418" s="26" t="s">
        <v>68</v>
      </c>
      <c r="C418" s="26" t="s">
        <v>70</v>
      </c>
      <c r="D418">
        <v>4</v>
      </c>
      <c r="E418" s="26" t="s">
        <v>66</v>
      </c>
      <c r="F418" s="26" t="s">
        <v>67</v>
      </c>
    </row>
    <row r="419" spans="1:9" x14ac:dyDescent="0.3">
      <c r="B419" s="28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3">
      <c r="B420" s="28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3">
      <c r="B421" s="28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3">
      <c r="B422" s="28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3">
      <c r="B423" s="28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3">
      <c r="B424" s="28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3">
      <c r="B425" s="28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3">
      <c r="B426" s="28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3">
      <c r="B427" s="28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3">
      <c r="B428" s="28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3">
      <c r="B429" s="28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3">
      <c r="B430" s="28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3">
      <c r="B431" s="28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3">
      <c r="B432" s="28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3">
      <c r="B433" s="28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3">
      <c r="B434" s="28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3">
      <c r="B435" s="28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3">
      <c r="B436" s="28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3">
      <c r="B437" s="28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3">
      <c r="B438" s="28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3">
      <c r="B439" s="28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3">
      <c r="B440" s="28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3">
      <c r="B441" s="28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3">
      <c r="B442" s="28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3">
      <c r="B443" s="28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3">
      <c r="B444" s="28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3">
      <c r="B445" s="28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3">
      <c r="B446" s="28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3">
      <c r="B447" s="28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3">
      <c r="B448" s="28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3">
      <c r="B449" s="28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3">
      <c r="B450" s="28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3">
      <c r="B451" s="28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3">
      <c r="B452" s="28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3">
      <c r="B453" s="28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3">
      <c r="B454" s="28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3">
      <c r="B455" s="28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3">
      <c r="B456" s="28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3">
      <c r="B457" s="28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3">
      <c r="B458" s="28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3">
      <c r="B459" s="28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3">
      <c r="B460" s="28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3">
      <c r="B461" s="28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3">
      <c r="B462" s="28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3">
      <c r="B463" s="28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3">
      <c r="B464" s="28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3">
      <c r="B465" s="28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3">
      <c r="B466" s="28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3">
      <c r="B467" s="28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3">
      <c r="B468" s="28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3">
      <c r="B469" s="28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3">
      <c r="B470" s="28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3">
      <c r="B471" s="28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3">
      <c r="B472" s="28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3">
      <c r="B473" s="28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3">
      <c r="B474" s="28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3">
      <c r="B475" s="28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3">
      <c r="B476" s="28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3">
      <c r="B477" s="28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3">
      <c r="B478" s="28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3">
      <c r="B479" s="28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3">
      <c r="B480" s="28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3">
      <c r="B481" s="28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3">
      <c r="B482" s="28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3">
      <c r="B483" s="28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3">
      <c r="B484" s="28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3">
      <c r="B485" s="28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3">
      <c r="B486" s="28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3">
      <c r="B487" s="28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3">
      <c r="B488" s="28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3">
      <c r="B489" s="28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3">
      <c r="B490" s="28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3">
      <c r="B491" s="28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3">
      <c r="B492" s="28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3">
      <c r="B493" s="28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3">
      <c r="B494" s="28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3">
      <c r="B495" s="28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3">
      <c r="B496" s="28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3">
      <c r="B497" s="28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3">
      <c r="B498" s="28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3">
      <c r="B499" s="28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3">
      <c r="B500" s="28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3">
      <c r="B501" s="28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3">
      <c r="B502" s="28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3">
      <c r="B503" s="28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3">
      <c r="B504" s="28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3">
      <c r="B505" s="28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3">
      <c r="B506" s="28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3">
      <c r="B507" s="28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3">
      <c r="B508" s="28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3">
      <c r="B509" s="28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3">
      <c r="B510" s="28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3">
      <c r="B511" s="28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3">
      <c r="B512" s="28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3">
      <c r="B513" s="28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3">
      <c r="B514" s="28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3">
      <c r="B515" s="28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3">
      <c r="B516" s="28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3">
      <c r="B517" s="28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3">
      <c r="B518" s="28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3">
      <c r="B519" s="28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3">
      <c r="B520" s="28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3">
      <c r="B521" s="28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3">
      <c r="B522" s="28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3">
      <c r="B523" s="28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3">
      <c r="B524" s="28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3">
      <c r="B525" s="28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3">
      <c r="B526" s="28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3">
      <c r="B527" s="28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3">
      <c r="B528" s="28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28.8" x14ac:dyDescent="0.3">
      <c r="A529">
        <v>6</v>
      </c>
      <c r="B529" s="26" t="s">
        <v>68</v>
      </c>
      <c r="C529" s="26" t="s">
        <v>70</v>
      </c>
      <c r="D529" s="26">
        <v>6</v>
      </c>
      <c r="E529" s="26" t="s">
        <v>66</v>
      </c>
      <c r="F529" s="26" t="s">
        <v>67</v>
      </c>
    </row>
    <row r="530" spans="1:9" x14ac:dyDescent="0.3">
      <c r="B530" s="28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3">
      <c r="B531" s="28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3">
      <c r="B532" s="28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3">
      <c r="B533" s="28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3">
      <c r="B534" s="28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3">
      <c r="B535" s="28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3">
      <c r="B536" s="28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3">
      <c r="B537" s="28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3">
      <c r="B538" s="28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3">
      <c r="B539" s="28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3">
      <c r="B540" s="28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3">
      <c r="B541" s="28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3">
      <c r="B542" s="28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3">
      <c r="B543" s="28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3">
      <c r="B544" s="28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3">
      <c r="B545" s="28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3">
      <c r="B546" s="28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3">
      <c r="B547" s="28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3">
      <c r="B548" s="28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3">
      <c r="B549" s="28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3">
      <c r="B550" s="28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3">
      <c r="B551" s="28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3">
      <c r="B552" s="28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3">
      <c r="B553" s="28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3">
      <c r="B554" s="28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3">
      <c r="B555" s="28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3">
      <c r="B556" s="28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3">
      <c r="B557" s="28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3">
      <c r="B558" s="28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3">
      <c r="B559" s="28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3">
      <c r="B560" s="28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3">
      <c r="B561" s="28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3">
      <c r="B562" s="28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3">
      <c r="B563" s="28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3">
      <c r="B564" s="28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3">
      <c r="B565" s="28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3">
      <c r="B566" s="28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3">
      <c r="B567" s="28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3">
      <c r="B568" s="28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3">
      <c r="B569" s="28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3">
      <c r="B570" s="28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3">
      <c r="B571" s="28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3">
      <c r="B572" s="28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3">
      <c r="B573" s="28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3">
      <c r="B574" s="28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3">
      <c r="B575" s="28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3">
      <c r="B576" s="28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3">
      <c r="B577" s="28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3">
      <c r="B578" s="28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3">
      <c r="B579" s="28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3">
      <c r="B580" s="28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3">
      <c r="B581" s="28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3">
      <c r="B582" s="28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3">
      <c r="B583" s="28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3">
      <c r="B584" s="28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3">
      <c r="B585" s="28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3">
      <c r="B586" s="28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3">
      <c r="B587" s="28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3">
      <c r="B588" s="28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3">
      <c r="B589" s="28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3">
      <c r="B590" s="28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3">
      <c r="B591" s="28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3">
      <c r="B592" s="28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3">
      <c r="B593" s="28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3">
      <c r="B594" s="28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3">
      <c r="B595" s="28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3">
      <c r="B596" s="28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3">
      <c r="B597" s="28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3">
      <c r="B598" s="28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3">
      <c r="B599" s="28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3">
      <c r="B600" s="28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3">
      <c r="B601" s="28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3">
      <c r="B602" s="28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3">
      <c r="B603" s="28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3">
      <c r="B604" s="28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3">
      <c r="B605" s="28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3">
      <c r="B606" s="28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3">
      <c r="B607" s="28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3">
      <c r="B608" s="28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3">
      <c r="B609" s="28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3">
      <c r="B610" s="28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3">
      <c r="B611" s="28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3">
      <c r="B612" s="28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3">
      <c r="B613" s="28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3">
      <c r="B614" s="28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3">
      <c r="B615" s="28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3">
      <c r="B616" s="28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3">
      <c r="B617" s="28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3">
      <c r="B618" s="28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3">
      <c r="B619" s="28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3">
      <c r="B620" s="28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3">
      <c r="B621" s="28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3">
      <c r="B622" s="28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3">
      <c r="B623" s="28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3">
      <c r="B624" s="28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3">
      <c r="B625" s="28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3">
      <c r="B626" s="28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3">
      <c r="B627" s="28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3">
      <c r="B628" s="28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3">
      <c r="B629" s="28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3">
      <c r="B630" s="28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3">
      <c r="B631" s="28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3">
      <c r="B632" s="28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3">
      <c r="B633" s="28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3">
      <c r="B634" s="28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3">
      <c r="B635" s="28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3">
      <c r="B636" s="28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3">
      <c r="B637" s="28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3">
      <c r="B638" s="28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3">
      <c r="B639" s="28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28.8" x14ac:dyDescent="0.3">
      <c r="A640">
        <v>8</v>
      </c>
      <c r="B640" s="26" t="s">
        <v>68</v>
      </c>
      <c r="C640" s="26" t="s">
        <v>70</v>
      </c>
      <c r="D640" s="26">
        <v>8</v>
      </c>
      <c r="E640" s="26" t="s">
        <v>66</v>
      </c>
      <c r="F640" s="26" t="s">
        <v>67</v>
      </c>
    </row>
    <row r="641" spans="2:9" x14ac:dyDescent="0.3">
      <c r="B641" s="28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3">
      <c r="B642" s="28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3">
      <c r="B643" s="28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3">
      <c r="B644" s="28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3">
      <c r="B645" s="28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3">
      <c r="B646" s="28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3">
      <c r="B647" s="28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3">
      <c r="B648" s="28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3">
      <c r="B649" s="28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3">
      <c r="B650" s="28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3">
      <c r="B651" s="28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3">
      <c r="B652" s="28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3">
      <c r="B653" s="28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3">
      <c r="B654" s="28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3">
      <c r="B655" s="28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3">
      <c r="B656" s="28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3">
      <c r="B657" s="28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3">
      <c r="B658" s="28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3">
      <c r="B659" s="28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3">
      <c r="B660" s="28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3">
      <c r="B661" s="28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3">
      <c r="B662" s="28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3">
      <c r="B663" s="28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3">
      <c r="B664" s="28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3">
      <c r="B665" s="28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3">
      <c r="B666" s="28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3">
      <c r="B667" s="28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3">
      <c r="B668" s="28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3">
      <c r="B669" s="28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3">
      <c r="B670" s="28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3">
      <c r="B671" s="28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3">
      <c r="B672" s="28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3">
      <c r="B673" s="28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3">
      <c r="B674" s="28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3">
      <c r="B675" s="28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3">
      <c r="B676" s="28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3">
      <c r="B677" s="28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3">
      <c r="B678" s="28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3">
      <c r="B679" s="28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3">
      <c r="B680" s="28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3">
      <c r="B681" s="28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3">
      <c r="B682" s="28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3">
      <c r="B683" s="28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3">
      <c r="B684" s="28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3">
      <c r="B685" s="28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3">
      <c r="B686" s="28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3">
      <c r="B687" s="28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3">
      <c r="B688" s="28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3">
      <c r="B689" s="28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3">
      <c r="B690" s="28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3">
      <c r="B691" s="28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3">
      <c r="B692" s="28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3">
      <c r="B693" s="28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3">
      <c r="B694" s="28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3">
      <c r="B695" s="28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3">
      <c r="B696" s="28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3">
      <c r="B697" s="28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3">
      <c r="B698" s="28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3">
      <c r="B699" s="28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3">
      <c r="B700" s="28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3">
      <c r="B701" s="28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3">
      <c r="B702" s="28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3">
      <c r="B703" s="28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3">
      <c r="B704" s="28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3">
      <c r="B705" s="28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3">
      <c r="B706" s="28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3">
      <c r="B707" s="28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3">
      <c r="B708" s="28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3">
      <c r="B709" s="28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3">
      <c r="B710" s="28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3">
      <c r="B711" s="28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3">
      <c r="B712" s="28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3">
      <c r="B713" s="28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3">
      <c r="B714" s="28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3">
      <c r="B715" s="28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3">
      <c r="B716" s="28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3">
      <c r="B717" s="28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3">
      <c r="B718" s="28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3">
      <c r="B719" s="28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3">
      <c r="B720" s="28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3">
      <c r="B721" s="28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3">
      <c r="B722" s="28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3">
      <c r="B723" s="28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3">
      <c r="B724" s="28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3">
      <c r="B725" s="28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3">
      <c r="B726" s="28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3">
      <c r="B727" s="28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3">
      <c r="B728" s="28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3">
      <c r="B729" s="28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3">
      <c r="B730" s="28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3">
      <c r="B731" s="28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3">
      <c r="B732" s="28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3">
      <c r="B733" s="28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3">
      <c r="B734" s="28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3">
      <c r="B735" s="28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3">
      <c r="B736" s="28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3">
      <c r="B737" s="28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3">
      <c r="B738" s="28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3">
      <c r="B739" s="28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3">
      <c r="B740" s="28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3">
      <c r="B741" s="28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3">
      <c r="B742" s="28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3">
      <c r="B743" s="28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3">
      <c r="B744" s="28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3">
      <c r="B745" s="28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3">
      <c r="B746" s="28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3">
      <c r="B747" s="28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3">
      <c r="B748" s="28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3">
      <c r="B749" s="28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3">
      <c r="B750" s="28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3">
      <c r="B752" s="28" t="s">
        <v>87</v>
      </c>
      <c r="C752" t="s">
        <v>80</v>
      </c>
      <c r="D752" t="s">
        <v>69</v>
      </c>
      <c r="E752" t="s">
        <v>88</v>
      </c>
    </row>
    <row r="753" spans="2:8" x14ac:dyDescent="0.3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3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3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3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3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3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3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3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3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3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3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3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3">
      <c r="G765" t="s">
        <v>95</v>
      </c>
      <c r="H765">
        <f>15/8</f>
        <v>1.875</v>
      </c>
    </row>
  </sheetData>
  <sortState xmlns:xlrd2="http://schemas.microsoft.com/office/spreadsheetml/2017/richdata2"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Trocador</vt:lpstr>
      <vt:lpstr>Tabelas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2022-05-31T11:52:58Z</dcterms:created>
  <dcterms:modified xsi:type="dcterms:W3CDTF">2025-06-27T06:47:58Z</dcterms:modified>
</cp:coreProperties>
</file>